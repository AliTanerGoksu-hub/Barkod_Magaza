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8.5\ortak\İşletme Üretim Ve Planlama\ÜRETİM VE PLANLAMA\GÜNLÜK İŞ PLANLARI\"/>
    </mc:Choice>
  </mc:AlternateContent>
  <bookViews>
    <workbookView xWindow="0" yWindow="0" windowWidth="23040" windowHeight="9192" firstSheet="49" activeTab="56"/>
  </bookViews>
  <sheets>
    <sheet name="POLİSAJ ANA TASLAK" sheetId="13" r:id="rId1"/>
    <sheet name="01.09.2025" sheetId="1" r:id="rId2"/>
    <sheet name="02.09.2025" sheetId="2" r:id="rId3"/>
    <sheet name="03.09.2025 " sheetId="3" r:id="rId4"/>
    <sheet name="05.09.2025" sheetId="4" r:id="rId5"/>
    <sheet name="06.09.2025" sheetId="5" r:id="rId6"/>
    <sheet name="08.09.2025" sheetId="6" r:id="rId7"/>
    <sheet name="09.09.2025" sheetId="7" r:id="rId8"/>
    <sheet name="10.09.2025" sheetId="8" r:id="rId9"/>
    <sheet name="11.09.2025" sheetId="10" r:id="rId10"/>
    <sheet name="12.09.2025" sheetId="11" r:id="rId11"/>
    <sheet name="13.09.2025" sheetId="12" r:id="rId12"/>
    <sheet name="15.09.2025" sheetId="14" r:id="rId13"/>
    <sheet name="16.09.2025" sheetId="15" r:id="rId14"/>
    <sheet name="17.09.2025" sheetId="16" r:id="rId15"/>
    <sheet name="18.09.2025" sheetId="17" r:id="rId16"/>
    <sheet name="19.09.2025" sheetId="18" r:id="rId17"/>
    <sheet name="20.09.2025" sheetId="19" r:id="rId18"/>
    <sheet name="22.09.2025" sheetId="20" r:id="rId19"/>
    <sheet name="23.09.2025" sheetId="21" r:id="rId20"/>
    <sheet name="24.09.2025" sheetId="22" r:id="rId21"/>
    <sheet name="25.09.2025" sheetId="23" r:id="rId22"/>
    <sheet name="26.09.2025" sheetId="24" r:id="rId23"/>
    <sheet name="27.09.2025" sheetId="25" r:id="rId24"/>
    <sheet name="29.09.2025" sheetId="26" r:id="rId25"/>
    <sheet name="30.09.2025" sheetId="27" r:id="rId26"/>
    <sheet name="01.10.2025" sheetId="28" r:id="rId27"/>
    <sheet name="02.10.2025" sheetId="29" r:id="rId28"/>
    <sheet name="03.10.2025" sheetId="30" r:id="rId29"/>
    <sheet name="04.10.2025" sheetId="31" r:id="rId30"/>
    <sheet name="06.10.2025" sheetId="32" r:id="rId31"/>
    <sheet name="07.10.2025" sheetId="33" r:id="rId32"/>
    <sheet name="08.10.2025" sheetId="34" r:id="rId33"/>
    <sheet name="09.10.2025" sheetId="35" r:id="rId34"/>
    <sheet name="10.10.2025" sheetId="36" r:id="rId35"/>
    <sheet name="11.10.2025 " sheetId="37" r:id="rId36"/>
    <sheet name="13.10.2025" sheetId="38" r:id="rId37"/>
    <sheet name="14.10.2025" sheetId="39" r:id="rId38"/>
    <sheet name="15.10.2025" sheetId="40" r:id="rId39"/>
    <sheet name="16.10.2025" sheetId="41" r:id="rId40"/>
    <sheet name="17.10.2025" sheetId="42" r:id="rId41"/>
    <sheet name="18.10.2025" sheetId="43" r:id="rId42"/>
    <sheet name="20.10.2025" sheetId="44" r:id="rId43"/>
    <sheet name="21.10.2025" sheetId="45" r:id="rId44"/>
    <sheet name="22.10.2025" sheetId="46" r:id="rId45"/>
    <sheet name="23.10.2025" sheetId="47" r:id="rId46"/>
    <sheet name="24.10.2025" sheetId="48" r:id="rId47"/>
    <sheet name="25.10.2025" sheetId="49" r:id="rId48"/>
    <sheet name="27.10.2025" sheetId="50" r:id="rId49"/>
    <sheet name="28.10.2025" sheetId="51" r:id="rId50"/>
    <sheet name="30.10.2025" sheetId="52" r:id="rId51"/>
    <sheet name="31.10.2025" sheetId="53" r:id="rId52"/>
    <sheet name="01.11.2025" sheetId="54" r:id="rId53"/>
    <sheet name="03.11.2025" sheetId="55" r:id="rId54"/>
    <sheet name="04.11.2025" sheetId="56" r:id="rId55"/>
    <sheet name="05.11.25" sheetId="58" r:id="rId56"/>
    <sheet name="06.11.2025" sheetId="59" r:id="rId5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59" l="1"/>
  <c r="H40" i="59"/>
  <c r="J39" i="59"/>
  <c r="J38" i="59"/>
  <c r="J37" i="59"/>
  <c r="J36" i="59"/>
  <c r="J35" i="59"/>
  <c r="J34" i="59"/>
  <c r="J33" i="59"/>
  <c r="J27" i="59"/>
  <c r="J26" i="59"/>
  <c r="J25" i="59"/>
  <c r="J40" i="59" s="1"/>
  <c r="I21" i="59"/>
  <c r="H21" i="59"/>
  <c r="J20" i="59"/>
  <c r="J19" i="59"/>
  <c r="J18" i="59"/>
  <c r="J17" i="59"/>
  <c r="J16" i="59"/>
  <c r="J15" i="59"/>
  <c r="J14" i="59"/>
  <c r="J13" i="59"/>
  <c r="J12" i="59"/>
  <c r="J11" i="59"/>
  <c r="J10" i="59"/>
  <c r="J9" i="59"/>
  <c r="J8" i="59"/>
  <c r="J7" i="59"/>
  <c r="J6" i="59"/>
  <c r="J5" i="59"/>
  <c r="I9" i="58"/>
  <c r="J21" i="59" l="1"/>
  <c r="I40" i="58"/>
  <c r="H40" i="58"/>
  <c r="J39" i="58"/>
  <c r="J38" i="58"/>
  <c r="J37" i="58"/>
  <c r="J36" i="58"/>
  <c r="J35" i="58"/>
  <c r="J34" i="58"/>
  <c r="J33" i="58"/>
  <c r="J27" i="58"/>
  <c r="J26" i="58"/>
  <c r="J25" i="58"/>
  <c r="H21" i="58"/>
  <c r="J20" i="58"/>
  <c r="J19" i="58"/>
  <c r="J18" i="58"/>
  <c r="J17" i="58"/>
  <c r="J16" i="58"/>
  <c r="J15" i="58"/>
  <c r="J14" i="58"/>
  <c r="J13" i="58"/>
  <c r="J12" i="58"/>
  <c r="J11" i="58"/>
  <c r="J10" i="58"/>
  <c r="J9" i="58"/>
  <c r="J8" i="58"/>
  <c r="J7" i="58"/>
  <c r="J6" i="58"/>
  <c r="I21" i="58"/>
  <c r="J5" i="58"/>
  <c r="I6" i="56"/>
  <c r="J40" i="58" l="1"/>
  <c r="J21" i="58"/>
  <c r="J15" i="56"/>
  <c r="J16" i="56"/>
  <c r="J17" i="56"/>
  <c r="J18" i="56"/>
  <c r="J19" i="56"/>
  <c r="J20" i="56"/>
  <c r="H21" i="56"/>
  <c r="I21" i="56"/>
  <c r="I38" i="56"/>
  <c r="H38" i="56"/>
  <c r="J37" i="56"/>
  <c r="J36" i="56"/>
  <c r="J35" i="56"/>
  <c r="J34" i="56"/>
  <c r="J33" i="56"/>
  <c r="J32" i="56"/>
  <c r="J31" i="56"/>
  <c r="J38" i="56" s="1"/>
  <c r="J30" i="56"/>
  <c r="J29" i="56"/>
  <c r="J28" i="56"/>
  <c r="J27" i="56"/>
  <c r="J26" i="56"/>
  <c r="J25" i="56"/>
  <c r="J14" i="56"/>
  <c r="J13" i="56"/>
  <c r="J11" i="56"/>
  <c r="J10" i="56"/>
  <c r="J9" i="56"/>
  <c r="J8" i="56"/>
  <c r="J7" i="56"/>
  <c r="J6" i="56"/>
  <c r="J5" i="56"/>
  <c r="I5" i="55"/>
  <c r="J12" i="56" l="1"/>
  <c r="J21" i="56"/>
  <c r="H33" i="55"/>
  <c r="I16" i="55"/>
  <c r="J22" i="55"/>
  <c r="J14" i="55" l="1"/>
  <c r="I33" i="55" l="1"/>
  <c r="J32" i="55"/>
  <c r="J31" i="55"/>
  <c r="J30" i="55"/>
  <c r="J29" i="55"/>
  <c r="J28" i="55"/>
  <c r="J27" i="55"/>
  <c r="J26" i="55"/>
  <c r="J25" i="55"/>
  <c r="J24" i="55"/>
  <c r="J23" i="55"/>
  <c r="J21" i="55"/>
  <c r="J20" i="55"/>
  <c r="H16" i="55"/>
  <c r="J15" i="55"/>
  <c r="J13" i="55"/>
  <c r="J12" i="55"/>
  <c r="J11" i="55"/>
  <c r="J10" i="55"/>
  <c r="J9" i="55"/>
  <c r="J8" i="55"/>
  <c r="J7" i="55"/>
  <c r="J6" i="55"/>
  <c r="J5" i="55"/>
  <c r="J33" i="55" l="1"/>
  <c r="J16" i="55"/>
  <c r="I5" i="54"/>
  <c r="J5" i="54"/>
  <c r="I36" i="54" l="1"/>
  <c r="H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H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J19" i="54" l="1"/>
  <c r="J36" i="54"/>
  <c r="I19" i="54"/>
  <c r="I48" i="53"/>
  <c r="H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48" i="53" s="1"/>
  <c r="J32" i="53"/>
  <c r="H28" i="53"/>
  <c r="J27" i="53"/>
  <c r="J26" i="53"/>
  <c r="J15" i="53"/>
  <c r="J14" i="53"/>
  <c r="J13" i="53"/>
  <c r="J12" i="53"/>
  <c r="J11" i="53"/>
  <c r="J10" i="53"/>
  <c r="J9" i="53"/>
  <c r="I9" i="53"/>
  <c r="I28" i="53" s="1"/>
  <c r="J8" i="53"/>
  <c r="J7" i="53"/>
  <c r="J6" i="53"/>
  <c r="J5" i="53"/>
  <c r="I9" i="52"/>
  <c r="J28" i="53" l="1"/>
  <c r="I48" i="52"/>
  <c r="H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H28" i="52"/>
  <c r="J27" i="52"/>
  <c r="J26" i="52"/>
  <c r="J15" i="52"/>
  <c r="J14" i="52"/>
  <c r="J13" i="52"/>
  <c r="J12" i="52"/>
  <c r="J11" i="52"/>
  <c r="J10" i="52"/>
  <c r="J9" i="52"/>
  <c r="J8" i="52"/>
  <c r="J7" i="52"/>
  <c r="J6" i="52"/>
  <c r="J5" i="52"/>
  <c r="I27" i="51"/>
  <c r="I10" i="51"/>
  <c r="J48" i="52" l="1"/>
  <c r="J28" i="52"/>
  <c r="I28" i="52"/>
  <c r="J20" i="51"/>
  <c r="J21" i="51"/>
  <c r="J22" i="51"/>
  <c r="J23" i="51"/>
  <c r="J24" i="51"/>
  <c r="J25" i="51"/>
  <c r="I47" i="51" l="1"/>
  <c r="H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47" i="51" s="1"/>
  <c r="H27" i="51"/>
  <c r="J26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J5" i="51"/>
  <c r="J27" i="51" l="1"/>
  <c r="J6" i="50"/>
  <c r="J7" i="50"/>
  <c r="J8" i="50"/>
  <c r="J9" i="50"/>
  <c r="J10" i="50"/>
  <c r="J11" i="50"/>
  <c r="J12" i="50"/>
  <c r="J13" i="50"/>
  <c r="J14" i="50"/>
  <c r="J15" i="50"/>
  <c r="J16" i="50"/>
  <c r="J17" i="50"/>
  <c r="J18" i="50"/>
  <c r="J19" i="50"/>
  <c r="J20" i="50"/>
  <c r="J5" i="50"/>
  <c r="I41" i="50"/>
  <c r="H41" i="50"/>
  <c r="J40" i="50"/>
  <c r="J39" i="50"/>
  <c r="J38" i="50"/>
  <c r="J37" i="50"/>
  <c r="J36" i="50"/>
  <c r="J35" i="50"/>
  <c r="J34" i="50"/>
  <c r="J33" i="50"/>
  <c r="J32" i="50"/>
  <c r="J31" i="50"/>
  <c r="J30" i="50"/>
  <c r="J29" i="50"/>
  <c r="J28" i="50"/>
  <c r="J27" i="50"/>
  <c r="J26" i="50"/>
  <c r="J25" i="50"/>
  <c r="J41" i="50" s="1"/>
  <c r="I21" i="50"/>
  <c r="H21" i="50"/>
  <c r="J21" i="50" l="1"/>
  <c r="I41" i="49" l="1"/>
  <c r="H41" i="49"/>
  <c r="J40" i="49"/>
  <c r="J39" i="49"/>
  <c r="J38" i="49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41" i="49" s="1"/>
  <c r="H21" i="49"/>
  <c r="J20" i="49"/>
  <c r="J19" i="49"/>
  <c r="J18" i="49"/>
  <c r="J17" i="49"/>
  <c r="J16" i="49"/>
  <c r="J15" i="49"/>
  <c r="J14" i="49"/>
  <c r="J12" i="49"/>
  <c r="J11" i="49"/>
  <c r="J10" i="49"/>
  <c r="J9" i="49"/>
  <c r="J8" i="49"/>
  <c r="J7" i="49"/>
  <c r="J6" i="49"/>
  <c r="I21" i="49"/>
  <c r="J11" i="48"/>
  <c r="I5" i="48"/>
  <c r="J5" i="49" l="1"/>
  <c r="J21" i="49" s="1"/>
  <c r="J17" i="48"/>
  <c r="J18" i="48"/>
  <c r="J19" i="48"/>
  <c r="I41" i="48"/>
  <c r="H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41" i="48" s="1"/>
  <c r="J25" i="48"/>
  <c r="I21" i="48"/>
  <c r="H21" i="48"/>
  <c r="J20" i="48"/>
  <c r="J16" i="48"/>
  <c r="J15" i="48"/>
  <c r="J14" i="48"/>
  <c r="J12" i="48"/>
  <c r="J10" i="48"/>
  <c r="J9" i="48"/>
  <c r="J8" i="48"/>
  <c r="J7" i="48"/>
  <c r="J6" i="48"/>
  <c r="J5" i="48"/>
  <c r="I5" i="47"/>
  <c r="J21" i="48" l="1"/>
  <c r="J23" i="47"/>
  <c r="J24" i="47"/>
  <c r="J38" i="47" s="1"/>
  <c r="J25" i="47"/>
  <c r="J26" i="47"/>
  <c r="J27" i="47"/>
  <c r="J28" i="47"/>
  <c r="J29" i="47"/>
  <c r="J30" i="47"/>
  <c r="J31" i="47"/>
  <c r="J32" i="47"/>
  <c r="J33" i="47"/>
  <c r="J34" i="47"/>
  <c r="J35" i="47"/>
  <c r="J36" i="47"/>
  <c r="J37" i="47"/>
  <c r="J22" i="47"/>
  <c r="I38" i="47" l="1"/>
  <c r="H38" i="47"/>
  <c r="I18" i="47"/>
  <c r="H18" i="47"/>
  <c r="J17" i="47"/>
  <c r="J16" i="47"/>
  <c r="J15" i="47"/>
  <c r="J14" i="47"/>
  <c r="J13" i="47"/>
  <c r="J12" i="47"/>
  <c r="J10" i="47"/>
  <c r="J9" i="47"/>
  <c r="J8" i="47"/>
  <c r="J7" i="47"/>
  <c r="J6" i="47"/>
  <c r="J5" i="47"/>
  <c r="I5" i="46"/>
  <c r="J18" i="47" l="1"/>
  <c r="I29" i="46"/>
  <c r="H29" i="46"/>
  <c r="J28" i="46"/>
  <c r="J27" i="46"/>
  <c r="J26" i="46"/>
  <c r="J25" i="46"/>
  <c r="J24" i="46"/>
  <c r="J23" i="46"/>
  <c r="J22" i="46"/>
  <c r="J29" i="46" s="1"/>
  <c r="J21" i="46"/>
  <c r="I17" i="46"/>
  <c r="H17" i="46"/>
  <c r="J16" i="46"/>
  <c r="J15" i="46"/>
  <c r="J14" i="46"/>
  <c r="J13" i="46"/>
  <c r="J12" i="46"/>
  <c r="J11" i="46"/>
  <c r="J10" i="46"/>
  <c r="J9" i="46"/>
  <c r="J8" i="46"/>
  <c r="J7" i="46"/>
  <c r="J6" i="46"/>
  <c r="J5" i="46"/>
  <c r="I5" i="45"/>
  <c r="J17" i="46" l="1"/>
  <c r="I29" i="45"/>
  <c r="H29" i="45"/>
  <c r="J28" i="45"/>
  <c r="J27" i="45"/>
  <c r="J26" i="45"/>
  <c r="J25" i="45"/>
  <c r="J24" i="45"/>
  <c r="J23" i="45"/>
  <c r="J22" i="45"/>
  <c r="J21" i="45"/>
  <c r="J29" i="45" s="1"/>
  <c r="I17" i="45"/>
  <c r="H17" i="45"/>
  <c r="J16" i="45"/>
  <c r="J15" i="45"/>
  <c r="J14" i="45"/>
  <c r="J13" i="45"/>
  <c r="J12" i="45"/>
  <c r="J11" i="45"/>
  <c r="J10" i="45"/>
  <c r="J9" i="45"/>
  <c r="J8" i="45"/>
  <c r="J7" i="45"/>
  <c r="J6" i="45"/>
  <c r="J5" i="45"/>
  <c r="I5" i="44"/>
  <c r="J17" i="45" l="1"/>
  <c r="I5" i="43"/>
  <c r="I29" i="44"/>
  <c r="H29" i="44"/>
  <c r="J28" i="44"/>
  <c r="J27" i="44"/>
  <c r="J26" i="44"/>
  <c r="J25" i="44"/>
  <c r="J24" i="44"/>
  <c r="J23" i="44"/>
  <c r="J22" i="44"/>
  <c r="J21" i="44"/>
  <c r="J29" i="44" s="1"/>
  <c r="I17" i="44"/>
  <c r="H17" i="44"/>
  <c r="J16" i="44"/>
  <c r="J15" i="44"/>
  <c r="J14" i="44"/>
  <c r="J13" i="44"/>
  <c r="J12" i="44"/>
  <c r="J11" i="44"/>
  <c r="J10" i="44"/>
  <c r="J9" i="44"/>
  <c r="J8" i="44"/>
  <c r="J7" i="44"/>
  <c r="J6" i="44"/>
  <c r="J5" i="44"/>
  <c r="J17" i="44" l="1"/>
  <c r="I29" i="43"/>
  <c r="H29" i="43"/>
  <c r="J28" i="43"/>
  <c r="J27" i="43"/>
  <c r="J26" i="43"/>
  <c r="J25" i="43"/>
  <c r="J24" i="43"/>
  <c r="J23" i="43"/>
  <c r="J22" i="43"/>
  <c r="J29" i="43" s="1"/>
  <c r="J21" i="43"/>
  <c r="H17" i="43"/>
  <c r="J16" i="43"/>
  <c r="J15" i="43"/>
  <c r="J14" i="43"/>
  <c r="J13" i="43"/>
  <c r="J12" i="43"/>
  <c r="J11" i="43"/>
  <c r="J10" i="43"/>
  <c r="J9" i="43"/>
  <c r="J8" i="43"/>
  <c r="J7" i="43"/>
  <c r="I17" i="43"/>
  <c r="J5" i="43"/>
  <c r="I6" i="42"/>
  <c r="J6" i="43" l="1"/>
  <c r="J17" i="43" s="1"/>
  <c r="I29" i="42"/>
  <c r="H29" i="42"/>
  <c r="J28" i="42"/>
  <c r="J27" i="42"/>
  <c r="J26" i="42"/>
  <c r="J25" i="42"/>
  <c r="J24" i="42"/>
  <c r="J23" i="42"/>
  <c r="J22" i="42"/>
  <c r="J21" i="42"/>
  <c r="J29" i="42" s="1"/>
  <c r="I17" i="42"/>
  <c r="H17" i="42"/>
  <c r="J16" i="42"/>
  <c r="J15" i="42"/>
  <c r="J14" i="42"/>
  <c r="J13" i="42"/>
  <c r="J12" i="42"/>
  <c r="J11" i="42"/>
  <c r="J10" i="42"/>
  <c r="J9" i="42"/>
  <c r="J8" i="42"/>
  <c r="J7" i="42"/>
  <c r="J6" i="42"/>
  <c r="J5" i="42"/>
  <c r="J17" i="42" l="1"/>
  <c r="I29" i="41"/>
  <c r="H29" i="41"/>
  <c r="J28" i="41"/>
  <c r="J27" i="41"/>
  <c r="J26" i="41"/>
  <c r="J29" i="41" s="1"/>
  <c r="J25" i="41"/>
  <c r="J24" i="41"/>
  <c r="J23" i="41"/>
  <c r="J22" i="41"/>
  <c r="J21" i="41"/>
  <c r="I17" i="41"/>
  <c r="H17" i="41"/>
  <c r="J16" i="41"/>
  <c r="J15" i="41"/>
  <c r="J14" i="41"/>
  <c r="J13" i="41"/>
  <c r="J12" i="41"/>
  <c r="J11" i="41"/>
  <c r="J10" i="41"/>
  <c r="J9" i="41"/>
  <c r="J8" i="41"/>
  <c r="J7" i="41"/>
  <c r="J6" i="41"/>
  <c r="J5" i="41"/>
  <c r="J17" i="41" l="1"/>
  <c r="J16" i="40"/>
  <c r="J10" i="40"/>
  <c r="J11" i="40"/>
  <c r="J12" i="40"/>
  <c r="J13" i="40"/>
  <c r="J8" i="40"/>
  <c r="J7" i="40"/>
  <c r="J6" i="40"/>
  <c r="J5" i="40"/>
  <c r="I29" i="40"/>
  <c r="H29" i="40"/>
  <c r="J28" i="40"/>
  <c r="J27" i="40"/>
  <c r="J26" i="40"/>
  <c r="J25" i="40"/>
  <c r="J24" i="40"/>
  <c r="J23" i="40"/>
  <c r="J22" i="40"/>
  <c r="J29" i="40" s="1"/>
  <c r="J21" i="40"/>
  <c r="H17" i="40"/>
  <c r="J15" i="40"/>
  <c r="J14" i="40"/>
  <c r="J9" i="40"/>
  <c r="I17" i="40"/>
  <c r="I8" i="39"/>
  <c r="J17" i="40" l="1"/>
  <c r="I29" i="39"/>
  <c r="H29" i="39"/>
  <c r="J28" i="39"/>
  <c r="J27" i="39"/>
  <c r="J26" i="39"/>
  <c r="J25" i="39"/>
  <c r="J24" i="39"/>
  <c r="J23" i="39"/>
  <c r="J22" i="39"/>
  <c r="J29" i="39" s="1"/>
  <c r="J21" i="39"/>
  <c r="I17" i="39"/>
  <c r="H17" i="39"/>
  <c r="J15" i="39"/>
  <c r="J14" i="39"/>
  <c r="J13" i="39"/>
  <c r="J12" i="39"/>
  <c r="J11" i="39"/>
  <c r="J10" i="39"/>
  <c r="J9" i="39"/>
  <c r="J8" i="39"/>
  <c r="J7" i="39"/>
  <c r="J6" i="39"/>
  <c r="J5" i="39"/>
  <c r="J17" i="39" l="1"/>
  <c r="I29" i="38"/>
  <c r="H29" i="38"/>
  <c r="J28" i="38"/>
  <c r="J27" i="38"/>
  <c r="J26" i="38"/>
  <c r="J25" i="38"/>
  <c r="J24" i="38"/>
  <c r="J23" i="38"/>
  <c r="J22" i="38"/>
  <c r="J21" i="38"/>
  <c r="J29" i="38" s="1"/>
  <c r="H17" i="38"/>
  <c r="J15" i="38"/>
  <c r="J14" i="38"/>
  <c r="J13" i="38"/>
  <c r="J12" i="38"/>
  <c r="J11" i="38"/>
  <c r="J10" i="38"/>
  <c r="J9" i="38"/>
  <c r="J8" i="38"/>
  <c r="J7" i="38"/>
  <c r="J6" i="38"/>
  <c r="I17" i="38"/>
  <c r="I8" i="37"/>
  <c r="J5" i="38" l="1"/>
  <c r="J17" i="38" s="1"/>
  <c r="I5" i="37"/>
  <c r="I29" i="37"/>
  <c r="H29" i="37"/>
  <c r="J28" i="37"/>
  <c r="J27" i="37"/>
  <c r="J26" i="37"/>
  <c r="J25" i="37"/>
  <c r="J24" i="37"/>
  <c r="J23" i="37"/>
  <c r="J29" i="37" s="1"/>
  <c r="J22" i="37"/>
  <c r="J21" i="37"/>
  <c r="I17" i="37"/>
  <c r="H17" i="37"/>
  <c r="J15" i="37"/>
  <c r="J14" i="37"/>
  <c r="J13" i="37"/>
  <c r="J12" i="37"/>
  <c r="J11" i="37"/>
  <c r="J10" i="37"/>
  <c r="J9" i="37"/>
  <c r="J8" i="37"/>
  <c r="J7" i="37"/>
  <c r="J6" i="37"/>
  <c r="J5" i="37"/>
  <c r="J17" i="37" l="1"/>
  <c r="I29" i="36"/>
  <c r="H29" i="36"/>
  <c r="J28" i="36"/>
  <c r="J27" i="36"/>
  <c r="J26" i="36"/>
  <c r="J25" i="36"/>
  <c r="J24" i="36"/>
  <c r="J23" i="36"/>
  <c r="J22" i="36"/>
  <c r="J21" i="36"/>
  <c r="J29" i="36" s="1"/>
  <c r="H17" i="36"/>
  <c r="J15" i="36"/>
  <c r="J14" i="36"/>
  <c r="J13" i="36"/>
  <c r="J12" i="36"/>
  <c r="J11" i="36"/>
  <c r="J10" i="36"/>
  <c r="J9" i="36"/>
  <c r="J8" i="36"/>
  <c r="J7" i="36"/>
  <c r="J6" i="36"/>
  <c r="I17" i="36"/>
  <c r="I5" i="35"/>
  <c r="J5" i="36" l="1"/>
  <c r="J17" i="36" s="1"/>
  <c r="J7" i="35"/>
  <c r="J8" i="35"/>
  <c r="J9" i="35"/>
  <c r="J10" i="35"/>
  <c r="J11" i="35"/>
  <c r="J12" i="35"/>
  <c r="J13" i="35"/>
  <c r="I29" i="35"/>
  <c r="H29" i="35"/>
  <c r="J28" i="35"/>
  <c r="J27" i="35"/>
  <c r="J26" i="35"/>
  <c r="J25" i="35"/>
  <c r="J24" i="35"/>
  <c r="J23" i="35"/>
  <c r="J22" i="35"/>
  <c r="J21" i="35"/>
  <c r="H17" i="35"/>
  <c r="J15" i="35"/>
  <c r="J14" i="35"/>
  <c r="J6" i="35"/>
  <c r="J5" i="35"/>
  <c r="I17" i="35"/>
  <c r="I5" i="34"/>
  <c r="I14" i="34"/>
  <c r="I26" i="34"/>
  <c r="H26" i="34"/>
  <c r="J25" i="34"/>
  <c r="J24" i="34"/>
  <c r="J23" i="34"/>
  <c r="J22" i="34"/>
  <c r="J21" i="34"/>
  <c r="J20" i="34"/>
  <c r="J19" i="34"/>
  <c r="J18" i="34"/>
  <c r="H14" i="34"/>
  <c r="J12" i="34"/>
  <c r="J11" i="34"/>
  <c r="J10" i="34"/>
  <c r="J9" i="34"/>
  <c r="J8" i="34"/>
  <c r="J7" i="34"/>
  <c r="J6" i="34"/>
  <c r="J5" i="34"/>
  <c r="J29" i="35" l="1"/>
  <c r="J17" i="35"/>
  <c r="J26" i="34"/>
  <c r="J14" i="34"/>
  <c r="I26" i="33"/>
  <c r="H26" i="33"/>
  <c r="J25" i="33"/>
  <c r="J24" i="33"/>
  <c r="J23" i="33"/>
  <c r="J22" i="33"/>
  <c r="J21" i="33"/>
  <c r="J20" i="33"/>
  <c r="J19" i="33"/>
  <c r="J18" i="33"/>
  <c r="H14" i="33"/>
  <c r="J12" i="33"/>
  <c r="J11" i="33"/>
  <c r="J10" i="33"/>
  <c r="J9" i="33"/>
  <c r="J8" i="33"/>
  <c r="J7" i="33"/>
  <c r="J6" i="33"/>
  <c r="J5" i="33"/>
  <c r="I5" i="32"/>
  <c r="J5" i="32" s="1"/>
  <c r="I29" i="32"/>
  <c r="H29" i="32"/>
  <c r="J28" i="32"/>
  <c r="J27" i="32"/>
  <c r="J26" i="32"/>
  <c r="J25" i="32"/>
  <c r="J24" i="32"/>
  <c r="J23" i="32"/>
  <c r="J22" i="32"/>
  <c r="J21" i="32"/>
  <c r="J20" i="32"/>
  <c r="J19" i="32"/>
  <c r="H15" i="32"/>
  <c r="J13" i="32"/>
  <c r="J12" i="32"/>
  <c r="J11" i="32"/>
  <c r="J10" i="32"/>
  <c r="J9" i="32"/>
  <c r="J8" i="32"/>
  <c r="J7" i="32"/>
  <c r="I6" i="31"/>
  <c r="J14" i="33" l="1"/>
  <c r="J26" i="33"/>
  <c r="I14" i="33"/>
  <c r="J29" i="32"/>
  <c r="I15" i="32"/>
  <c r="J6" i="32"/>
  <c r="J15" i="32" s="1"/>
  <c r="I5" i="31" l="1"/>
  <c r="I5" i="30"/>
  <c r="I29" i="31" l="1"/>
  <c r="H29" i="31"/>
  <c r="J28" i="31"/>
  <c r="J27" i="31"/>
  <c r="J26" i="31"/>
  <c r="J25" i="31"/>
  <c r="J24" i="31"/>
  <c r="J23" i="31"/>
  <c r="J22" i="31"/>
  <c r="J21" i="31"/>
  <c r="J20" i="31"/>
  <c r="J19" i="31"/>
  <c r="I15" i="31"/>
  <c r="H15" i="31"/>
  <c r="J13" i="31"/>
  <c r="J12" i="31"/>
  <c r="J11" i="31"/>
  <c r="J10" i="31"/>
  <c r="J9" i="31"/>
  <c r="J8" i="31"/>
  <c r="J7" i="31"/>
  <c r="J6" i="31"/>
  <c r="J5" i="31"/>
  <c r="J7" i="30"/>
  <c r="J6" i="30"/>
  <c r="J5" i="30"/>
  <c r="I5" i="29"/>
  <c r="I15" i="29" s="1"/>
  <c r="I29" i="30"/>
  <c r="H29" i="30"/>
  <c r="J28" i="30"/>
  <c r="J27" i="30"/>
  <c r="J26" i="30"/>
  <c r="J25" i="30"/>
  <c r="J24" i="30"/>
  <c r="J23" i="30"/>
  <c r="J22" i="30"/>
  <c r="J21" i="30"/>
  <c r="J20" i="30"/>
  <c r="J19" i="30"/>
  <c r="J29" i="30" s="1"/>
  <c r="I15" i="30"/>
  <c r="H15" i="30"/>
  <c r="J13" i="30"/>
  <c r="J12" i="30"/>
  <c r="J11" i="30"/>
  <c r="J10" i="30"/>
  <c r="J9" i="30"/>
  <c r="J8" i="30"/>
  <c r="H15" i="29"/>
  <c r="I29" i="29"/>
  <c r="H29" i="29"/>
  <c r="J28" i="29"/>
  <c r="J27" i="29"/>
  <c r="J26" i="29"/>
  <c r="J25" i="29"/>
  <c r="J24" i="29"/>
  <c r="J23" i="29"/>
  <c r="J22" i="29"/>
  <c r="J21" i="29"/>
  <c r="J20" i="29"/>
  <c r="J19" i="29"/>
  <c r="J13" i="29"/>
  <c r="J12" i="29"/>
  <c r="J11" i="29"/>
  <c r="J10" i="29"/>
  <c r="J9" i="29"/>
  <c r="J8" i="29"/>
  <c r="J7" i="29"/>
  <c r="J6" i="29"/>
  <c r="I9" i="28"/>
  <c r="J29" i="31" l="1"/>
  <c r="J15" i="31"/>
  <c r="J15" i="30"/>
  <c r="J29" i="29"/>
  <c r="J5" i="29"/>
  <c r="J15" i="29" s="1"/>
  <c r="I36" i="28" l="1"/>
  <c r="H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36" i="28" s="1"/>
  <c r="H15" i="28"/>
  <c r="J13" i="28"/>
  <c r="J12" i="28"/>
  <c r="J11" i="28"/>
  <c r="J10" i="28"/>
  <c r="J9" i="28"/>
  <c r="J8" i="28"/>
  <c r="J7" i="28"/>
  <c r="J6" i="28"/>
  <c r="I5" i="28"/>
  <c r="I15" i="28" s="1"/>
  <c r="I5" i="27"/>
  <c r="J5" i="27" s="1"/>
  <c r="I36" i="27"/>
  <c r="H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H15" i="27"/>
  <c r="J13" i="27"/>
  <c r="J12" i="27"/>
  <c r="J11" i="27"/>
  <c r="J10" i="27"/>
  <c r="J9" i="27"/>
  <c r="J8" i="27"/>
  <c r="J7" i="27"/>
  <c r="J6" i="27"/>
  <c r="I35" i="26"/>
  <c r="H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35" i="26" s="1"/>
  <c r="I14" i="26"/>
  <c r="H14" i="26"/>
  <c r="J13" i="26"/>
  <c r="J12" i="26"/>
  <c r="J11" i="26"/>
  <c r="J10" i="26"/>
  <c r="J9" i="26"/>
  <c r="J8" i="26"/>
  <c r="J7" i="26"/>
  <c r="J6" i="26"/>
  <c r="J5" i="26"/>
  <c r="I35" i="25"/>
  <c r="H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I14" i="25"/>
  <c r="H14" i="25"/>
  <c r="J13" i="25"/>
  <c r="J12" i="25"/>
  <c r="J11" i="25"/>
  <c r="J10" i="25"/>
  <c r="J9" i="25"/>
  <c r="J8" i="25"/>
  <c r="J7" i="25"/>
  <c r="J6" i="25"/>
  <c r="J5" i="25"/>
  <c r="I35" i="24"/>
  <c r="H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H14" i="24"/>
  <c r="J13" i="24"/>
  <c r="J12" i="24"/>
  <c r="J11" i="24"/>
  <c r="J10" i="24"/>
  <c r="J9" i="24"/>
  <c r="J8" i="24"/>
  <c r="J7" i="24"/>
  <c r="J6" i="24"/>
  <c r="I14" i="24"/>
  <c r="I5" i="23"/>
  <c r="J25" i="23"/>
  <c r="J30" i="23"/>
  <c r="J31" i="23"/>
  <c r="J32" i="23"/>
  <c r="J33" i="23"/>
  <c r="J34" i="23"/>
  <c r="J8" i="23"/>
  <c r="J9" i="23"/>
  <c r="J10" i="23"/>
  <c r="J11" i="23"/>
  <c r="J12" i="23"/>
  <c r="J13" i="23"/>
  <c r="J29" i="23"/>
  <c r="J28" i="23"/>
  <c r="J27" i="23"/>
  <c r="J26" i="23"/>
  <c r="J5" i="28" l="1"/>
  <c r="J15" i="28" s="1"/>
  <c r="J36" i="27"/>
  <c r="I15" i="27"/>
  <c r="J15" i="27"/>
  <c r="J14" i="25"/>
  <c r="J14" i="26"/>
  <c r="J35" i="25"/>
  <c r="J35" i="24"/>
  <c r="J5" i="24"/>
  <c r="J14" i="24" s="1"/>
  <c r="I35" i="23"/>
  <c r="H35" i="23"/>
  <c r="J24" i="23"/>
  <c r="J23" i="23"/>
  <c r="J22" i="23"/>
  <c r="J21" i="23"/>
  <c r="J20" i="23"/>
  <c r="J19" i="23"/>
  <c r="J18" i="23"/>
  <c r="H14" i="23"/>
  <c r="J7" i="23"/>
  <c r="J6" i="23"/>
  <c r="I14" i="23"/>
  <c r="I7" i="22"/>
  <c r="J35" i="23" l="1"/>
  <c r="J5" i="23"/>
  <c r="J14" i="23" s="1"/>
  <c r="I26" i="22"/>
  <c r="H26" i="22"/>
  <c r="J25" i="22"/>
  <c r="J24" i="22"/>
  <c r="J23" i="22"/>
  <c r="J22" i="22"/>
  <c r="J21" i="22"/>
  <c r="J20" i="22"/>
  <c r="J19" i="22"/>
  <c r="J18" i="22"/>
  <c r="H14" i="22"/>
  <c r="J13" i="22"/>
  <c r="J12" i="22"/>
  <c r="J11" i="22"/>
  <c r="J10" i="22"/>
  <c r="J9" i="22"/>
  <c r="J7" i="22"/>
  <c r="J6" i="22"/>
  <c r="I5" i="22"/>
  <c r="J5" i="22" s="1"/>
  <c r="I5" i="21"/>
  <c r="J26" i="22" l="1"/>
  <c r="J14" i="22"/>
  <c r="I14" i="22"/>
  <c r="I26" i="21"/>
  <c r="H26" i="21"/>
  <c r="J25" i="21"/>
  <c r="J24" i="21"/>
  <c r="J23" i="21"/>
  <c r="J22" i="21"/>
  <c r="J21" i="21"/>
  <c r="J20" i="21"/>
  <c r="J19" i="21"/>
  <c r="J18" i="21"/>
  <c r="H14" i="21"/>
  <c r="J13" i="21"/>
  <c r="J12" i="21"/>
  <c r="J11" i="21"/>
  <c r="J10" i="21"/>
  <c r="J9" i="21"/>
  <c r="J7" i="21"/>
  <c r="I14" i="21"/>
  <c r="J6" i="21"/>
  <c r="J5" i="21"/>
  <c r="J26" i="21" l="1"/>
  <c r="J14" i="21"/>
  <c r="I7" i="20"/>
  <c r="I5" i="20"/>
  <c r="I25" i="20" l="1"/>
  <c r="H25" i="20"/>
  <c r="J24" i="20"/>
  <c r="J23" i="20"/>
  <c r="J22" i="20"/>
  <c r="J21" i="20"/>
  <c r="J20" i="20"/>
  <c r="J19" i="20"/>
  <c r="J18" i="20"/>
  <c r="J17" i="20"/>
  <c r="I13" i="20"/>
  <c r="H13" i="20"/>
  <c r="J12" i="20"/>
  <c r="J11" i="20"/>
  <c r="J10" i="20"/>
  <c r="J9" i="20"/>
  <c r="J8" i="20"/>
  <c r="J7" i="20"/>
  <c r="J6" i="20"/>
  <c r="J5" i="20"/>
  <c r="I25" i="19"/>
  <c r="H25" i="19"/>
  <c r="J24" i="19"/>
  <c r="J23" i="19"/>
  <c r="J22" i="19"/>
  <c r="J21" i="19"/>
  <c r="J20" i="19"/>
  <c r="J19" i="19"/>
  <c r="J18" i="19"/>
  <c r="J17" i="19"/>
  <c r="I13" i="19"/>
  <c r="H13" i="19"/>
  <c r="J12" i="19"/>
  <c r="J11" i="19"/>
  <c r="J10" i="19"/>
  <c r="J9" i="19"/>
  <c r="J8" i="19"/>
  <c r="J7" i="19"/>
  <c r="J6" i="19"/>
  <c r="J5" i="19"/>
  <c r="I25" i="18"/>
  <c r="H25" i="18"/>
  <c r="J24" i="18"/>
  <c r="J23" i="18"/>
  <c r="J22" i="18"/>
  <c r="J21" i="18"/>
  <c r="J20" i="18"/>
  <c r="J19" i="18"/>
  <c r="J18" i="18"/>
  <c r="J17" i="18"/>
  <c r="I13" i="18"/>
  <c r="H13" i="18"/>
  <c r="J12" i="18"/>
  <c r="J11" i="18"/>
  <c r="J10" i="18"/>
  <c r="J9" i="18"/>
  <c r="J8" i="18"/>
  <c r="J7" i="18"/>
  <c r="J6" i="18"/>
  <c r="J5" i="18"/>
  <c r="J5" i="17"/>
  <c r="J6" i="17"/>
  <c r="J7" i="17"/>
  <c r="J8" i="17"/>
  <c r="J9" i="17"/>
  <c r="J10" i="17"/>
  <c r="J11" i="17"/>
  <c r="J12" i="17"/>
  <c r="J24" i="17"/>
  <c r="J21" i="17"/>
  <c r="J22" i="17"/>
  <c r="J23" i="17"/>
  <c r="J20" i="17"/>
  <c r="J19" i="17"/>
  <c r="J18" i="17"/>
  <c r="J17" i="17"/>
  <c r="J25" i="19" l="1"/>
  <c r="J25" i="20"/>
  <c r="J25" i="18"/>
  <c r="J13" i="20"/>
  <c r="J13" i="19"/>
  <c r="J13" i="18"/>
  <c r="I25" i="17"/>
  <c r="H25" i="17"/>
  <c r="I13" i="17"/>
  <c r="H13" i="17"/>
  <c r="I24" i="16"/>
  <c r="H24" i="16"/>
  <c r="J15" i="16"/>
  <c r="J14" i="16"/>
  <c r="J13" i="16"/>
  <c r="J12" i="16"/>
  <c r="H8" i="16"/>
  <c r="J7" i="16"/>
  <c r="J6" i="16"/>
  <c r="J5" i="16"/>
  <c r="I5" i="15"/>
  <c r="J24" i="16" l="1"/>
  <c r="J8" i="16"/>
  <c r="J13" i="17"/>
  <c r="J25" i="17"/>
  <c r="I8" i="16"/>
  <c r="I21" i="15"/>
  <c r="H21" i="15"/>
  <c r="J18" i="15"/>
  <c r="J17" i="15"/>
  <c r="J16" i="15"/>
  <c r="J15" i="15"/>
  <c r="I11" i="15"/>
  <c r="H11" i="15"/>
  <c r="J10" i="15"/>
  <c r="J9" i="15"/>
  <c r="J8" i="15"/>
  <c r="J7" i="15"/>
  <c r="J6" i="15"/>
  <c r="J5" i="15"/>
  <c r="J12" i="14"/>
  <c r="J11" i="14"/>
  <c r="J21" i="15" l="1"/>
  <c r="J11" i="15"/>
  <c r="J7" i="14"/>
  <c r="J10" i="14"/>
  <c r="J13" i="14"/>
  <c r="I24" i="14"/>
  <c r="H24" i="14"/>
  <c r="J21" i="14"/>
  <c r="J20" i="14"/>
  <c r="J19" i="14"/>
  <c r="J18" i="14"/>
  <c r="I14" i="14"/>
  <c r="H14" i="14"/>
  <c r="J9" i="14"/>
  <c r="J8" i="14"/>
  <c r="J6" i="14"/>
  <c r="J5" i="14"/>
  <c r="J24" i="14" l="1"/>
  <c r="J14" i="14"/>
  <c r="I21" i="13"/>
  <c r="H21" i="13"/>
  <c r="J20" i="13"/>
  <c r="J19" i="13"/>
  <c r="J18" i="13"/>
  <c r="J17" i="13"/>
  <c r="J16" i="13"/>
  <c r="J15" i="13"/>
  <c r="I11" i="13"/>
  <c r="H11" i="13"/>
  <c r="J10" i="13"/>
  <c r="J9" i="13"/>
  <c r="J8" i="13"/>
  <c r="J7" i="13"/>
  <c r="J6" i="13"/>
  <c r="J5" i="13"/>
  <c r="J20" i="12"/>
  <c r="J21" i="13" l="1"/>
  <c r="J11" i="13"/>
  <c r="J9" i="12"/>
  <c r="J8" i="12"/>
  <c r="J7" i="12" l="1"/>
  <c r="J6" i="12"/>
  <c r="J5" i="12"/>
  <c r="I21" i="12"/>
  <c r="H21" i="12"/>
  <c r="J19" i="12"/>
  <c r="J18" i="12"/>
  <c r="J17" i="12"/>
  <c r="J16" i="12"/>
  <c r="J15" i="12"/>
  <c r="I11" i="12"/>
  <c r="H11" i="12"/>
  <c r="J10" i="12"/>
  <c r="J11" i="12" l="1"/>
  <c r="J21" i="12"/>
  <c r="I21" i="11"/>
  <c r="H21" i="11"/>
  <c r="J19" i="11"/>
  <c r="J18" i="11"/>
  <c r="J17" i="11"/>
  <c r="J16" i="11"/>
  <c r="J15" i="11"/>
  <c r="I11" i="11"/>
  <c r="H11" i="11"/>
  <c r="J10" i="11"/>
  <c r="J9" i="11"/>
  <c r="J8" i="11"/>
  <c r="J7" i="11"/>
  <c r="J6" i="11"/>
  <c r="J5" i="11"/>
  <c r="J21" i="11" l="1"/>
  <c r="J11" i="11"/>
  <c r="I5" i="8"/>
  <c r="I23" i="10" l="1"/>
  <c r="H23" i="10"/>
  <c r="J21" i="10"/>
  <c r="J20" i="10"/>
  <c r="J19" i="10"/>
  <c r="J18" i="10"/>
  <c r="J17" i="10"/>
  <c r="I13" i="10"/>
  <c r="H13" i="10"/>
  <c r="J12" i="10"/>
  <c r="J11" i="10"/>
  <c r="J10" i="10"/>
  <c r="J9" i="10"/>
  <c r="J8" i="10"/>
  <c r="J7" i="10"/>
  <c r="J6" i="10"/>
  <c r="J5" i="10"/>
  <c r="H23" i="8"/>
  <c r="H13" i="8"/>
  <c r="J23" i="10" l="1"/>
  <c r="J13" i="10"/>
  <c r="I23" i="8"/>
  <c r="J21" i="8"/>
  <c r="J20" i="8"/>
  <c r="J19" i="8"/>
  <c r="J18" i="8"/>
  <c r="J17" i="8"/>
  <c r="J23" i="8" s="1"/>
  <c r="I13" i="8"/>
  <c r="J12" i="8"/>
  <c r="J11" i="8"/>
  <c r="J10" i="8"/>
  <c r="J9" i="8"/>
  <c r="J8" i="8"/>
  <c r="J7" i="8"/>
  <c r="J6" i="8"/>
  <c r="J5" i="8"/>
  <c r="J13" i="8" l="1"/>
  <c r="I23" i="7"/>
  <c r="H23" i="7"/>
  <c r="J21" i="7"/>
  <c r="J20" i="7"/>
  <c r="J19" i="7"/>
  <c r="J18" i="7"/>
  <c r="J17" i="7"/>
  <c r="I13" i="7"/>
  <c r="H13" i="7"/>
  <c r="J12" i="7"/>
  <c r="J11" i="7"/>
  <c r="J10" i="7"/>
  <c r="J9" i="7"/>
  <c r="J8" i="7"/>
  <c r="J7" i="7"/>
  <c r="J6" i="7"/>
  <c r="J5" i="7"/>
  <c r="I21" i="5"/>
  <c r="I29" i="5" s="1"/>
  <c r="I27" i="6"/>
  <c r="H27" i="6"/>
  <c r="J25" i="6"/>
  <c r="J24" i="6"/>
  <c r="J23" i="6"/>
  <c r="J22" i="6"/>
  <c r="J21" i="6"/>
  <c r="I17" i="6"/>
  <c r="H17" i="6"/>
  <c r="J16" i="6"/>
  <c r="J15" i="6"/>
  <c r="J14" i="6"/>
  <c r="J13" i="6"/>
  <c r="J12" i="6"/>
  <c r="J11" i="6"/>
  <c r="J10" i="6"/>
  <c r="J9" i="6"/>
  <c r="J8" i="6"/>
  <c r="J7" i="6"/>
  <c r="J6" i="6"/>
  <c r="J5" i="6"/>
  <c r="H29" i="5"/>
  <c r="J27" i="5"/>
  <c r="J26" i="5"/>
  <c r="J25" i="5"/>
  <c r="J24" i="5"/>
  <c r="J23" i="5"/>
  <c r="J22" i="5"/>
  <c r="I17" i="5"/>
  <c r="H17" i="5"/>
  <c r="J16" i="5"/>
  <c r="J15" i="5"/>
  <c r="J14" i="5"/>
  <c r="J13" i="5"/>
  <c r="J12" i="5"/>
  <c r="J11" i="5"/>
  <c r="J10" i="5"/>
  <c r="J9" i="5"/>
  <c r="J8" i="5"/>
  <c r="J7" i="5"/>
  <c r="J6" i="5"/>
  <c r="J5" i="5"/>
  <c r="J10" i="4"/>
  <c r="J6" i="4"/>
  <c r="J7" i="4"/>
  <c r="J8" i="4"/>
  <c r="J9" i="4"/>
  <c r="J27" i="4"/>
  <c r="J28" i="4"/>
  <c r="J29" i="4"/>
  <c r="J30" i="4"/>
  <c r="I33" i="4"/>
  <c r="H33" i="4"/>
  <c r="J31" i="4"/>
  <c r="J26" i="4"/>
  <c r="J25" i="4"/>
  <c r="H21" i="4"/>
  <c r="J20" i="4"/>
  <c r="J19" i="4"/>
  <c r="J18" i="4"/>
  <c r="J17" i="4"/>
  <c r="J16" i="4"/>
  <c r="J15" i="4"/>
  <c r="J14" i="4"/>
  <c r="J13" i="4"/>
  <c r="J12" i="4"/>
  <c r="J11" i="4"/>
  <c r="J5" i="4"/>
  <c r="I8" i="3"/>
  <c r="I21" i="3" s="1"/>
  <c r="I33" i="3"/>
  <c r="H33" i="3"/>
  <c r="J31" i="3"/>
  <c r="J30" i="3"/>
  <c r="J29" i="3"/>
  <c r="J28" i="3"/>
  <c r="J27" i="3"/>
  <c r="J26" i="3"/>
  <c r="J25" i="3"/>
  <c r="H21" i="3"/>
  <c r="J20" i="3"/>
  <c r="J19" i="3"/>
  <c r="J18" i="3"/>
  <c r="J17" i="3"/>
  <c r="J16" i="3"/>
  <c r="J15" i="3"/>
  <c r="J14" i="3"/>
  <c r="J13" i="3"/>
  <c r="J12" i="3"/>
  <c r="J11" i="3"/>
  <c r="J10" i="3"/>
  <c r="J9" i="3"/>
  <c r="J7" i="3"/>
  <c r="J6" i="3"/>
  <c r="J5" i="3"/>
  <c r="J31" i="2"/>
  <c r="I33" i="2"/>
  <c r="J28" i="2"/>
  <c r="J26" i="2"/>
  <c r="J20" i="2"/>
  <c r="I21" i="2"/>
  <c r="H21" i="2"/>
  <c r="J19" i="2"/>
  <c r="J18" i="2"/>
  <c r="J17" i="2"/>
  <c r="J16" i="2"/>
  <c r="H33" i="2"/>
  <c r="J30" i="2"/>
  <c r="J29" i="2"/>
  <c r="J27" i="2"/>
  <c r="J25" i="2"/>
  <c r="J13" i="2"/>
  <c r="J11" i="2"/>
  <c r="J15" i="2"/>
  <c r="J14" i="2"/>
  <c r="J12" i="2"/>
  <c r="J10" i="2"/>
  <c r="J9" i="2"/>
  <c r="J8" i="2"/>
  <c r="J7" i="2"/>
  <c r="J6" i="2"/>
  <c r="J5" i="2"/>
  <c r="G13" i="1"/>
  <c r="I12" i="1"/>
  <c r="I8" i="1"/>
  <c r="I10" i="1"/>
  <c r="H13" i="1"/>
  <c r="I11" i="1"/>
  <c r="I9" i="1"/>
  <c r="I7" i="1"/>
  <c r="I6" i="1"/>
  <c r="I5" i="1"/>
  <c r="I4" i="1"/>
  <c r="J23" i="7" l="1"/>
  <c r="J8" i="3"/>
  <c r="J21" i="3" s="1"/>
  <c r="J21" i="5"/>
  <c r="J29" i="5" s="1"/>
  <c r="J13" i="7"/>
  <c r="J17" i="6"/>
  <c r="J27" i="6"/>
  <c r="J17" i="5"/>
  <c r="J33" i="4"/>
  <c r="J21" i="4"/>
  <c r="I21" i="4"/>
  <c r="J33" i="3"/>
  <c r="J21" i="2"/>
  <c r="J33" i="2"/>
  <c r="I13" i="1"/>
</calcChain>
</file>

<file path=xl/sharedStrings.xml><?xml version="1.0" encoding="utf-8"?>
<sst xmlns="http://schemas.openxmlformats.org/spreadsheetml/2006/main" count="3207" uniqueCount="245">
  <si>
    <t>Takip No</t>
  </si>
  <si>
    <t>Kalite</t>
  </si>
  <si>
    <t>Gövde Kalınlık</t>
  </si>
  <si>
    <t>Taban</t>
  </si>
  <si>
    <t>Ürün Adı</t>
  </si>
  <si>
    <t>Kapsül</t>
  </si>
  <si>
    <t>Miktar</t>
  </si>
  <si>
    <t>Üretim</t>
  </si>
  <si>
    <t>Kalan</t>
  </si>
  <si>
    <t>DİK</t>
  </si>
  <si>
    <t>TABANSIZ HOMY 22 KUSKUS SÜZEK</t>
  </si>
  <si>
    <t>TABANSIZ 22 KUSKUS SÜZEK</t>
  </si>
  <si>
    <t>HELVANE</t>
  </si>
  <si>
    <t xml:space="preserve">LİNES 24x14  TEK ÇİZGİ ALTI SATEN GÜVEÇ PİRAMİT 10 PCS </t>
  </si>
  <si>
    <t xml:space="preserve">LİNES 24x14   TEK ÇİZGİ ALTI SATEN GÜVEÇ PİRAMİT 10 PCS </t>
  </si>
  <si>
    <t>YONCA 24x14 TENCERE  2 KORDON ARASI SATEN   10 PCS</t>
  </si>
  <si>
    <t>PAZARTESİ</t>
  </si>
  <si>
    <t>TENCERE POLİSAJ</t>
  </si>
  <si>
    <t>GÜMRÜK MALLARINI UNUTMA (15 ADET) 1 MM</t>
  </si>
  <si>
    <t>SALI</t>
  </si>
  <si>
    <t>LİNES 24x7 PİRAMİT 13 PCS</t>
  </si>
  <si>
    <t>GENİŞ</t>
  </si>
  <si>
    <t xml:space="preserve">YONCA 26Ø SPAGETTİ  TEK ÇİZGİ ALTI SATEN WELDONE MODEL 20 PCS </t>
  </si>
  <si>
    <t>LİNES 24x14 TEK ÇİZGİ ALTI SATEN GÜVEÇ PİRAMİT 13 PCS</t>
  </si>
  <si>
    <t>TENCERE POLİSAJ (MANUEL HAT)</t>
  </si>
  <si>
    <t>TENCERE POLİSAJ (OTOMATİK)</t>
  </si>
  <si>
    <t>AYPERİ 26Ø SPAGETTİ SADE DÜZ PARLAK 4 PCS</t>
  </si>
  <si>
    <t>KISA</t>
  </si>
  <si>
    <t>UZUN</t>
  </si>
  <si>
    <t>LİNES 28x18 TEK ÇİZGİ ALTI SATEN GÜVEÇ PİRAMİT 13 PCS</t>
  </si>
  <si>
    <t>LİNES 34x23 TEK ÇİZGİ ALTI SATEN GÜVEÇ PİRAMİT 10 PCS</t>
  </si>
  <si>
    <t>KJSA</t>
  </si>
  <si>
    <t>YONCA 32x21 ÇİFT KORDON ARASI SATEN TENCERE 10 PCS</t>
  </si>
  <si>
    <t>Dudak Formu</t>
  </si>
  <si>
    <t>Not: Liste dışı ürün yapılmayacak. Listelere adetler ve ürü tanımı düzgün yazılacaktır.</t>
  </si>
  <si>
    <t>LİNES 28x18 TEK ÇİZGİ ALTI SATEN GÜVEÇ PİRAMİT 10 PCS</t>
  </si>
  <si>
    <t>LİNES 16x9 TEK ÇİZGİ ALTI SATEN GÜVEÇ PİRAMİT 13 PCS</t>
  </si>
  <si>
    <t>PERŞEMBE</t>
  </si>
  <si>
    <t>CUMA</t>
  </si>
  <si>
    <t>TABANSIZ 20 KUSKUS SÜZEK</t>
  </si>
  <si>
    <t>ERESS 20 KUSKUS SÜZEK</t>
  </si>
  <si>
    <t>CUMARTESİ</t>
  </si>
  <si>
    <t>KUSKUS</t>
  </si>
  <si>
    <t>ERESS 20 KUSKUS TENCERE</t>
  </si>
  <si>
    <t>BEST MARK 20 KUSKUS TENCERE</t>
  </si>
  <si>
    <t>ERESS 22 KUSKUS TENCERE</t>
  </si>
  <si>
    <t>HOMY 22 KUSKUS TENCERE</t>
  </si>
  <si>
    <t>BEST MARK 22 KUSKUS TENCERE</t>
  </si>
  <si>
    <t>ERESS 24 KUSKUS TENCERE</t>
  </si>
  <si>
    <t>HOMY 24 KUSKUS TENCERE</t>
  </si>
  <si>
    <t>BEST MARK 24 KUSKUS TENCERE</t>
  </si>
  <si>
    <t>ERESS 26 KUSKUS TENCERE</t>
  </si>
  <si>
    <t>HOMY 26 KUSKUS TENCERE</t>
  </si>
  <si>
    <t>BEST MARK 26 KUSKUS TENCERE</t>
  </si>
  <si>
    <t>ÇARŞAMBA</t>
  </si>
  <si>
    <t>ERESS 26 KUSKUS TENCERE SADE PARLAK</t>
  </si>
  <si>
    <t>HOMY 26 KUSKUS TENCERE SADE PARLAK</t>
  </si>
  <si>
    <t>BEST MARK 26 KUSKUS TENCERE SADE PARLAK</t>
  </si>
  <si>
    <t>ERESS 28 KUSKUS TENCERE SADE PARLAK</t>
  </si>
  <si>
    <t>BEST MARK 28 KUSKUS TENCERE SADE PARLAK</t>
  </si>
  <si>
    <t>ERESS 30 KUSKUS TENCERE SADE PARLAK</t>
  </si>
  <si>
    <t>BEST MARK 30 KUSKUS TENCERE SADE PARLAK</t>
  </si>
  <si>
    <t>Not: Liste dışı ürün yapılmayacak. Listelere adetler ve ürün tanımı düzgün yazılacaktır.</t>
  </si>
  <si>
    <t>LİNES  40x27 OSCAR TEKLİ TENCERE</t>
  </si>
  <si>
    <t>TARİH:</t>
  </si>
  <si>
    <t>TAKİP NO</t>
  </si>
  <si>
    <t>KALİTE</t>
  </si>
  <si>
    <t>GÖVDE KALINLIK</t>
  </si>
  <si>
    <t>TABAN</t>
  </si>
  <si>
    <t>ÜRÜN ADI</t>
  </si>
  <si>
    <t>DUDAK FORMU</t>
  </si>
  <si>
    <t>KAPSÜL KALİTE</t>
  </si>
  <si>
    <t>MİKTAR</t>
  </si>
  <si>
    <t>ÜRETİM</t>
  </si>
  <si>
    <t>KALAN</t>
  </si>
  <si>
    <t>TENCERE POLİSAJ (OTOMATİK HAT)</t>
  </si>
  <si>
    <t>LİNES  28x18 OSCAR TEKLİ TENCERE GÖVDE ORTASI 3 KORDON</t>
  </si>
  <si>
    <t>LİNES  30x19,5 OSCAR TEKLİ TENCERE GÖVDE ORTASI 3 KORDON</t>
  </si>
  <si>
    <t>LİNES  40x27 OSCAR TEKLİ TENCERE GÖVDE ORTASI 3 KORDON</t>
  </si>
  <si>
    <t>LİNES  36x23 OSCAR TEKLİ TENCERE GÖVDE ORTASI 3 KORDON</t>
  </si>
  <si>
    <t>LİNES  34x21,5 OSCAR TEKLİ TENCERE GÖVDE ORTASI 3 KORDON</t>
  </si>
  <si>
    <t>LİNES  32x20,5 OSCAR TEKLİ TENCERE GÖVDE ORTASI 3 KORDON</t>
  </si>
  <si>
    <t>BEST MARK 20x10 KASEROLLA 5 PCS</t>
  </si>
  <si>
    <t>ERESS 20x10 KASEROLLA 5 PCS</t>
  </si>
  <si>
    <t>LİNES  22x12 OSCAR TEKLİ TENCERE</t>
  </si>
  <si>
    <t>LİNES  20x10 OSCAR TEKLİ TENCERE</t>
  </si>
  <si>
    <t>LİNES  18x10 OSCAR TEKLİ TENCERE</t>
  </si>
  <si>
    <t>LİNES  36x23 OSCAR TEKLİ TENCERE</t>
  </si>
  <si>
    <t>LİNES  34x21,5 OSCAR TEKLİ TENCERE</t>
  </si>
  <si>
    <t>LİNES  32x20,5 OSCAR TEKLİ TENCERE</t>
  </si>
  <si>
    <t>LİNES  30x19,5 OSCAR TEKLİ TENCERE</t>
  </si>
  <si>
    <t>LİNES  28x18 OSCAR TEKLİ TENCERE</t>
  </si>
  <si>
    <t>LİNES  26x16 OSCAR TEKLİ TENCERE</t>
  </si>
  <si>
    <t>LİNES  24x14 OSCAR TEKLİ TENCERE</t>
  </si>
  <si>
    <t>ERESS 16x9 KASEROLLA 5 PCS SADE PARLAK</t>
  </si>
  <si>
    <t>YONCA 16x9 TENCERE 6 PCS SADE PARLAK</t>
  </si>
  <si>
    <t>LİNES  18x10 OSCAR TEKLİ TENCERE 3 KORDONLU SADE</t>
  </si>
  <si>
    <t>LİNES  22x12 OSCAR TEKLİ TENCERE 3 KORDONLU SADE</t>
  </si>
  <si>
    <t>LİNES  24x14 OSCAR TEKLİ TENCERE 3 KORDONLU SADE</t>
  </si>
  <si>
    <t>LİNES  26x16 OSCAR TEKLİ TENCERE 3 KORDONLU SADE</t>
  </si>
  <si>
    <t>LİNES  32x20,5 OSCAR TEKLİ TENCERE 3 KORDONLU SADE</t>
  </si>
  <si>
    <t>LİNES  34x21,5 OSCAR TEKLİ TENCERE 3 KORDONLU SADE</t>
  </si>
  <si>
    <t>LİNES  36x23 OSCAR TEKLİ TENCERE 3 KORDONLU SADE</t>
  </si>
  <si>
    <t>LİNES  40x27 OSCAR TEKLİ TENCERE 3 KORDONLU SADE</t>
  </si>
  <si>
    <t>BEST MARK 18x10  KASEROLLA 5 PCS SADE PARLAK</t>
  </si>
  <si>
    <t>ERESS 18x10 KASEROLLA 5 PCS SADE PARLAK</t>
  </si>
  <si>
    <t>YONCA 18x9 TENCERE 6 PCS SADE PARLAK</t>
  </si>
  <si>
    <t>BEST MARK 16x9  KASEROLLA 5 PCS SADE PARLAK</t>
  </si>
  <si>
    <t>BEST MARK 14x8  KASEROLLA 5 PCS</t>
  </si>
  <si>
    <t>ERESS 14x8 KASEROLLA 5 PCS</t>
  </si>
  <si>
    <t>YONCA 14x8 TENCERE 6 PCS</t>
  </si>
  <si>
    <t>BEST MARK 12x7 KASEROLLA 5 PCS</t>
  </si>
  <si>
    <t>ERESS 12x7 KASEROLLA 5 PCS</t>
  </si>
  <si>
    <t>DÜDÜKLÜ</t>
  </si>
  <si>
    <t>OSCAR 22Ø 10 LT OSCAR GÜVEÇ MODEL DÜDÜKLÜ 3 KORDON ALTI SATEN</t>
  </si>
  <si>
    <t>YONCA 22Ø  10LT OSCAR GÜVEÇ MODEL DÜDÜKLÜ 3 KORDON ALTI SATEN</t>
  </si>
  <si>
    <t>UZUN EĞİK</t>
  </si>
  <si>
    <t>LİNES 1,5 LT SÜTLÜK ÇİFT KORDONLU ARASI SATEN</t>
  </si>
  <si>
    <t>LİNES 2 LT SÜTLÜK ÇİFT KORDONLU ARASI SATEN</t>
  </si>
  <si>
    <t>LİNES 1,5 LT SÜTLÜK ALTIN KEMERLİ SADE</t>
  </si>
  <si>
    <t>LİNES 2LT SÜTLÜK ALTIN KEMERLİ SADE</t>
  </si>
  <si>
    <t>OSCAR 22Ø 8 LT OSCAR GÜVEÇ MODEL DÜDÜKLÜ</t>
  </si>
  <si>
    <t>YONCA 22Ø 8 LT OSCAR GÜVEÇ MODEL DÜDÜKLÜ</t>
  </si>
  <si>
    <t>OSCAR 22Ø 8 LT OSCAR GÜVEÇ MODEL DÜDÜKLÜ 3 KORDON ALTI SATEN</t>
  </si>
  <si>
    <t>YONCA 22Ø 8 LT OSCAR GÜVEÇ MODEL DÜDÜKLÜ 3 KORDON ALTI SATEN</t>
  </si>
  <si>
    <t>YONCA 22Ø 9 Lt DÜDÜKLÜ GÜVEÇ MODEL SADE (ADIYAMAN KAPAK)</t>
  </si>
  <si>
    <t>YONCA 22Ø 7 Lt DÜDÜKLÜ GÜVEÇ MODEL SADE (ADIYAMAN KAPAK)</t>
  </si>
  <si>
    <t>YONCA 22Ø 5 Lt DÜDÜKLÜ GÜVEÇ MODEL SADE (ADIYAMAN KAPAK)</t>
  </si>
  <si>
    <t>LİNES 24Ø 12 LT DÜDÜKLÜ ALTIN KEMERLİ GÖVDE ALTI SATEN GÜVEÇ MODEL</t>
  </si>
  <si>
    <t>LİNES 24Ø 12 LT DÜDÜKLÜ TEK KORDON ALTI SATEN GÜVEÇ MODEL</t>
  </si>
  <si>
    <t>LİNES 22Ø 10 LT DÜDÜKLÜ ALTIN KEMERLİ GÖVDE ALTI SATEN GÜVEÇ MODEL</t>
  </si>
  <si>
    <t>LİNES 22Ø 10 LT DÜDÜKLÜ TEK KORDON ALTI SATEN GÜVEÇ MODEL</t>
  </si>
  <si>
    <t>LİNES 22Ø 8 LT DÜDÜKLÜ TEK KORDON ALTI SATEN GÜVEÇ MODEL</t>
  </si>
  <si>
    <t>LİNES 22Ø 8 LT DÜDÜKLÜ ALTIN KEMERLİ GÖVDE ALTI SATEN GÜVEÇ MODEL</t>
  </si>
  <si>
    <t>DÜDÜDKLÜ</t>
  </si>
  <si>
    <t>GÜMRÜK VE GÖZETİM MALLARINI UNUTMA (304-0,90) HEPSİNDEN 60'AR ADET</t>
  </si>
  <si>
    <t>GÜMRÜK VE GÖZETİM MALLARINI UNUTMA (304-0,90) HEPSİNDEN 50'ŞER ADET</t>
  </si>
  <si>
    <t>TABANSIZ HOMY 28 KUSKUS SÜZEK</t>
  </si>
  <si>
    <t>TABANSIZ HOMY 20 KUSKUS SÜZEK</t>
  </si>
  <si>
    <t>**</t>
  </si>
  <si>
    <t>GEMAK 26x16 OSCAR TENCERE GÖVDE ORTASI 3 KORDON ALTI SATEN DÜZ MODEL</t>
  </si>
  <si>
    <t>GEMAK 26x16 OSCAR TENCERE GÖVDE ORTASI 3 KORDON  ALTI SATEN DÜZ MODEL</t>
  </si>
  <si>
    <t>GEMAK 26x16 GÜVEÇ MODEL  ÇİFT KORDON ARASI SATEN GÜVEÇ MODEL</t>
  </si>
  <si>
    <t xml:space="preserve">GEMAK 26x16  ZEYCAN MODEL SADE PARLAK </t>
  </si>
  <si>
    <t>GEMAK 24x14 ZEYCAN MODEL ZEYCAN MODEL SADE PARLAK</t>
  </si>
  <si>
    <t>GEMAK 24x14 GÜVEÇ MODEL ÇİFT KORDON ARASI SATEN GÜVEÇ MODEL</t>
  </si>
  <si>
    <t>GEMAK 24x14 OSCAR TENCERE GÖVDE ORTASI 3 KORDON  ALTI SATEN DÜZ MODEL</t>
  </si>
  <si>
    <t>GEMAK 24x14 OSCAR TENCERE GÖVDE ORTASI 3 KORDON ALTI SATEN DÜZ MODEL</t>
  </si>
  <si>
    <t>TABANSIZ</t>
  </si>
  <si>
    <t>LİNES Ø24  14 LT DÜDÜKLÜ 3 KORDON ALTI SATEN GÜVEÇ MODEL 3 PCS</t>
  </si>
  <si>
    <t>GEMAK 20x11 OSCAR TENCERE GÖVDE ORTASI 3 KORDON ALTI SATEN DÜZ MODEL</t>
  </si>
  <si>
    <t>GEMAK 20x11 GÜVEÇ ÇİFT KORDON ARASI SATEN GÜVEÇ MODEL</t>
  </si>
  <si>
    <t>GEMAK 20x11 ZEYCAN MODEL ZEYCAN MODEL SADE PARLAK DÜZ MODEL</t>
  </si>
  <si>
    <t xml:space="preserve">GEMAK 20x11 OSCAR TENCERE GÖVDE ORTASI 3 KORDON ALTI SATEN DÜZ MODEL </t>
  </si>
  <si>
    <t>KSA</t>
  </si>
  <si>
    <t>GEMAK 18x10 ZEYCAN MODEL SADE PARLAK DÜZ MODEL</t>
  </si>
  <si>
    <t>GEMAK 18x10 GÜVEÇ MODEL ÇİFT KORDON ARASI SATEN GÜVEÇ MODEL</t>
  </si>
  <si>
    <t>GEMAK 18x10 OSCAR TENCERE 3 KORDON ALTI SATEN DÜZ MODEL</t>
  </si>
  <si>
    <t>HOMY 20 KUSKUS TENCERE SADE PARLAK DÜZ MODEL</t>
  </si>
  <si>
    <t>HOMY 28 KUSKUS TENCERE SADE PARLAK DÜZ MODEL</t>
  </si>
  <si>
    <t>LİNES 24x14 KÜRE ZEYCAN MODEL TENCERE SADE</t>
  </si>
  <si>
    <t>LİNES 24 KÜRE ZEYCAN MODEL BASIK TENCERE SADE</t>
  </si>
  <si>
    <t>LİNES 20x10 KÜRE ZEYCAN MODEL TENCERE</t>
  </si>
  <si>
    <t>LİNES 18x10 KÜRE ZEYCAN MODEL TENCERE</t>
  </si>
  <si>
    <t>26 KARNIYARIK (BASIK)  PIRIL TENCERE 8 PCS</t>
  </si>
  <si>
    <t>26 KARNIYARIK PIRIL TENCERE 8 PCS</t>
  </si>
  <si>
    <t xml:space="preserve">26 KARNIYARIK (BASIK)  PIRIL TENCERE 8 PCS </t>
  </si>
  <si>
    <t xml:space="preserve">26 KARNIYARIK (BASIK)  PIRIL TENCERE YARI GÜVEÇ MODEL SADE PARLAK  8 PCS </t>
  </si>
  <si>
    <t>24x14 PIRIL TENCERE YARI GÜVEÇ MODEL SADE PARLAK  8 PCS</t>
  </si>
  <si>
    <t>20x10 PIRIL TENCERE YARI GÜVEÇ MODEL SADE PARLAK  8 PCS</t>
  </si>
  <si>
    <t>26x16 PIRIL TENCERE YARI GÜVEÇ MODEL SADE PARLAK 8 PCS</t>
  </si>
  <si>
    <t>ÖN HAZIRLIĞA BAŞLANACAKTIR.</t>
  </si>
  <si>
    <t>YONCA 28x18 TENCERE TEK ÇİZGİ ALT SATEN  DÜZ MODEL 19 PCS</t>
  </si>
  <si>
    <t>YONCA 28x18 TENCERE TEK ÇİZGİ ALT SATEN  DÜZ MODEL 19 PCS GÜMRÜK MALI</t>
  </si>
  <si>
    <t>1 MM</t>
  </si>
  <si>
    <t>LİNES 28x18 TENCERE TEK ÇİZGİ ALTI SATEN  DÜZ MODEL 9 PCS   GÜMRÜK MALI</t>
  </si>
  <si>
    <t>LİNES 28x18 TENCERE TEK ÇİZGİ ALTI SATEN  DÜZ MODEL 9 PCS</t>
  </si>
  <si>
    <t>6 LT CLİPSO KAPAĞI KAPAKÇI GELİP DENENECEK. !!</t>
  </si>
  <si>
    <t>DİK TENCERELERİN GÜMRÜKLERİNİN BİLGİLERİ AŞAĞIDA VERİLMİŞTİR. !!</t>
  </si>
  <si>
    <t>8-10 -12 LT CLİPSO DÜDÜKLÜNÜN KAPAK BİLGİLERİNİ SOR !</t>
  </si>
  <si>
    <t>NOT</t>
  </si>
  <si>
    <t>LİNES 10 LT CLİPSO DÜDÜKLÜ TEK KORDON ALTI SATEN GÜVEÇ MODEL</t>
  </si>
  <si>
    <t xml:space="preserve">LİNES 8 LT CLİPSO DÜDÜKLÜ  GÜVEÇ MODEL SADE PARLAK </t>
  </si>
  <si>
    <t>LİNES 8 LT CLİPSO DÜDÜKLÜ TEK KORDON ALTI SATEN GÜVEÇ MODEL</t>
  </si>
  <si>
    <t xml:space="preserve">ABM 22 Ø 6 LT CLİPSO DÜDÜKLÜ GÜVEÇ  MODEL  SADE PARLAK </t>
  </si>
  <si>
    <t>CLİPSO</t>
  </si>
  <si>
    <t>LİNES 12 LT CLİPSO DÜDÜKLÜ  TEK KORDON ALTI SATEN GÜVEÇ MODEL</t>
  </si>
  <si>
    <t>LİNES 26x8  TENCERE TEK ÇİZGİ ALTI SATEN DÜZ MODEL 9 PCS</t>
  </si>
  <si>
    <t>YONCA 26x BASIK (KARNIYARIK  )TEK ÇİZGİ ALTI  SATEN DÜZ MODEL  19 PCS</t>
  </si>
  <si>
    <t>YONCA 26 TAVA  TEK ÇİZGİ ALTI SATEN SATEN DÜZ MODEL  19 PCS</t>
  </si>
  <si>
    <t>LİNES 26x8  TENCERE TEK ÇİZGİ ALTI SATEN DÜZ MODEL 9 PCS GÜMRÜK MALI</t>
  </si>
  <si>
    <t>YONCA 26x BASIK (KARNIYARIK  )TEK ÇİZGİ ALTI  SATEN DÜZ MODEL  19 PCS GÜMRÜK</t>
  </si>
  <si>
    <t>YONCA 26 TAVA  TEK ÇİZGİ ALTI SATEN SATEN DÜZ MODEL  19 PCS GÜMRÜK MALI</t>
  </si>
  <si>
    <t>250046 NUMARALI TAVA LİSTESİ PAKETLEMEDE 900 ADET ÜRÜN ÇİZGİ VE SATEN YAPILACAK</t>
  </si>
  <si>
    <t>LİNES 24x14 TENCERE TEK ÇİZGİ ALTI SATEN DÜZ MODEL 9 PCS</t>
  </si>
  <si>
    <t>YONCA 24x14  TENCERE TEK ÇİZGİ SATEN DÜZ MODEL 19 PCS</t>
  </si>
  <si>
    <t>LİNES 24x14 TENCERE TEK ÇİZGİ ALTI SATEN DÜZ MODEL 9 PCS GÜMRÜK MALI</t>
  </si>
  <si>
    <t>YONCA 24x14  TENCERE TEK ÇİZGİ SATEN DÜZ MODEL 19 PCS GÜMRÜK MALI</t>
  </si>
  <si>
    <t>YONCA 24x7  TAVA TEK ÇİZGİ SATEN DÜZ MODEL 19 PCS</t>
  </si>
  <si>
    <t>YONCA 24x7 TAVA TEK ÇİZGİ SATEN DÜZ MODEL 19 PCS GÜMRÜK MALI</t>
  </si>
  <si>
    <t>YONCA 26x8 TAVA  TEK ÇİZGİ ALTI SATEN SATEN DÜZ MODEL  19 PCS</t>
  </si>
  <si>
    <t>YONCA 26x9 BASIK (KARNIYARIK  )TEK ÇİZGİ ALTI  SATEN DÜZ MODEL  19 PCS</t>
  </si>
  <si>
    <t>YONCA 26x9 BASIK (KARNIYARIK  )TEK ÇİZGİ ALTI  SATEN DÜZ MODEL  19 PCS GÜMRÜK</t>
  </si>
  <si>
    <t>YONCA 26x8 TAVA  TEK ÇİZGİ ALTI SATEN SATEN DÜZ MODEL  19 PCS GÜMRÜK MALI</t>
  </si>
  <si>
    <t>LİNES 20x11 TENCERE 9 PCS</t>
  </si>
  <si>
    <t>YONCA 20x11 TENCERE TEK ÇİZGİ SATEN 19 PCS</t>
  </si>
  <si>
    <t>YONCA 20x11 TENCERE TEK ÇİZGİ ALTI SATEN DÜZ MODEL SATEN 19 PCS GÜMRÜK MALU</t>
  </si>
  <si>
    <t xml:space="preserve">YONCA 24x7  TAVA TEK ÇİZGİ SATEN DÜZ MODEL 19 PCS </t>
  </si>
  <si>
    <t>LİNES 20x11 TENCERE TEK ÇİZGİ ALTI SATEN DÜZ MODEL  9 PCS GÜMRÜK MALI</t>
  </si>
  <si>
    <t>LİNES 18x10 TENCERE TEK ÇİZGİ ALTI SATEN DÜZ MODEL 9 PCS (15X GÜMRÜK MALI UNUTMA)</t>
  </si>
  <si>
    <t>YONCA 18x10  TENCERE TEK ÇİZGİ ALTI SATEN DÜZ MODEL 19 PCS (15X GÜMRÜK MALI UNUTMA)</t>
  </si>
  <si>
    <t>YONCA 16x9   TEK ÇİZGİ ALTI SATEN DÜZ MODEL   19 PCS (15X GÜMRÜK MALI UNUTMA)</t>
  </si>
  <si>
    <t>LİNES 18x10 PİRAMİT TENCERE TEK ÇİZGİ ALTI SATEN GÜVEÇ PİRAMİT MODEL 14 PCS (15X GÜMRÜK)</t>
  </si>
  <si>
    <t>LİNES 18x10 PİRAMİT TENCERE TEK ÇİZGİ ALTI SATEN GÜVEÇ PİRAMİT MODEL 18 PCS (15X GÜMRÜK)</t>
  </si>
  <si>
    <t>LİNES 18x10 PİRAMİT TENCERE TEK ÇİZGİ ALTI SATEN GÜVEÇ PİRAMİT MODEL 24 PCS (15X GÜMRÜK)</t>
  </si>
  <si>
    <t>LİNES 18x10 PİRAMİT TENCERE TEK ÇİZGİ ALTI SATEN GÜVEÇ PİRAMİT MODEL 10 PCS (15X GÜMRÜK)</t>
  </si>
  <si>
    <t>LİNES 24x14 PİRAMİT TENCERE 10 PCS - GÖVDE ORTASI ÇİZGİ ALTI SATEN</t>
  </si>
  <si>
    <t>LİNES 24x14 PİRAMİT TENCERE 14 PCS - GÖVDE ORTASI ÇİZGİ ALTI SATEN</t>
  </si>
  <si>
    <t>LİNES 24x14 PİRAMİT TENCERE 18 PCS - GÖVDE ORTASI ÇİZGİ ALTI SATEN</t>
  </si>
  <si>
    <t>LİNES 24x14 PİRAMİT TENCERE 24 PCS - GÖVDE ORTASI ÇİZGİ ALTI SATEN</t>
  </si>
  <si>
    <t>LİNES 24x14 TENCERE - İHRACAT SATEN  - DÜZ MODEL - İNCE KALIN İNCE  SATEN</t>
  </si>
  <si>
    <t>LİNES 24 KUSKUS TENCERE - DÜZ MODEL - SADE PARLAK</t>
  </si>
  <si>
    <t>TABANSIZ LİNES 24 KUSKUS ÜST - SADE PARLAK</t>
  </si>
  <si>
    <t>LİNES 24x7.5 PİRAMİT TAVA 24 PCS - GÖVDE ORATASI TEK ÇİZGİ ALTI SATEN</t>
  </si>
  <si>
    <t>LİNES 24x7.5 PİRAMİT TAVA 18 PCS - GÖVDE ORATASI TEK ÇİZGİ ALTI SATEN</t>
  </si>
  <si>
    <t>TABANSIZ LİNES 24 KUSKUS ÜST - GÜVEÇ MODEL SADE PARLAK</t>
  </si>
  <si>
    <t xml:space="preserve">LİNES 32x21 PİRAMİT TENCERE TEK ÇİZGİ ALTI SATEN GÜVEÇ 10 PCS (GÜMRÜK UNUTMA 15X ) </t>
  </si>
  <si>
    <t xml:space="preserve">LİNES 28x18 PİRAMİT TENCERE TEK ÇİZGİ ALTI SATEN GÜVEÇ 24 PCS (GÜMRÜK UNUTMA 15X ) </t>
  </si>
  <si>
    <t xml:space="preserve">LİNES 28x18 PİRAMİT TENCERE TEK ÇİZGİ ALTI SATEN GÜVEÇ 18 PCS (GÜMRÜK UNUTMA 15X ) </t>
  </si>
  <si>
    <t xml:space="preserve">LİNES 28x18 PİRAMİT TENCERE TEK ÇİZGİ ALTI SATEN GÜVEÇ  14 PCS (GÜMRÜK UNUTMA 15X ) </t>
  </si>
  <si>
    <t>LİNES 28x18 TENCERE -İHRACAT SATE - DÜZ MODEL - İNCE KALIN İNCE SATEN</t>
  </si>
  <si>
    <t>TABANSIZ LİNES 28 KUSKUS ÜST  -----SADE PARLAK ----DÜZ MODEL ---</t>
  </si>
  <si>
    <t>LİNES 24x16 KUSKUS TENCERE - DÜZ MODEL - SADE PARLAK</t>
  </si>
  <si>
    <t>LİNES 28x18  KUSKUS TENCERE  -- SADE PARLAK-- DÜZ MODEL --</t>
  </si>
  <si>
    <t>TABANSIZ LİNES 24x12 KUSKUS ÜST - GÜVEÇ MODEL SADE PARLAK</t>
  </si>
  <si>
    <t>TABANSIZ LİNES 24x9.5 KUSKUS ÜST - SADE PARLAK</t>
  </si>
  <si>
    <t xml:space="preserve">LİNES 24x7.5 PİRAMİT TAVA 24 PCS - GÖVDE ORATASI TEK ÇİZGİ ALTI SATEN (GÜMRÜK UNUTMA 15X ) </t>
  </si>
  <si>
    <t xml:space="preserve">LİNES 24x7.5 PİRAMİT TAVA 18 PCS - GÖVDE ORATASI TEK ÇİZGİ ALTI SATEN (GÜMRÜK UNUTMA 15X ) </t>
  </si>
  <si>
    <t>TABANSIZ LİNES 28x10.5 KUSKUS ÜST  -----SADE PARLAK ----DÜZ MODEL ---</t>
  </si>
  <si>
    <t>YOK</t>
  </si>
  <si>
    <t>LİNES 26x9 PİRAMİT (KARNIYARIK) TEK ÇİZGİ ALTI SATEN  GÜVEÇ  24 PCS (GÜMRÜK UNUTMA 15X)</t>
  </si>
  <si>
    <t>LİNES 22x12 PİRAMİT TENCERE TEK ÇİZGİ ALTI SATEN GÜVEÇ 10 PCS (GÜMRÜK UNUTMA 15X)</t>
  </si>
  <si>
    <t xml:space="preserve">LİNES 22x12 PİRAMİT TENCERE TEK ÇİZGİ ALTI SATEN GÜVEÇ PCS 14 PCS (GÜMRÜK UNUTMA 15X) </t>
  </si>
  <si>
    <r>
      <t>TABANSIZ ABM 22Ø KUSKUS ÜST 22x9  34 PCS</t>
    </r>
    <r>
      <rPr>
        <b/>
        <sz val="14"/>
        <color theme="1"/>
        <rFont val="Calibri"/>
        <family val="2"/>
        <charset val="162"/>
        <scheme val="minor"/>
      </rPr>
      <t xml:space="preserve"> </t>
    </r>
    <r>
      <rPr>
        <b/>
        <sz val="12"/>
        <color theme="1"/>
        <rFont val="Calibri"/>
        <family val="2"/>
        <charset val="162"/>
        <scheme val="minor"/>
      </rPr>
      <t>GÜVEÇ SADE PARLAK</t>
    </r>
  </si>
  <si>
    <t>TABANSIZ ABM 22Ø KUSKUS ÜST 22x9 TEFLON 34 PCS GÜVEÇ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</si>
</sst>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0" xfId="0"/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2924" y="267674"/>
          <a:ext cx="1037491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819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819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222739</xdr:colOff>
      <xdr:row>1</xdr:row>
      <xdr:rowOff>39074</xdr:rowOff>
    </xdr:from>
    <xdr:to>
      <xdr:col>9</xdr:col>
      <xdr:colOff>521677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19" y="267674"/>
          <a:ext cx="103807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293074"/>
          <a:ext cx="105346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88779DB-5569-4E3C-AC49-BA66420D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3"/>
  <sheetViews>
    <sheetView zoomScale="85" zoomScaleNormal="85" workbookViewId="0">
      <selection activeCell="A4" sqref="A4:XFD4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45885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/>
      <c r="B5" s="2"/>
      <c r="C5" s="3"/>
      <c r="D5" s="3"/>
      <c r="E5" s="4"/>
      <c r="F5" s="2"/>
      <c r="G5" s="2"/>
      <c r="H5" s="5"/>
      <c r="I5" s="6"/>
      <c r="J5" s="5">
        <f t="shared" ref="J5:J10" si="0">H5-I5</f>
        <v>0</v>
      </c>
    </row>
    <row r="6" spans="1:10" ht="19.95" customHeight="1" x14ac:dyDescent="0.3">
      <c r="A6" s="2"/>
      <c r="B6" s="2"/>
      <c r="C6" s="3"/>
      <c r="D6" s="3"/>
      <c r="E6" s="4"/>
      <c r="F6" s="2"/>
      <c r="G6" s="5"/>
      <c r="H6" s="5"/>
      <c r="I6" s="6"/>
      <c r="J6" s="5">
        <f t="shared" si="0"/>
        <v>0</v>
      </c>
    </row>
    <row r="7" spans="1:10" ht="19.95" customHeight="1" x14ac:dyDescent="0.3">
      <c r="A7" s="2"/>
      <c r="B7" s="2"/>
      <c r="C7" s="3"/>
      <c r="D7" s="3"/>
      <c r="E7" s="4"/>
      <c r="F7" s="2"/>
      <c r="G7" s="5"/>
      <c r="H7" s="5"/>
      <c r="I7" s="6"/>
      <c r="J7" s="5">
        <f t="shared" si="0"/>
        <v>0</v>
      </c>
    </row>
    <row r="8" spans="1:10" ht="19.95" customHeight="1" x14ac:dyDescent="0.3">
      <c r="A8" s="2"/>
      <c r="B8" s="2"/>
      <c r="C8" s="3"/>
      <c r="D8" s="3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/>
      <c r="B9" s="2"/>
      <c r="C9" s="3"/>
      <c r="D9" s="3"/>
      <c r="E9" s="4"/>
      <c r="F9" s="2"/>
      <c r="G9" s="5"/>
      <c r="H9" s="5"/>
      <c r="I9" s="6"/>
      <c r="J9" s="5">
        <f t="shared" si="0"/>
        <v>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5">
        <f t="shared" si="0"/>
        <v>0</v>
      </c>
    </row>
    <row r="11" spans="1:10" ht="19.95" customHeight="1" x14ac:dyDescent="0.3">
      <c r="A11" s="14"/>
      <c r="B11" s="14"/>
      <c r="C11" s="14"/>
      <c r="D11" s="14"/>
      <c r="E11" s="15"/>
      <c r="F11" s="14"/>
      <c r="G11" s="16"/>
      <c r="H11" s="17">
        <f>SUM(H5:H10)</f>
        <v>0</v>
      </c>
      <c r="I11" s="19">
        <f>SUM(I5:I10)</f>
        <v>0</v>
      </c>
      <c r="J11" s="5">
        <f>SUM(J5:J10)</f>
        <v>0</v>
      </c>
    </row>
    <row r="13" spans="1:10" ht="30" customHeight="1" x14ac:dyDescent="0.3">
      <c r="A13" s="172" t="s">
        <v>24</v>
      </c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ht="30" customHeight="1" x14ac:dyDescent="0.3">
      <c r="A14" s="2" t="s">
        <v>65</v>
      </c>
      <c r="B14" s="2" t="s">
        <v>66</v>
      </c>
      <c r="C14" s="18" t="s">
        <v>67</v>
      </c>
      <c r="D14" s="18" t="s">
        <v>68</v>
      </c>
      <c r="E14" s="2" t="s">
        <v>69</v>
      </c>
      <c r="F14" s="18" t="s">
        <v>70</v>
      </c>
      <c r="G14" s="18" t="s">
        <v>71</v>
      </c>
      <c r="H14" s="2" t="s">
        <v>72</v>
      </c>
      <c r="I14" s="2" t="s">
        <v>73</v>
      </c>
      <c r="J14" s="2" t="s">
        <v>74</v>
      </c>
    </row>
    <row r="15" spans="1:10" ht="19.95" customHeight="1" x14ac:dyDescent="0.3">
      <c r="A15" s="2"/>
      <c r="B15" s="2"/>
      <c r="C15" s="3"/>
      <c r="D15" s="3"/>
      <c r="E15" s="4"/>
      <c r="F15" s="2"/>
      <c r="G15" s="2"/>
      <c r="H15" s="5"/>
      <c r="I15" s="6"/>
      <c r="J15" s="5">
        <f t="shared" ref="J15:J20" si="1">H15-I15</f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1"/>
        <v>0</v>
      </c>
    </row>
    <row r="17" spans="1:10" ht="19.95" customHeight="1" x14ac:dyDescent="0.3">
      <c r="A17" s="2"/>
      <c r="B17" s="2"/>
      <c r="C17" s="3"/>
      <c r="D17" s="3"/>
      <c r="E17" s="4"/>
      <c r="F17" s="2"/>
      <c r="G17" s="2"/>
      <c r="H17" s="5"/>
      <c r="I17" s="6"/>
      <c r="J17" s="5">
        <f t="shared" si="1"/>
        <v>0</v>
      </c>
    </row>
    <row r="18" spans="1:10" ht="19.95" customHeight="1" x14ac:dyDescent="0.3">
      <c r="A18" s="2"/>
      <c r="B18" s="2"/>
      <c r="C18" s="3"/>
      <c r="D18" s="3"/>
      <c r="E18" s="4"/>
      <c r="F18" s="2"/>
      <c r="G18" s="5"/>
      <c r="H18" s="5"/>
      <c r="I18" s="6"/>
      <c r="J18" s="5">
        <f t="shared" si="1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1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>
        <f t="shared" si="1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5">
        <f>SUM(H15:H20)</f>
        <v>0</v>
      </c>
      <c r="I21" s="6">
        <f>SUM(I15:I20)</f>
        <v>0</v>
      </c>
      <c r="J21" s="5">
        <f>SUM(J15:J20)</f>
        <v>0</v>
      </c>
    </row>
    <row r="23" spans="1:10" ht="23.4" x14ac:dyDescent="0.3">
      <c r="A23" s="172" t="s">
        <v>62</v>
      </c>
      <c r="B23" s="172"/>
      <c r="C23" s="172"/>
      <c r="D23" s="172"/>
      <c r="E23" s="172"/>
      <c r="F23" s="172"/>
      <c r="G23" s="172"/>
      <c r="H23" s="172"/>
      <c r="I23" s="172"/>
      <c r="J23" s="172"/>
    </row>
  </sheetData>
  <mergeCells count="5">
    <mergeCell ref="I1:J1"/>
    <mergeCell ref="A2:J2"/>
    <mergeCell ref="A3:J3"/>
    <mergeCell ref="A13:J13"/>
    <mergeCell ref="A23:J2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3"/>
  <sheetViews>
    <sheetView workbookViewId="0">
      <selection activeCell="H7" sqref="H7"/>
    </sheetView>
  </sheetViews>
  <sheetFormatPr defaultRowHeight="14.4" x14ac:dyDescent="0.3"/>
  <cols>
    <col min="1" max="1" width="10.44140625" customWidth="1"/>
    <col min="3" max="3" width="7.5546875" customWidth="1"/>
    <col min="4" max="4" width="10.21875" customWidth="1"/>
    <col min="5" max="5" width="71.88671875" customWidth="1"/>
    <col min="6" max="6" width="6.109375" customWidth="1"/>
    <col min="7" max="7" width="6.6640625" customWidth="1"/>
    <col min="9" max="9" width="11.109375" customWidth="1"/>
  </cols>
  <sheetData>
    <row r="1" spans="1:9" ht="18" x14ac:dyDescent="0.35">
      <c r="A1" s="176" t="s">
        <v>16</v>
      </c>
      <c r="B1" s="177"/>
      <c r="C1" s="177"/>
      <c r="D1" s="177"/>
      <c r="E1" s="177"/>
      <c r="F1" s="177"/>
      <c r="G1" s="175"/>
      <c r="H1" s="174">
        <v>45901</v>
      </c>
      <c r="I1" s="175"/>
    </row>
    <row r="2" spans="1:9" ht="25.8" customHeight="1" x14ac:dyDescent="0.3">
      <c r="A2" s="173" t="s">
        <v>17</v>
      </c>
      <c r="B2" s="173"/>
      <c r="C2" s="173"/>
      <c r="D2" s="173"/>
      <c r="E2" s="173"/>
      <c r="F2" s="173"/>
      <c r="G2" s="173"/>
      <c r="H2" s="173"/>
      <c r="I2" s="173"/>
    </row>
    <row r="3" spans="1:9" ht="28.8" x14ac:dyDescent="0.3">
      <c r="A3" s="7" t="s">
        <v>0</v>
      </c>
      <c r="B3" s="7" t="s">
        <v>1</v>
      </c>
      <c r="C3" s="8" t="s">
        <v>2</v>
      </c>
      <c r="D3" s="8" t="s">
        <v>3</v>
      </c>
      <c r="E3" s="9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24.6" customHeight="1" x14ac:dyDescent="0.3">
      <c r="A4" s="2">
        <v>250067</v>
      </c>
      <c r="B4" s="2">
        <v>430</v>
      </c>
      <c r="C4" s="3">
        <v>0.5</v>
      </c>
      <c r="D4" s="3" t="s">
        <v>9</v>
      </c>
      <c r="E4" s="4" t="s">
        <v>10</v>
      </c>
      <c r="F4" s="2"/>
      <c r="G4" s="5">
        <v>1000</v>
      </c>
      <c r="H4" s="6">
        <v>600</v>
      </c>
      <c r="I4" s="5">
        <f>G4-H4</f>
        <v>400</v>
      </c>
    </row>
    <row r="5" spans="1:9" ht="24.6" customHeight="1" x14ac:dyDescent="0.3">
      <c r="A5" s="2">
        <v>250063</v>
      </c>
      <c r="B5" s="2">
        <v>430</v>
      </c>
      <c r="C5" s="3">
        <v>0.5</v>
      </c>
      <c r="D5" s="3" t="s">
        <v>9</v>
      </c>
      <c r="E5" s="4" t="s">
        <v>11</v>
      </c>
      <c r="F5" s="2"/>
      <c r="G5" s="5">
        <v>1000</v>
      </c>
      <c r="H5" s="6">
        <v>1000</v>
      </c>
      <c r="I5" s="5">
        <f t="shared" ref="I5:I12" si="0">G5-H5</f>
        <v>0</v>
      </c>
    </row>
    <row r="6" spans="1:9" ht="24.6" customHeight="1" x14ac:dyDescent="0.3">
      <c r="A6" s="2">
        <v>250064</v>
      </c>
      <c r="B6" s="2">
        <v>430</v>
      </c>
      <c r="C6" s="3">
        <v>0.5</v>
      </c>
      <c r="D6" s="3" t="s">
        <v>9</v>
      </c>
      <c r="E6" s="4" t="s">
        <v>11</v>
      </c>
      <c r="F6" s="2"/>
      <c r="G6" s="5">
        <v>1000</v>
      </c>
      <c r="H6" s="6">
        <v>1000</v>
      </c>
      <c r="I6" s="5">
        <f t="shared" si="0"/>
        <v>0</v>
      </c>
    </row>
    <row r="7" spans="1:9" ht="24.6" customHeight="1" x14ac:dyDescent="0.3">
      <c r="A7" s="2">
        <v>250049</v>
      </c>
      <c r="B7" s="2">
        <v>304</v>
      </c>
      <c r="C7" s="3">
        <v>0.7</v>
      </c>
      <c r="D7" s="3" t="s">
        <v>12</v>
      </c>
      <c r="E7" s="4" t="s">
        <v>15</v>
      </c>
      <c r="F7" s="2">
        <v>304</v>
      </c>
      <c r="G7" s="5">
        <v>775</v>
      </c>
      <c r="H7" s="6">
        <v>785</v>
      </c>
      <c r="I7" s="5">
        <f t="shared" si="0"/>
        <v>-10</v>
      </c>
    </row>
    <row r="8" spans="1:9" ht="24.6" customHeight="1" x14ac:dyDescent="0.3">
      <c r="A8" s="2"/>
      <c r="B8" s="2"/>
      <c r="C8" s="3"/>
      <c r="D8" s="3"/>
      <c r="E8" s="4" t="s">
        <v>18</v>
      </c>
      <c r="F8" s="2"/>
      <c r="G8" s="5">
        <v>15</v>
      </c>
      <c r="H8" s="6">
        <v>15</v>
      </c>
      <c r="I8" s="5">
        <f t="shared" si="0"/>
        <v>0</v>
      </c>
    </row>
    <row r="9" spans="1:9" ht="24.6" customHeight="1" x14ac:dyDescent="0.3">
      <c r="A9" s="2">
        <v>250051</v>
      </c>
      <c r="B9" s="2">
        <v>304</v>
      </c>
      <c r="C9" s="3">
        <v>0.7</v>
      </c>
      <c r="D9" s="3" t="s">
        <v>12</v>
      </c>
      <c r="E9" s="4" t="s">
        <v>13</v>
      </c>
      <c r="F9" s="2">
        <v>304</v>
      </c>
      <c r="G9" s="5">
        <v>885</v>
      </c>
      <c r="H9" s="6"/>
      <c r="I9" s="5">
        <f t="shared" si="0"/>
        <v>885</v>
      </c>
    </row>
    <row r="10" spans="1:9" ht="24.6" customHeight="1" x14ac:dyDescent="0.3">
      <c r="A10" s="2"/>
      <c r="B10" s="2"/>
      <c r="C10" s="3"/>
      <c r="D10" s="3"/>
      <c r="E10" s="4" t="s">
        <v>18</v>
      </c>
      <c r="F10" s="2"/>
      <c r="G10" s="5">
        <v>15</v>
      </c>
      <c r="H10" s="6"/>
      <c r="I10" s="5">
        <f t="shared" si="0"/>
        <v>15</v>
      </c>
    </row>
    <row r="11" spans="1:9" ht="24.6" customHeight="1" x14ac:dyDescent="0.3">
      <c r="A11" s="2">
        <v>250053</v>
      </c>
      <c r="B11" s="2">
        <v>304</v>
      </c>
      <c r="C11" s="3">
        <v>0.7</v>
      </c>
      <c r="D11" s="3" t="s">
        <v>12</v>
      </c>
      <c r="E11" s="4" t="s">
        <v>14</v>
      </c>
      <c r="F11" s="2">
        <v>304</v>
      </c>
      <c r="G11" s="5">
        <v>705</v>
      </c>
      <c r="H11" s="6"/>
      <c r="I11" s="5">
        <f t="shared" si="0"/>
        <v>705</v>
      </c>
    </row>
    <row r="12" spans="1:9" ht="24.6" customHeight="1" x14ac:dyDescent="0.3">
      <c r="A12" s="2"/>
      <c r="B12" s="2"/>
      <c r="C12" s="3"/>
      <c r="D12" s="3"/>
      <c r="E12" s="4" t="s">
        <v>18</v>
      </c>
      <c r="F12" s="2"/>
      <c r="G12" s="5">
        <v>15</v>
      </c>
      <c r="H12" s="6"/>
      <c r="I12" s="5">
        <f t="shared" si="0"/>
        <v>15</v>
      </c>
    </row>
    <row r="13" spans="1:9" ht="24.6" customHeight="1" x14ac:dyDescent="0.3">
      <c r="A13" s="2"/>
      <c r="B13" s="2"/>
      <c r="C13" s="2"/>
      <c r="D13" s="2"/>
      <c r="E13" s="4"/>
      <c r="F13" s="2"/>
      <c r="G13" s="5">
        <f>SUM(G4:G12)</f>
        <v>5410</v>
      </c>
      <c r="H13" s="6">
        <f>SUM(H4:H11)</f>
        <v>3400</v>
      </c>
      <c r="I13" s="5">
        <f>SUM(I4:I12)</f>
        <v>2010</v>
      </c>
    </row>
  </sheetData>
  <mergeCells count="3">
    <mergeCell ref="A2:I2"/>
    <mergeCell ref="H1:I1"/>
    <mergeCell ref="A1:G1"/>
  </mergeCells>
  <pageMargins left="0.19685039370078741" right="0.19685039370078741" top="0.19685039370078741" bottom="0.19685039370078741" header="0.39370078740157483" footer="0.3937007874015748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35"/>
  <sheetViews>
    <sheetView topLeftCell="A13" zoomScaleNormal="100" workbookViewId="0">
      <selection activeCell="E12" sqref="E12:I13"/>
    </sheetView>
  </sheetViews>
  <sheetFormatPr defaultRowHeight="14.4" x14ac:dyDescent="0.3"/>
  <cols>
    <col min="1" max="1" width="10.44140625" customWidth="1"/>
    <col min="2" max="3" width="7.77734375" customWidth="1"/>
    <col min="4" max="4" width="10.77734375" customWidth="1"/>
    <col min="5" max="5" width="71.88671875" customWidth="1"/>
    <col min="6" max="6" width="10.77734375" style="13" customWidth="1"/>
    <col min="7" max="7" width="6.77734375" customWidth="1"/>
    <col min="8" max="10" width="10.77734375" customWidth="1"/>
  </cols>
  <sheetData>
    <row r="1" spans="1:10" ht="18" x14ac:dyDescent="0.35">
      <c r="I1" s="178">
        <v>45902</v>
      </c>
      <c r="J1" s="179"/>
    </row>
    <row r="2" spans="1:10" ht="30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2">
        <v>250051</v>
      </c>
      <c r="B6" s="2">
        <v>304</v>
      </c>
      <c r="C6" s="3">
        <v>0.7</v>
      </c>
      <c r="D6" s="3" t="s">
        <v>12</v>
      </c>
      <c r="E6" s="4" t="s">
        <v>13</v>
      </c>
      <c r="F6" s="2" t="s">
        <v>28</v>
      </c>
      <c r="G6" s="2">
        <v>304</v>
      </c>
      <c r="H6" s="5">
        <v>885</v>
      </c>
      <c r="I6" s="6">
        <v>885</v>
      </c>
      <c r="J6" s="5">
        <f t="shared" ref="J6:J20" si="0">H6-I6</f>
        <v>0</v>
      </c>
    </row>
    <row r="7" spans="1:10" ht="19.95" customHeight="1" x14ac:dyDescent="0.3">
      <c r="A7" s="2"/>
      <c r="B7" s="2"/>
      <c r="C7" s="3"/>
      <c r="D7" s="3"/>
      <c r="E7" s="4" t="s">
        <v>18</v>
      </c>
      <c r="F7" s="2" t="s">
        <v>28</v>
      </c>
      <c r="G7" s="2"/>
      <c r="H7" s="5">
        <v>15</v>
      </c>
      <c r="I7" s="6">
        <v>15</v>
      </c>
      <c r="J7" s="5">
        <f t="shared" si="0"/>
        <v>0</v>
      </c>
    </row>
    <row r="8" spans="1:10" ht="19.95" customHeight="1" x14ac:dyDescent="0.3">
      <c r="A8" s="2">
        <v>250053</v>
      </c>
      <c r="B8" s="2">
        <v>304</v>
      </c>
      <c r="C8" s="3">
        <v>0.7</v>
      </c>
      <c r="D8" s="3" t="s">
        <v>12</v>
      </c>
      <c r="E8" s="4" t="s">
        <v>14</v>
      </c>
      <c r="F8" s="2" t="s">
        <v>28</v>
      </c>
      <c r="G8" s="2">
        <v>304</v>
      </c>
      <c r="H8" s="5">
        <v>705</v>
      </c>
      <c r="I8" s="6">
        <v>705</v>
      </c>
      <c r="J8" s="5">
        <f t="shared" si="0"/>
        <v>0</v>
      </c>
    </row>
    <row r="9" spans="1:10" ht="19.95" customHeight="1" x14ac:dyDescent="0.3">
      <c r="A9" s="2"/>
      <c r="B9" s="2"/>
      <c r="C9" s="3"/>
      <c r="D9" s="3"/>
      <c r="E9" s="4" t="s">
        <v>18</v>
      </c>
      <c r="F9" s="2" t="s">
        <v>28</v>
      </c>
      <c r="G9" s="2"/>
      <c r="H9" s="5">
        <v>15</v>
      </c>
      <c r="I9" s="6">
        <v>15</v>
      </c>
      <c r="J9" s="5">
        <f t="shared" si="0"/>
        <v>0</v>
      </c>
    </row>
    <row r="10" spans="1:10" ht="19.95" customHeight="1" x14ac:dyDescent="0.3">
      <c r="A10" s="2">
        <v>250054</v>
      </c>
      <c r="B10" s="2">
        <v>304</v>
      </c>
      <c r="C10" s="3">
        <v>0.7</v>
      </c>
      <c r="D10" s="3" t="s">
        <v>12</v>
      </c>
      <c r="E10" s="4" t="s">
        <v>23</v>
      </c>
      <c r="F10" s="2" t="s">
        <v>28</v>
      </c>
      <c r="G10" s="2">
        <v>304</v>
      </c>
      <c r="H10" s="5">
        <v>805</v>
      </c>
      <c r="I10" s="6">
        <v>805</v>
      </c>
      <c r="J10" s="5">
        <f t="shared" si="0"/>
        <v>0</v>
      </c>
    </row>
    <row r="11" spans="1:10" ht="19.95" customHeight="1" x14ac:dyDescent="0.3">
      <c r="A11" s="2"/>
      <c r="B11" s="2"/>
      <c r="C11" s="3"/>
      <c r="D11" s="3"/>
      <c r="E11" s="4" t="s">
        <v>18</v>
      </c>
      <c r="F11" s="2" t="s">
        <v>28</v>
      </c>
      <c r="G11" s="2"/>
      <c r="H11" s="5">
        <v>15</v>
      </c>
      <c r="I11" s="6">
        <v>15</v>
      </c>
      <c r="J11" s="5">
        <f t="shared" si="0"/>
        <v>0</v>
      </c>
    </row>
    <row r="12" spans="1:10" ht="19.95" customHeight="1" x14ac:dyDescent="0.3">
      <c r="A12" s="2">
        <v>250054</v>
      </c>
      <c r="B12" s="2">
        <v>304</v>
      </c>
      <c r="C12" s="3">
        <v>0.7</v>
      </c>
      <c r="D12" s="3" t="s">
        <v>12</v>
      </c>
      <c r="E12" s="4" t="s">
        <v>20</v>
      </c>
      <c r="F12" s="2"/>
      <c r="G12" s="2">
        <v>304</v>
      </c>
      <c r="H12" s="5">
        <v>805</v>
      </c>
      <c r="I12" s="6"/>
      <c r="J12" s="5">
        <f t="shared" si="0"/>
        <v>805</v>
      </c>
    </row>
    <row r="13" spans="1:10" ht="19.95" customHeight="1" x14ac:dyDescent="0.3">
      <c r="A13" s="2"/>
      <c r="B13" s="2"/>
      <c r="C13" s="3"/>
      <c r="D13" s="3"/>
      <c r="E13" s="4" t="s">
        <v>18</v>
      </c>
      <c r="F13" s="2"/>
      <c r="G13" s="2"/>
      <c r="H13" s="5">
        <v>15</v>
      </c>
      <c r="I13" s="6"/>
      <c r="J13" s="5">
        <f t="shared" si="0"/>
        <v>15</v>
      </c>
    </row>
    <row r="14" spans="1:10" ht="19.95" customHeight="1" x14ac:dyDescent="0.3">
      <c r="A14" s="2">
        <v>250035</v>
      </c>
      <c r="B14" s="2">
        <v>304</v>
      </c>
      <c r="C14" s="3">
        <v>0.7</v>
      </c>
      <c r="D14" s="3" t="s">
        <v>21</v>
      </c>
      <c r="E14" s="4" t="s">
        <v>22</v>
      </c>
      <c r="F14" s="2" t="s">
        <v>27</v>
      </c>
      <c r="G14" s="2">
        <v>304</v>
      </c>
      <c r="H14" s="5">
        <v>455</v>
      </c>
      <c r="I14" s="6"/>
      <c r="J14" s="5">
        <f t="shared" si="0"/>
        <v>455</v>
      </c>
    </row>
    <row r="15" spans="1:10" ht="19.95" customHeight="1" x14ac:dyDescent="0.3">
      <c r="A15" s="2"/>
      <c r="B15" s="2"/>
      <c r="C15" s="3"/>
      <c r="D15" s="3"/>
      <c r="E15" s="4" t="s">
        <v>18</v>
      </c>
      <c r="F15" s="2" t="s">
        <v>27</v>
      </c>
      <c r="G15" s="2"/>
      <c r="H15" s="5">
        <v>15</v>
      </c>
      <c r="I15" s="6"/>
      <c r="J15" s="5">
        <f t="shared" si="0"/>
        <v>15</v>
      </c>
    </row>
    <row r="16" spans="1:10" ht="19.95" customHeight="1" x14ac:dyDescent="0.3">
      <c r="A16" s="2">
        <v>250050</v>
      </c>
      <c r="B16" s="2">
        <v>304</v>
      </c>
      <c r="C16" s="3">
        <v>0.6</v>
      </c>
      <c r="D16" s="3" t="s">
        <v>21</v>
      </c>
      <c r="E16" s="4" t="s">
        <v>26</v>
      </c>
      <c r="F16" s="2" t="s">
        <v>27</v>
      </c>
      <c r="G16" s="2">
        <v>430</v>
      </c>
      <c r="H16" s="5">
        <v>870</v>
      </c>
      <c r="I16" s="6"/>
      <c r="J16" s="5">
        <f t="shared" si="0"/>
        <v>870</v>
      </c>
    </row>
    <row r="17" spans="1:10" ht="19.95" customHeight="1" x14ac:dyDescent="0.3">
      <c r="A17" s="2"/>
      <c r="B17" s="2"/>
      <c r="C17" s="3"/>
      <c r="D17" s="3"/>
      <c r="E17" s="4" t="s">
        <v>18</v>
      </c>
      <c r="F17" s="2" t="s">
        <v>27</v>
      </c>
      <c r="G17" s="2"/>
      <c r="H17" s="5">
        <v>30</v>
      </c>
      <c r="I17" s="6"/>
      <c r="J17" s="5">
        <f t="shared" si="0"/>
        <v>30</v>
      </c>
    </row>
    <row r="18" spans="1:10" ht="19.95" customHeight="1" x14ac:dyDescent="0.3">
      <c r="A18" s="7">
        <v>250054</v>
      </c>
      <c r="B18" s="7">
        <v>304</v>
      </c>
      <c r="C18" s="10">
        <v>0.7</v>
      </c>
      <c r="D18" s="10" t="s">
        <v>12</v>
      </c>
      <c r="E18" s="4" t="s">
        <v>29</v>
      </c>
      <c r="F18" s="7" t="s">
        <v>28</v>
      </c>
      <c r="G18" s="7">
        <v>304</v>
      </c>
      <c r="H18" s="12">
        <v>805</v>
      </c>
      <c r="I18" s="6"/>
      <c r="J18" s="5">
        <f t="shared" si="0"/>
        <v>805</v>
      </c>
    </row>
    <row r="19" spans="1:10" ht="19.95" customHeight="1" x14ac:dyDescent="0.3">
      <c r="A19" s="2"/>
      <c r="B19" s="2"/>
      <c r="C19" s="3"/>
      <c r="D19" s="3"/>
      <c r="E19" s="4" t="s">
        <v>18</v>
      </c>
      <c r="F19" s="2" t="s">
        <v>28</v>
      </c>
      <c r="G19" s="2"/>
      <c r="H19" s="5">
        <v>15</v>
      </c>
      <c r="I19" s="6"/>
      <c r="J19" s="5">
        <f t="shared" si="0"/>
        <v>15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6450</v>
      </c>
      <c r="I21" s="19">
        <f>SUM(I5:I20)</f>
        <v>3380</v>
      </c>
      <c r="J21" s="5">
        <f>SUM(J5:J20)</f>
        <v>3070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2" t="s">
        <v>0</v>
      </c>
      <c r="B24" s="2" t="s">
        <v>1</v>
      </c>
      <c r="C24" s="18" t="s">
        <v>2</v>
      </c>
      <c r="D24" s="18" t="s">
        <v>3</v>
      </c>
      <c r="E24" s="2" t="s">
        <v>4</v>
      </c>
      <c r="F24" s="18" t="s">
        <v>33</v>
      </c>
      <c r="G24" s="2" t="s">
        <v>5</v>
      </c>
      <c r="H24" s="2" t="s">
        <v>6</v>
      </c>
      <c r="I24" s="2" t="s">
        <v>7</v>
      </c>
      <c r="J24" s="2" t="s">
        <v>8</v>
      </c>
    </row>
    <row r="25" spans="1:10" ht="19.95" customHeight="1" x14ac:dyDescent="0.3">
      <c r="A25" s="2">
        <v>250053</v>
      </c>
      <c r="B25" s="2">
        <v>304</v>
      </c>
      <c r="C25" s="3">
        <v>0.7</v>
      </c>
      <c r="D25" s="3" t="s">
        <v>12</v>
      </c>
      <c r="E25" s="4" t="s">
        <v>30</v>
      </c>
      <c r="F25" s="2" t="s">
        <v>28</v>
      </c>
      <c r="G25" s="2">
        <v>304</v>
      </c>
      <c r="H25" s="5">
        <v>705</v>
      </c>
      <c r="I25" s="6"/>
      <c r="J25" s="5">
        <f t="shared" ref="J25:J31" si="1">H25-I25</f>
        <v>705</v>
      </c>
    </row>
    <row r="26" spans="1:10" ht="19.95" customHeight="1" x14ac:dyDescent="0.3">
      <c r="A26" s="2"/>
      <c r="B26" s="2"/>
      <c r="C26" s="3"/>
      <c r="D26" s="3"/>
      <c r="E26" s="4" t="s">
        <v>18</v>
      </c>
      <c r="F26" s="2" t="s">
        <v>28</v>
      </c>
      <c r="G26" s="2"/>
      <c r="H26" s="5">
        <v>15</v>
      </c>
      <c r="I26" s="6"/>
      <c r="J26" s="5">
        <f t="shared" si="1"/>
        <v>15</v>
      </c>
    </row>
    <row r="27" spans="1:10" ht="19.95" customHeight="1" x14ac:dyDescent="0.3">
      <c r="A27" s="2">
        <v>250049</v>
      </c>
      <c r="B27" s="2">
        <v>304</v>
      </c>
      <c r="C27" s="3">
        <v>0.7</v>
      </c>
      <c r="D27" s="3" t="s">
        <v>12</v>
      </c>
      <c r="E27" s="4" t="s">
        <v>32</v>
      </c>
      <c r="F27" s="2" t="s">
        <v>27</v>
      </c>
      <c r="G27" s="2">
        <v>304</v>
      </c>
      <c r="H27" s="5">
        <v>775</v>
      </c>
      <c r="I27" s="6"/>
      <c r="J27" s="5">
        <f t="shared" si="1"/>
        <v>775</v>
      </c>
    </row>
    <row r="28" spans="1:10" ht="19.95" customHeight="1" x14ac:dyDescent="0.3">
      <c r="A28" s="2"/>
      <c r="B28" s="2"/>
      <c r="C28" s="3"/>
      <c r="D28" s="3"/>
      <c r="E28" s="4" t="s">
        <v>18</v>
      </c>
      <c r="F28" s="2" t="s">
        <v>31</v>
      </c>
      <c r="G28" s="2"/>
      <c r="H28" s="5">
        <v>15</v>
      </c>
      <c r="I28" s="6"/>
      <c r="J28" s="5">
        <f t="shared" si="1"/>
        <v>15</v>
      </c>
    </row>
    <row r="29" spans="1:10" ht="19.95" customHeight="1" x14ac:dyDescent="0.3">
      <c r="A29" s="2">
        <v>250054</v>
      </c>
      <c r="B29" s="2">
        <v>304</v>
      </c>
      <c r="C29" s="3">
        <v>0.7</v>
      </c>
      <c r="D29" s="3" t="s">
        <v>12</v>
      </c>
      <c r="E29" s="4" t="s">
        <v>29</v>
      </c>
      <c r="F29" s="2" t="s">
        <v>28</v>
      </c>
      <c r="G29" s="2">
        <v>304</v>
      </c>
      <c r="H29" s="5">
        <v>805</v>
      </c>
      <c r="I29" s="6"/>
      <c r="J29" s="5">
        <f t="shared" si="1"/>
        <v>805</v>
      </c>
    </row>
    <row r="30" spans="1:10" ht="19.95" customHeight="1" x14ac:dyDescent="0.3">
      <c r="A30" s="2"/>
      <c r="B30" s="2"/>
      <c r="C30" s="3"/>
      <c r="D30" s="3"/>
      <c r="E30" s="4" t="s">
        <v>18</v>
      </c>
      <c r="F30" s="2" t="s">
        <v>28</v>
      </c>
      <c r="G30" s="2"/>
      <c r="H30" s="5">
        <v>15</v>
      </c>
      <c r="I30" s="6"/>
      <c r="J30" s="5">
        <f t="shared" si="1"/>
        <v>15</v>
      </c>
    </row>
    <row r="31" spans="1:10" ht="19.95" customHeight="1" x14ac:dyDescent="0.3">
      <c r="A31" s="2"/>
      <c r="B31" s="2"/>
      <c r="C31" s="3"/>
      <c r="D31" s="3"/>
      <c r="E31" s="4"/>
      <c r="F31" s="2"/>
      <c r="G31" s="2"/>
      <c r="H31" s="5"/>
      <c r="I31" s="6"/>
      <c r="J31" s="5">
        <f t="shared" si="1"/>
        <v>0</v>
      </c>
    </row>
    <row r="32" spans="1:10" ht="19.95" customHeight="1" x14ac:dyDescent="0.3">
      <c r="A32" s="2"/>
      <c r="B32" s="2"/>
      <c r="C32" s="3"/>
      <c r="D32" s="3"/>
      <c r="E32" s="4"/>
      <c r="F32" s="2"/>
      <c r="G32" s="2"/>
      <c r="H32" s="5"/>
      <c r="I32" s="6"/>
      <c r="J32" s="5"/>
    </row>
    <row r="33" spans="1:10" ht="19.95" customHeight="1" x14ac:dyDescent="0.3">
      <c r="A33" s="14"/>
      <c r="B33" s="14"/>
      <c r="C33" s="14"/>
      <c r="D33" s="14"/>
      <c r="E33" s="15"/>
      <c r="F33" s="14"/>
      <c r="G33" s="16"/>
      <c r="H33" s="5">
        <f>SUM(H25:H32)</f>
        <v>2330</v>
      </c>
      <c r="I33" s="6">
        <f>SUM(I25:I32)</f>
        <v>0</v>
      </c>
      <c r="J33" s="5">
        <f>SUM(J25:J32)</f>
        <v>2330</v>
      </c>
    </row>
    <row r="35" spans="1:10" ht="23.4" x14ac:dyDescent="0.3">
      <c r="A35" s="172" t="s">
        <v>34</v>
      </c>
      <c r="B35" s="172"/>
      <c r="C35" s="172"/>
      <c r="D35" s="172"/>
      <c r="E35" s="172"/>
      <c r="F35" s="172"/>
      <c r="G35" s="172"/>
      <c r="H35" s="172"/>
      <c r="I35" s="172"/>
      <c r="J35" s="172"/>
    </row>
  </sheetData>
  <mergeCells count="5">
    <mergeCell ref="A35:J35"/>
    <mergeCell ref="A3:J3"/>
    <mergeCell ref="A23:J23"/>
    <mergeCell ref="I1:J1"/>
    <mergeCell ref="A2:J2"/>
  </mergeCells>
  <pageMargins left="0.19685039370078741" right="0.19685039370078741" top="0.19685039370078741" bottom="0.19685039370078741" header="0.39370078740157483" footer="0.39370078740157483"/>
  <pageSetup paperSize="9" scale="76" fitToWidth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35"/>
  <sheetViews>
    <sheetView topLeftCell="A4" zoomScaleNormal="100" workbookViewId="0">
      <selection activeCell="I15" sqref="I15"/>
    </sheetView>
  </sheetViews>
  <sheetFormatPr defaultRowHeight="14.4" x14ac:dyDescent="0.3"/>
  <cols>
    <col min="1" max="1" width="10.44140625" customWidth="1"/>
    <col min="2" max="3" width="7.77734375" customWidth="1"/>
    <col min="4" max="4" width="10.77734375" customWidth="1"/>
    <col min="5" max="5" width="71.88671875" customWidth="1"/>
    <col min="6" max="6" width="10.77734375" style="13" customWidth="1"/>
    <col min="7" max="7" width="6.77734375" customWidth="1"/>
    <col min="8" max="10" width="10.77734375" customWidth="1"/>
  </cols>
  <sheetData>
    <row r="1" spans="1:10" ht="18" x14ac:dyDescent="0.35">
      <c r="I1" s="178">
        <v>45904</v>
      </c>
      <c r="J1" s="179"/>
    </row>
    <row r="2" spans="1:10" ht="30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2">
        <v>250035</v>
      </c>
      <c r="B6" s="2">
        <v>304</v>
      </c>
      <c r="C6" s="3">
        <v>0.7</v>
      </c>
      <c r="D6" s="3" t="s">
        <v>21</v>
      </c>
      <c r="E6" s="4" t="s">
        <v>22</v>
      </c>
      <c r="F6" s="2" t="s">
        <v>27</v>
      </c>
      <c r="G6" s="2">
        <v>304</v>
      </c>
      <c r="H6" s="5">
        <v>455</v>
      </c>
      <c r="I6" s="6">
        <v>500</v>
      </c>
      <c r="J6" s="5">
        <f t="shared" ref="J6:J20" si="0">H6-I6</f>
        <v>-45</v>
      </c>
    </row>
    <row r="7" spans="1:10" ht="19.95" customHeight="1" x14ac:dyDescent="0.3">
      <c r="A7" s="2"/>
      <c r="B7" s="2"/>
      <c r="C7" s="3"/>
      <c r="D7" s="3"/>
      <c r="E7" s="4" t="s">
        <v>18</v>
      </c>
      <c r="F7" s="2" t="s">
        <v>27</v>
      </c>
      <c r="G7" s="2"/>
      <c r="H7" s="5">
        <v>15</v>
      </c>
      <c r="I7" s="6">
        <v>15</v>
      </c>
      <c r="J7" s="5">
        <f t="shared" si="0"/>
        <v>0</v>
      </c>
    </row>
    <row r="8" spans="1:10" ht="19.95" customHeight="1" x14ac:dyDescent="0.3">
      <c r="A8" s="2">
        <v>250050</v>
      </c>
      <c r="B8" s="2">
        <v>304</v>
      </c>
      <c r="C8" s="3">
        <v>0.6</v>
      </c>
      <c r="D8" s="3" t="s">
        <v>21</v>
      </c>
      <c r="E8" s="4" t="s">
        <v>26</v>
      </c>
      <c r="F8" s="2" t="s">
        <v>27</v>
      </c>
      <c r="G8" s="2">
        <v>430</v>
      </c>
      <c r="H8" s="5">
        <v>870</v>
      </c>
      <c r="I8" s="6">
        <f>285+585</f>
        <v>870</v>
      </c>
      <c r="J8" s="5">
        <f t="shared" si="0"/>
        <v>0</v>
      </c>
    </row>
    <row r="9" spans="1:10" ht="19.95" customHeight="1" x14ac:dyDescent="0.3">
      <c r="A9" s="2"/>
      <c r="B9" s="2"/>
      <c r="C9" s="3"/>
      <c r="D9" s="3"/>
      <c r="E9" s="4" t="s">
        <v>18</v>
      </c>
      <c r="F9" s="2" t="s">
        <v>27</v>
      </c>
      <c r="G9" s="2"/>
      <c r="H9" s="5">
        <v>30</v>
      </c>
      <c r="I9" s="6">
        <v>30</v>
      </c>
      <c r="J9" s="5">
        <f t="shared" si="0"/>
        <v>0</v>
      </c>
    </row>
    <row r="10" spans="1:10" ht="19.95" customHeight="1" x14ac:dyDescent="0.3">
      <c r="A10" s="7">
        <v>250054</v>
      </c>
      <c r="B10" s="7">
        <v>304</v>
      </c>
      <c r="C10" s="10">
        <v>0.7</v>
      </c>
      <c r="D10" s="10" t="s">
        <v>12</v>
      </c>
      <c r="E10" s="4" t="s">
        <v>29</v>
      </c>
      <c r="F10" s="7" t="s">
        <v>28</v>
      </c>
      <c r="G10" s="7">
        <v>304</v>
      </c>
      <c r="H10" s="12">
        <v>805</v>
      </c>
      <c r="I10" s="6"/>
      <c r="J10" s="5">
        <f t="shared" si="0"/>
        <v>805</v>
      </c>
    </row>
    <row r="11" spans="1:10" ht="19.95" customHeight="1" x14ac:dyDescent="0.3">
      <c r="A11" s="2"/>
      <c r="B11" s="2"/>
      <c r="C11" s="3"/>
      <c r="D11" s="3"/>
      <c r="E11" s="4" t="s">
        <v>18</v>
      </c>
      <c r="F11" s="2" t="s">
        <v>28</v>
      </c>
      <c r="G11" s="2"/>
      <c r="H11" s="5">
        <v>15</v>
      </c>
      <c r="I11" s="6"/>
      <c r="J11" s="5">
        <f t="shared" si="0"/>
        <v>15</v>
      </c>
    </row>
    <row r="12" spans="1:10" ht="19.95" customHeight="1" x14ac:dyDescent="0.3">
      <c r="A12" s="2">
        <v>250051</v>
      </c>
      <c r="B12" s="2">
        <v>304</v>
      </c>
      <c r="C12" s="3">
        <v>0.7</v>
      </c>
      <c r="D12" s="3" t="s">
        <v>12</v>
      </c>
      <c r="E12" s="4" t="s">
        <v>35</v>
      </c>
      <c r="F12" s="2" t="s">
        <v>28</v>
      </c>
      <c r="G12" s="5">
        <v>304</v>
      </c>
      <c r="H12" s="5">
        <v>885</v>
      </c>
      <c r="I12" s="6"/>
      <c r="J12" s="5">
        <f t="shared" si="0"/>
        <v>885</v>
      </c>
    </row>
    <row r="13" spans="1:10" ht="19.95" customHeight="1" x14ac:dyDescent="0.3">
      <c r="A13" s="2"/>
      <c r="B13" s="2"/>
      <c r="C13" s="3"/>
      <c r="D13" s="3"/>
      <c r="E13" s="4" t="s">
        <v>18</v>
      </c>
      <c r="F13" s="2" t="s">
        <v>28</v>
      </c>
      <c r="G13" s="2"/>
      <c r="H13" s="5">
        <v>15</v>
      </c>
      <c r="I13" s="6"/>
      <c r="J13" s="5">
        <f t="shared" si="0"/>
        <v>15</v>
      </c>
    </row>
    <row r="14" spans="1:10" ht="19.95" customHeight="1" x14ac:dyDescent="0.3">
      <c r="A14" s="2"/>
      <c r="B14" s="2"/>
      <c r="C14" s="3"/>
      <c r="D14" s="3"/>
      <c r="E14" s="4"/>
      <c r="F14" s="2"/>
      <c r="G14" s="5"/>
      <c r="H14" s="5"/>
      <c r="I14" s="6"/>
      <c r="J14" s="5">
        <f t="shared" si="0"/>
        <v>0</v>
      </c>
    </row>
    <row r="15" spans="1:10" ht="19.95" customHeight="1" x14ac:dyDescent="0.3">
      <c r="A15" s="2"/>
      <c r="B15" s="2"/>
      <c r="C15" s="3"/>
      <c r="D15" s="3"/>
      <c r="E15" s="4"/>
      <c r="F15" s="2"/>
      <c r="G15" s="2"/>
      <c r="H15" s="5"/>
      <c r="I15" s="6"/>
      <c r="J15" s="5">
        <f t="shared" si="0"/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0"/>
        <v>0</v>
      </c>
    </row>
    <row r="17" spans="1:10" ht="19.95" customHeight="1" x14ac:dyDescent="0.3">
      <c r="A17" s="2"/>
      <c r="B17" s="2"/>
      <c r="C17" s="3"/>
      <c r="D17" s="3"/>
      <c r="E17" s="4"/>
      <c r="F17" s="2"/>
      <c r="G17" s="2"/>
      <c r="H17" s="5"/>
      <c r="I17" s="6"/>
      <c r="J17" s="5">
        <f t="shared" si="0"/>
        <v>0</v>
      </c>
    </row>
    <row r="18" spans="1:10" ht="19.95" customHeight="1" x14ac:dyDescent="0.3">
      <c r="A18" s="7"/>
      <c r="B18" s="7"/>
      <c r="C18" s="10"/>
      <c r="D18" s="10"/>
      <c r="E18" s="11"/>
      <c r="F18" s="7"/>
      <c r="G18" s="7"/>
      <c r="H18" s="12"/>
      <c r="I18" s="6"/>
      <c r="J18" s="5">
        <f t="shared" si="0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0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4090</v>
      </c>
      <c r="I21" s="19">
        <f>SUM(I5:I20)</f>
        <v>2355</v>
      </c>
      <c r="J21" s="5">
        <f>SUM(J5:J20)</f>
        <v>1735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2" t="s">
        <v>0</v>
      </c>
      <c r="B24" s="2" t="s">
        <v>1</v>
      </c>
      <c r="C24" s="18" t="s">
        <v>2</v>
      </c>
      <c r="D24" s="18" t="s">
        <v>3</v>
      </c>
      <c r="E24" s="2" t="s">
        <v>4</v>
      </c>
      <c r="F24" s="18" t="s">
        <v>33</v>
      </c>
      <c r="G24" s="2" t="s">
        <v>5</v>
      </c>
      <c r="H24" s="2" t="s">
        <v>6</v>
      </c>
      <c r="I24" s="2" t="s">
        <v>7</v>
      </c>
      <c r="J24" s="2" t="s">
        <v>8</v>
      </c>
    </row>
    <row r="25" spans="1:10" ht="19.95" customHeight="1" x14ac:dyDescent="0.3">
      <c r="A25" s="2">
        <v>250053</v>
      </c>
      <c r="B25" s="2">
        <v>304</v>
      </c>
      <c r="C25" s="3">
        <v>0.7</v>
      </c>
      <c r="D25" s="3" t="s">
        <v>12</v>
      </c>
      <c r="E25" s="4" t="s">
        <v>30</v>
      </c>
      <c r="F25" s="2" t="s">
        <v>28</v>
      </c>
      <c r="G25" s="2">
        <v>304</v>
      </c>
      <c r="H25" s="5">
        <v>705</v>
      </c>
      <c r="I25" s="6">
        <v>710</v>
      </c>
      <c r="J25" s="5">
        <f t="shared" ref="J25:J31" si="1">H25-I25</f>
        <v>-5</v>
      </c>
    </row>
    <row r="26" spans="1:10" ht="19.95" customHeight="1" x14ac:dyDescent="0.3">
      <c r="A26" s="2"/>
      <c r="B26" s="2"/>
      <c r="C26" s="3"/>
      <c r="D26" s="3"/>
      <c r="E26" s="4" t="s">
        <v>18</v>
      </c>
      <c r="F26" s="2" t="s">
        <v>28</v>
      </c>
      <c r="G26" s="2"/>
      <c r="H26" s="5">
        <v>15</v>
      </c>
      <c r="I26" s="6">
        <v>15</v>
      </c>
      <c r="J26" s="5">
        <f t="shared" si="1"/>
        <v>0</v>
      </c>
    </row>
    <row r="27" spans="1:10" ht="19.95" customHeight="1" x14ac:dyDescent="0.3">
      <c r="A27" s="2">
        <v>250054</v>
      </c>
      <c r="B27" s="2">
        <v>304</v>
      </c>
      <c r="C27" s="3">
        <v>0.7</v>
      </c>
      <c r="D27" s="3" t="s">
        <v>12</v>
      </c>
      <c r="E27" s="4" t="s">
        <v>36</v>
      </c>
      <c r="F27" s="2" t="s">
        <v>28</v>
      </c>
      <c r="G27" s="5">
        <v>304</v>
      </c>
      <c r="H27" s="5">
        <v>805</v>
      </c>
      <c r="I27" s="6"/>
      <c r="J27" s="5">
        <f t="shared" si="1"/>
        <v>805</v>
      </c>
    </row>
    <row r="28" spans="1:10" ht="19.95" customHeight="1" x14ac:dyDescent="0.3">
      <c r="A28" s="2"/>
      <c r="B28" s="2"/>
      <c r="C28" s="3"/>
      <c r="D28" s="3"/>
      <c r="E28" s="4" t="s">
        <v>18</v>
      </c>
      <c r="F28" s="2" t="s">
        <v>28</v>
      </c>
      <c r="G28" s="2"/>
      <c r="H28" s="5">
        <v>15</v>
      </c>
      <c r="I28" s="6"/>
      <c r="J28" s="5">
        <f t="shared" si="1"/>
        <v>15</v>
      </c>
    </row>
    <row r="29" spans="1:10" ht="19.95" customHeight="1" x14ac:dyDescent="0.3">
      <c r="A29" s="2"/>
      <c r="B29" s="2"/>
      <c r="C29" s="3"/>
      <c r="D29" s="3"/>
      <c r="E29" s="4"/>
      <c r="F29" s="2"/>
      <c r="G29" s="5"/>
      <c r="H29" s="5"/>
      <c r="I29" s="6"/>
      <c r="J29" s="5">
        <f t="shared" si="1"/>
        <v>0</v>
      </c>
    </row>
    <row r="30" spans="1:10" ht="19.95" customHeight="1" x14ac:dyDescent="0.3">
      <c r="A30" s="2"/>
      <c r="B30" s="2"/>
      <c r="C30" s="3"/>
      <c r="D30" s="3"/>
      <c r="E30" s="4"/>
      <c r="F30" s="2"/>
      <c r="G30" s="2"/>
      <c r="H30" s="5"/>
      <c r="I30" s="6"/>
      <c r="J30" s="5">
        <f t="shared" si="1"/>
        <v>0</v>
      </c>
    </row>
    <row r="31" spans="1:10" ht="19.95" customHeight="1" x14ac:dyDescent="0.3">
      <c r="A31" s="2"/>
      <c r="B31" s="2"/>
      <c r="C31" s="3"/>
      <c r="D31" s="3"/>
      <c r="E31" s="4"/>
      <c r="F31" s="2"/>
      <c r="G31" s="2"/>
      <c r="H31" s="5"/>
      <c r="I31" s="6"/>
      <c r="J31" s="5">
        <f t="shared" si="1"/>
        <v>0</v>
      </c>
    </row>
    <row r="32" spans="1:10" ht="19.95" customHeight="1" x14ac:dyDescent="0.3">
      <c r="A32" s="2"/>
      <c r="B32" s="2"/>
      <c r="C32" s="3"/>
      <c r="D32" s="3"/>
      <c r="E32" s="4"/>
      <c r="F32" s="2"/>
      <c r="G32" s="2"/>
      <c r="H32" s="5"/>
      <c r="I32" s="6"/>
      <c r="J32" s="5"/>
    </row>
    <row r="33" spans="1:10" ht="19.95" customHeight="1" x14ac:dyDescent="0.3">
      <c r="A33" s="14"/>
      <c r="B33" s="14"/>
      <c r="C33" s="14"/>
      <c r="D33" s="14"/>
      <c r="E33" s="15"/>
      <c r="F33" s="14"/>
      <c r="G33" s="16"/>
      <c r="H33" s="5">
        <f>SUM(H25:H32)</f>
        <v>1540</v>
      </c>
      <c r="I33" s="6">
        <f>SUM(I25:I32)</f>
        <v>725</v>
      </c>
      <c r="J33" s="5">
        <f>SUM(J25:J32)</f>
        <v>815</v>
      </c>
    </row>
    <row r="35" spans="1:10" ht="23.4" x14ac:dyDescent="0.3">
      <c r="A35" s="172" t="s">
        <v>34</v>
      </c>
      <c r="B35" s="172"/>
      <c r="C35" s="172"/>
      <c r="D35" s="172"/>
      <c r="E35" s="172"/>
      <c r="F35" s="172"/>
      <c r="G35" s="172"/>
      <c r="H35" s="172"/>
      <c r="I35" s="172"/>
      <c r="J35" s="172"/>
    </row>
  </sheetData>
  <mergeCells count="5">
    <mergeCell ref="I1:J1"/>
    <mergeCell ref="A2:J2"/>
    <mergeCell ref="A3:J3"/>
    <mergeCell ref="A23:J23"/>
    <mergeCell ref="A35:J35"/>
  </mergeCells>
  <pageMargins left="0.19685039370078741" right="0.19685039370078741" top="0.19685039370078741" bottom="0.19685039370078741" header="0.39370078740157483" footer="0.39370078740157483"/>
  <pageSetup paperSize="9" scale="76" fitToWidth="0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35"/>
  <sheetViews>
    <sheetView topLeftCell="A4" zoomScale="85" zoomScaleNormal="85" workbookViewId="0">
      <selection activeCell="L11" sqref="L1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45905</v>
      </c>
      <c r="J1" s="179"/>
    </row>
    <row r="2" spans="1:10" ht="30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7">
        <v>250054</v>
      </c>
      <c r="B6" s="7">
        <v>304</v>
      </c>
      <c r="C6" s="10">
        <v>0.7</v>
      </c>
      <c r="D6" s="10" t="s">
        <v>12</v>
      </c>
      <c r="E6" s="4" t="s">
        <v>29</v>
      </c>
      <c r="F6" s="7" t="s">
        <v>28</v>
      </c>
      <c r="G6" s="7">
        <v>304</v>
      </c>
      <c r="H6" s="12">
        <v>805</v>
      </c>
      <c r="I6" s="6">
        <v>820</v>
      </c>
      <c r="J6" s="5">
        <f t="shared" ref="J6:J20" si="0">H6-I6</f>
        <v>-15</v>
      </c>
    </row>
    <row r="7" spans="1:10" ht="19.95" customHeight="1" x14ac:dyDescent="0.3">
      <c r="A7" s="2"/>
      <c r="B7" s="2"/>
      <c r="C7" s="3"/>
      <c r="D7" s="3"/>
      <c r="E7" s="4" t="s">
        <v>18</v>
      </c>
      <c r="F7" s="2" t="s">
        <v>28</v>
      </c>
      <c r="G7" s="2"/>
      <c r="H7" s="5">
        <v>15</v>
      </c>
      <c r="I7" s="6">
        <v>0</v>
      </c>
      <c r="J7" s="5">
        <f t="shared" si="0"/>
        <v>15</v>
      </c>
    </row>
    <row r="8" spans="1:10" ht="19.95" customHeight="1" x14ac:dyDescent="0.3">
      <c r="A8" s="2">
        <v>250051</v>
      </c>
      <c r="B8" s="2">
        <v>304</v>
      </c>
      <c r="C8" s="3">
        <v>0.7</v>
      </c>
      <c r="D8" s="3" t="s">
        <v>12</v>
      </c>
      <c r="E8" s="4" t="s">
        <v>35</v>
      </c>
      <c r="F8" s="2" t="s">
        <v>28</v>
      </c>
      <c r="G8" s="5">
        <v>304</v>
      </c>
      <c r="H8" s="5">
        <v>885</v>
      </c>
      <c r="I8" s="6">
        <v>930</v>
      </c>
      <c r="J8" s="5">
        <f t="shared" si="0"/>
        <v>-45</v>
      </c>
    </row>
    <row r="9" spans="1:10" ht="19.95" customHeight="1" x14ac:dyDescent="0.3">
      <c r="A9" s="2"/>
      <c r="B9" s="2"/>
      <c r="C9" s="3"/>
      <c r="D9" s="3"/>
      <c r="E9" s="4" t="s">
        <v>18</v>
      </c>
      <c r="F9" s="2" t="s">
        <v>28</v>
      </c>
      <c r="G9" s="2"/>
      <c r="H9" s="5">
        <v>15</v>
      </c>
      <c r="I9" s="6">
        <v>0</v>
      </c>
      <c r="J9" s="5">
        <f t="shared" si="0"/>
        <v>15</v>
      </c>
    </row>
    <row r="10" spans="1:10" ht="19.95" customHeight="1" x14ac:dyDescent="0.3">
      <c r="A10" s="2">
        <v>250054</v>
      </c>
      <c r="B10" s="2">
        <v>304</v>
      </c>
      <c r="C10" s="3">
        <v>0.7</v>
      </c>
      <c r="D10" s="3" t="s">
        <v>12</v>
      </c>
      <c r="E10" s="4" t="s">
        <v>36</v>
      </c>
      <c r="F10" s="2" t="s">
        <v>28</v>
      </c>
      <c r="G10" s="5">
        <v>304</v>
      </c>
      <c r="H10" s="5">
        <v>805</v>
      </c>
      <c r="I10" s="6"/>
      <c r="J10" s="5">
        <f t="shared" si="0"/>
        <v>805</v>
      </c>
    </row>
    <row r="11" spans="1:10" ht="19.95" customHeight="1" x14ac:dyDescent="0.3">
      <c r="A11" s="2"/>
      <c r="B11" s="2"/>
      <c r="C11" s="3"/>
      <c r="D11" s="3"/>
      <c r="E11" s="4" t="s">
        <v>18</v>
      </c>
      <c r="F11" s="2" t="s">
        <v>28</v>
      </c>
      <c r="G11" s="2"/>
      <c r="H11" s="5">
        <v>15</v>
      </c>
      <c r="I11" s="6"/>
      <c r="J11" s="5">
        <f t="shared" si="0"/>
        <v>15</v>
      </c>
    </row>
    <row r="12" spans="1:10" ht="19.95" customHeight="1" x14ac:dyDescent="0.3">
      <c r="A12" s="2"/>
      <c r="B12" s="2"/>
      <c r="C12" s="3"/>
      <c r="D12" s="3"/>
      <c r="E12" s="4"/>
      <c r="F12" s="2"/>
      <c r="G12" s="5"/>
      <c r="H12" s="5"/>
      <c r="I12" s="6"/>
      <c r="J12" s="5">
        <f t="shared" si="0"/>
        <v>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2"/>
      <c r="B14" s="2"/>
      <c r="C14" s="3"/>
      <c r="D14" s="3"/>
      <c r="E14" s="4"/>
      <c r="F14" s="2"/>
      <c r="G14" s="5"/>
      <c r="H14" s="5"/>
      <c r="I14" s="6"/>
      <c r="J14" s="5">
        <f t="shared" si="0"/>
        <v>0</v>
      </c>
    </row>
    <row r="15" spans="1:10" ht="19.95" customHeight="1" x14ac:dyDescent="0.3">
      <c r="A15" s="2"/>
      <c r="B15" s="2"/>
      <c r="C15" s="3"/>
      <c r="D15" s="3"/>
      <c r="E15" s="4"/>
      <c r="F15" s="2"/>
      <c r="G15" s="2"/>
      <c r="H15" s="5"/>
      <c r="I15" s="6"/>
      <c r="J15" s="5">
        <f t="shared" si="0"/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0"/>
        <v>0</v>
      </c>
    </row>
    <row r="17" spans="1:10" ht="19.95" customHeight="1" x14ac:dyDescent="0.3">
      <c r="A17" s="2"/>
      <c r="B17" s="2"/>
      <c r="C17" s="3"/>
      <c r="D17" s="3"/>
      <c r="E17" s="4"/>
      <c r="F17" s="2"/>
      <c r="G17" s="2"/>
      <c r="H17" s="5"/>
      <c r="I17" s="6"/>
      <c r="J17" s="5">
        <f t="shared" si="0"/>
        <v>0</v>
      </c>
    </row>
    <row r="18" spans="1:10" ht="19.95" customHeight="1" x14ac:dyDescent="0.3">
      <c r="A18" s="7"/>
      <c r="B18" s="7"/>
      <c r="C18" s="10"/>
      <c r="D18" s="10"/>
      <c r="E18" s="11"/>
      <c r="F18" s="7"/>
      <c r="G18" s="7"/>
      <c r="H18" s="12"/>
      <c r="I18" s="6"/>
      <c r="J18" s="5">
        <f t="shared" si="0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0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3540</v>
      </c>
      <c r="I21" s="19">
        <f>SUM(I5:I20)</f>
        <v>2690</v>
      </c>
      <c r="J21" s="5">
        <f>SUM(J5:J20)</f>
        <v>850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2" t="s">
        <v>0</v>
      </c>
      <c r="B24" s="2" t="s">
        <v>1</v>
      </c>
      <c r="C24" s="18" t="s">
        <v>2</v>
      </c>
      <c r="D24" s="18" t="s">
        <v>3</v>
      </c>
      <c r="E24" s="2" t="s">
        <v>4</v>
      </c>
      <c r="F24" s="18" t="s">
        <v>33</v>
      </c>
      <c r="G24" s="2" t="s">
        <v>5</v>
      </c>
      <c r="H24" s="2" t="s">
        <v>6</v>
      </c>
      <c r="I24" s="2" t="s">
        <v>7</v>
      </c>
      <c r="J24" s="2" t="s">
        <v>8</v>
      </c>
    </row>
    <row r="25" spans="1:10" ht="19.95" customHeight="1" x14ac:dyDescent="0.3">
      <c r="A25" s="2">
        <v>250064</v>
      </c>
      <c r="B25" s="2">
        <v>430</v>
      </c>
      <c r="C25" s="3">
        <v>0.5</v>
      </c>
      <c r="D25" s="3" t="s">
        <v>9</v>
      </c>
      <c r="E25" s="4" t="s">
        <v>39</v>
      </c>
      <c r="F25" s="2" t="s">
        <v>27</v>
      </c>
      <c r="G25" s="5"/>
      <c r="H25" s="5">
        <v>1000</v>
      </c>
      <c r="I25" s="6">
        <v>250</v>
      </c>
      <c r="J25" s="5">
        <f t="shared" ref="J25:J31" si="1">H25-I25</f>
        <v>750</v>
      </c>
    </row>
    <row r="26" spans="1:10" ht="19.95" customHeight="1" x14ac:dyDescent="0.3">
      <c r="A26" s="2">
        <v>250063</v>
      </c>
      <c r="B26" s="2">
        <v>430</v>
      </c>
      <c r="C26" s="3">
        <v>0.5</v>
      </c>
      <c r="D26" s="3" t="s">
        <v>9</v>
      </c>
      <c r="E26" s="4" t="s">
        <v>40</v>
      </c>
      <c r="F26" s="2" t="s">
        <v>27</v>
      </c>
      <c r="G26" s="5"/>
      <c r="H26" s="5">
        <v>1000</v>
      </c>
      <c r="I26" s="6"/>
      <c r="J26" s="5">
        <f t="shared" si="1"/>
        <v>1000</v>
      </c>
    </row>
    <row r="27" spans="1:10" ht="19.95" customHeight="1" x14ac:dyDescent="0.3">
      <c r="A27" s="2"/>
      <c r="B27" s="2"/>
      <c r="C27" s="3"/>
      <c r="D27" s="3"/>
      <c r="E27" s="4"/>
      <c r="F27" s="2"/>
      <c r="G27" s="5"/>
      <c r="H27" s="5"/>
      <c r="I27" s="6"/>
      <c r="J27" s="5">
        <f t="shared" si="1"/>
        <v>0</v>
      </c>
    </row>
    <row r="28" spans="1:10" ht="19.95" customHeight="1" x14ac:dyDescent="0.3">
      <c r="A28" s="2"/>
      <c r="B28" s="2"/>
      <c r="C28" s="3"/>
      <c r="D28" s="3"/>
      <c r="E28" s="4"/>
      <c r="F28" s="2"/>
      <c r="G28" s="5"/>
      <c r="H28" s="5"/>
      <c r="I28" s="6"/>
      <c r="J28" s="5">
        <f t="shared" si="1"/>
        <v>0</v>
      </c>
    </row>
    <row r="29" spans="1:10" ht="19.95" customHeight="1" x14ac:dyDescent="0.3">
      <c r="A29" s="2"/>
      <c r="B29" s="2"/>
      <c r="C29" s="3"/>
      <c r="D29" s="3"/>
      <c r="E29" s="4"/>
      <c r="F29" s="2"/>
      <c r="G29" s="5"/>
      <c r="H29" s="5"/>
      <c r="I29" s="6"/>
      <c r="J29" s="5">
        <f t="shared" si="1"/>
        <v>0</v>
      </c>
    </row>
    <row r="30" spans="1:10" ht="19.95" customHeight="1" x14ac:dyDescent="0.3">
      <c r="A30" s="2"/>
      <c r="B30" s="2"/>
      <c r="C30" s="3"/>
      <c r="D30" s="3"/>
      <c r="E30" s="4"/>
      <c r="F30" s="2"/>
      <c r="G30" s="2"/>
      <c r="H30" s="5"/>
      <c r="I30" s="6"/>
      <c r="J30" s="5">
        <f t="shared" si="1"/>
        <v>0</v>
      </c>
    </row>
    <row r="31" spans="1:10" ht="19.95" customHeight="1" x14ac:dyDescent="0.3">
      <c r="A31" s="2"/>
      <c r="B31" s="2"/>
      <c r="C31" s="3"/>
      <c r="D31" s="3"/>
      <c r="E31" s="4"/>
      <c r="F31" s="2"/>
      <c r="G31" s="2"/>
      <c r="H31" s="5"/>
      <c r="I31" s="6"/>
      <c r="J31" s="5">
        <f t="shared" si="1"/>
        <v>0</v>
      </c>
    </row>
    <row r="32" spans="1:10" ht="19.95" customHeight="1" x14ac:dyDescent="0.3">
      <c r="A32" s="2"/>
      <c r="B32" s="2"/>
      <c r="C32" s="3"/>
      <c r="D32" s="3"/>
      <c r="E32" s="4"/>
      <c r="F32" s="2"/>
      <c r="G32" s="2"/>
      <c r="H32" s="5"/>
      <c r="I32" s="6"/>
      <c r="J32" s="5"/>
    </row>
    <row r="33" spans="1:10" ht="19.95" customHeight="1" x14ac:dyDescent="0.3">
      <c r="A33" s="14"/>
      <c r="B33" s="14"/>
      <c r="C33" s="14"/>
      <c r="D33" s="14"/>
      <c r="E33" s="15"/>
      <c r="F33" s="14"/>
      <c r="G33" s="16"/>
      <c r="H33" s="5">
        <f>SUM(H25:H32)</f>
        <v>2000</v>
      </c>
      <c r="I33" s="6">
        <f>SUM(I25:I32)</f>
        <v>250</v>
      </c>
      <c r="J33" s="5">
        <f>SUM(J25:J32)</f>
        <v>1750</v>
      </c>
    </row>
    <row r="35" spans="1:10" ht="23.4" x14ac:dyDescent="0.3">
      <c r="A35" s="172" t="s">
        <v>34</v>
      </c>
      <c r="B35" s="172"/>
      <c r="C35" s="172"/>
      <c r="D35" s="172"/>
      <c r="E35" s="172"/>
      <c r="F35" s="172"/>
      <c r="G35" s="172"/>
      <c r="H35" s="172"/>
      <c r="I35" s="172"/>
      <c r="J35" s="172"/>
    </row>
  </sheetData>
  <mergeCells count="5">
    <mergeCell ref="I1:J1"/>
    <mergeCell ref="A2:J2"/>
    <mergeCell ref="A3:J3"/>
    <mergeCell ref="A23:J23"/>
    <mergeCell ref="A35:J35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J31"/>
  <sheetViews>
    <sheetView zoomScale="70" zoomScaleNormal="70" workbookViewId="0">
      <selection activeCell="I22" sqref="I2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45906</v>
      </c>
      <c r="J1" s="179"/>
    </row>
    <row r="2" spans="1:10" ht="30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2">
        <v>250054</v>
      </c>
      <c r="B6" s="2">
        <v>304</v>
      </c>
      <c r="C6" s="3">
        <v>0.7</v>
      </c>
      <c r="D6" s="3" t="s">
        <v>12</v>
      </c>
      <c r="E6" s="4" t="s">
        <v>36</v>
      </c>
      <c r="F6" s="2" t="s">
        <v>28</v>
      </c>
      <c r="G6" s="5">
        <v>304</v>
      </c>
      <c r="H6" s="5">
        <v>805</v>
      </c>
      <c r="I6" s="6"/>
      <c r="J6" s="5">
        <f t="shared" ref="J6:J16" si="0">H6-I6</f>
        <v>805</v>
      </c>
    </row>
    <row r="7" spans="1:10" ht="19.95" customHeight="1" x14ac:dyDescent="0.3">
      <c r="A7" s="2"/>
      <c r="B7" s="2"/>
      <c r="C7" s="3"/>
      <c r="D7" s="3"/>
      <c r="E7" s="4" t="s">
        <v>18</v>
      </c>
      <c r="F7" s="2" t="s">
        <v>28</v>
      </c>
      <c r="G7" s="2"/>
      <c r="H7" s="5">
        <v>15</v>
      </c>
      <c r="I7" s="6"/>
      <c r="J7" s="5">
        <f t="shared" si="0"/>
        <v>15</v>
      </c>
    </row>
    <row r="8" spans="1:10" ht="19.95" customHeight="1" x14ac:dyDescent="0.3">
      <c r="A8" s="2"/>
      <c r="B8" s="2"/>
      <c r="C8" s="3"/>
      <c r="D8" s="3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/>
      <c r="B9" s="2"/>
      <c r="C9" s="3"/>
      <c r="D9" s="3"/>
      <c r="E9" s="4"/>
      <c r="F9" s="2"/>
      <c r="G9" s="2"/>
      <c r="H9" s="5"/>
      <c r="I9" s="6"/>
      <c r="J9" s="5">
        <f t="shared" si="0"/>
        <v>0</v>
      </c>
    </row>
    <row r="10" spans="1:10" ht="19.95" customHeight="1" x14ac:dyDescent="0.3">
      <c r="A10" s="2"/>
      <c r="B10" s="2"/>
      <c r="C10" s="3"/>
      <c r="D10" s="3"/>
      <c r="E10" s="4"/>
      <c r="F10" s="2"/>
      <c r="G10" s="5"/>
      <c r="H10" s="5"/>
      <c r="I10" s="6"/>
      <c r="J10" s="5">
        <f t="shared" si="0"/>
        <v>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5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7"/>
      <c r="B14" s="7"/>
      <c r="C14" s="10"/>
      <c r="D14" s="10"/>
      <c r="E14" s="11"/>
      <c r="F14" s="7"/>
      <c r="G14" s="7"/>
      <c r="H14" s="12"/>
      <c r="I14" s="6"/>
      <c r="J14" s="5">
        <f t="shared" si="0"/>
        <v>0</v>
      </c>
    </row>
    <row r="15" spans="1:10" ht="19.95" customHeight="1" x14ac:dyDescent="0.3">
      <c r="A15" s="2"/>
      <c r="B15" s="2"/>
      <c r="C15" s="3"/>
      <c r="D15" s="3"/>
      <c r="E15" s="4"/>
      <c r="F15" s="2"/>
      <c r="G15" s="2"/>
      <c r="H15" s="5"/>
      <c r="I15" s="6"/>
      <c r="J15" s="5">
        <f t="shared" si="0"/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1820</v>
      </c>
      <c r="I17" s="19">
        <f>SUM(I5:I16)</f>
        <v>940</v>
      </c>
      <c r="J17" s="5">
        <f>SUM(J5:J16)</f>
        <v>880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2" t="s">
        <v>0</v>
      </c>
      <c r="B20" s="2" t="s">
        <v>1</v>
      </c>
      <c r="C20" s="18" t="s">
        <v>2</v>
      </c>
      <c r="D20" s="18" t="s">
        <v>3</v>
      </c>
      <c r="E20" s="2" t="s">
        <v>4</v>
      </c>
      <c r="F20" s="18" t="s">
        <v>33</v>
      </c>
      <c r="G20" s="2" t="s">
        <v>5</v>
      </c>
      <c r="H20" s="2" t="s">
        <v>6</v>
      </c>
      <c r="I20" s="2" t="s">
        <v>7</v>
      </c>
      <c r="J20" s="2" t="s">
        <v>8</v>
      </c>
    </row>
    <row r="21" spans="1:10" ht="19.95" customHeight="1" x14ac:dyDescent="0.3">
      <c r="A21" s="2">
        <v>250064</v>
      </c>
      <c r="B21" s="2">
        <v>430</v>
      </c>
      <c r="C21" s="3">
        <v>0.5</v>
      </c>
      <c r="D21" s="3" t="s">
        <v>9</v>
      </c>
      <c r="E21" s="4" t="s">
        <v>39</v>
      </c>
      <c r="F21" s="2" t="s">
        <v>27</v>
      </c>
      <c r="G21" s="5"/>
      <c r="H21" s="5">
        <v>1000</v>
      </c>
      <c r="I21" s="6">
        <f>250+750</f>
        <v>1000</v>
      </c>
      <c r="J21" s="5">
        <f t="shared" ref="J21:J27" si="1">H21-I21</f>
        <v>0</v>
      </c>
    </row>
    <row r="22" spans="1:10" ht="19.95" customHeight="1" x14ac:dyDescent="0.3">
      <c r="A22" s="2">
        <v>250063</v>
      </c>
      <c r="B22" s="2">
        <v>430</v>
      </c>
      <c r="C22" s="3">
        <v>0.5</v>
      </c>
      <c r="D22" s="3" t="s">
        <v>9</v>
      </c>
      <c r="E22" s="4" t="s">
        <v>40</v>
      </c>
      <c r="F22" s="2" t="s">
        <v>27</v>
      </c>
      <c r="G22" s="5"/>
      <c r="H22" s="5">
        <v>1000</v>
      </c>
      <c r="I22" s="6">
        <v>1000</v>
      </c>
      <c r="J22" s="5">
        <f t="shared" si="1"/>
        <v>0</v>
      </c>
    </row>
    <row r="23" spans="1:10" ht="19.95" customHeight="1" x14ac:dyDescent="0.3">
      <c r="A23" s="2"/>
      <c r="B23" s="2"/>
      <c r="C23" s="3"/>
      <c r="D23" s="3"/>
      <c r="E23" s="4"/>
      <c r="F23" s="2"/>
      <c r="G23" s="5"/>
      <c r="H23" s="5"/>
      <c r="I23" s="6"/>
      <c r="J23" s="5">
        <f t="shared" si="1"/>
        <v>0</v>
      </c>
    </row>
    <row r="24" spans="1:10" ht="19.95" customHeight="1" x14ac:dyDescent="0.3">
      <c r="A24" s="2"/>
      <c r="B24" s="2"/>
      <c r="C24" s="3"/>
      <c r="D24" s="3"/>
      <c r="E24" s="4"/>
      <c r="F24" s="2"/>
      <c r="G24" s="5"/>
      <c r="H24" s="5"/>
      <c r="I24" s="6"/>
      <c r="J24" s="5">
        <f t="shared" si="1"/>
        <v>0</v>
      </c>
    </row>
    <row r="25" spans="1:10" ht="19.95" customHeight="1" x14ac:dyDescent="0.3">
      <c r="A25" s="2"/>
      <c r="B25" s="2"/>
      <c r="C25" s="3"/>
      <c r="D25" s="3"/>
      <c r="E25" s="4"/>
      <c r="F25" s="2"/>
      <c r="G25" s="5"/>
      <c r="H25" s="5"/>
      <c r="I25" s="6"/>
      <c r="J25" s="5">
        <f t="shared" si="1"/>
        <v>0</v>
      </c>
    </row>
    <row r="26" spans="1:10" ht="19.95" customHeight="1" x14ac:dyDescent="0.3">
      <c r="A26" s="2"/>
      <c r="B26" s="2"/>
      <c r="C26" s="3"/>
      <c r="D26" s="3"/>
      <c r="E26" s="4"/>
      <c r="F26" s="2"/>
      <c r="G26" s="2"/>
      <c r="H26" s="5"/>
      <c r="I26" s="6"/>
      <c r="J26" s="5">
        <f t="shared" si="1"/>
        <v>0</v>
      </c>
    </row>
    <row r="27" spans="1:10" ht="19.95" customHeight="1" x14ac:dyDescent="0.3">
      <c r="A27" s="2"/>
      <c r="B27" s="2"/>
      <c r="C27" s="3"/>
      <c r="D27" s="3"/>
      <c r="E27" s="4"/>
      <c r="F27" s="2"/>
      <c r="G27" s="2"/>
      <c r="H27" s="5"/>
      <c r="I27" s="6"/>
      <c r="J27" s="5">
        <f t="shared" si="1"/>
        <v>0</v>
      </c>
    </row>
    <row r="28" spans="1:10" ht="19.95" customHeight="1" x14ac:dyDescent="0.3">
      <c r="A28" s="2"/>
      <c r="B28" s="2"/>
      <c r="C28" s="3"/>
      <c r="D28" s="3"/>
      <c r="E28" s="4"/>
      <c r="F28" s="2"/>
      <c r="G28" s="2"/>
      <c r="H28" s="5"/>
      <c r="I28" s="6"/>
      <c r="J28" s="5"/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5">
        <f>SUM(H21:H28)</f>
        <v>2000</v>
      </c>
      <c r="I29" s="6">
        <f>SUM(I21:I28)</f>
        <v>2000</v>
      </c>
      <c r="J29" s="5">
        <f>SUM(J21:J28)</f>
        <v>0</v>
      </c>
    </row>
    <row r="31" spans="1:10" ht="23.4" x14ac:dyDescent="0.3">
      <c r="A31" s="172" t="s">
        <v>34</v>
      </c>
      <c r="B31" s="172"/>
      <c r="C31" s="172"/>
      <c r="D31" s="172"/>
      <c r="E31" s="172"/>
      <c r="F31" s="172"/>
      <c r="G31" s="172"/>
      <c r="H31" s="172"/>
      <c r="I31" s="172"/>
      <c r="J31" s="172"/>
    </row>
  </sheetData>
  <mergeCells count="5">
    <mergeCell ref="I1:J1"/>
    <mergeCell ref="A2:J2"/>
    <mergeCell ref="A3:J3"/>
    <mergeCell ref="A19:J19"/>
    <mergeCell ref="A31:J31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J29"/>
  <sheetViews>
    <sheetView zoomScale="70" zoomScaleNormal="70" workbookViewId="0">
      <selection activeCell="A2" sqref="A2:J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45909</v>
      </c>
      <c r="J1" s="179"/>
    </row>
    <row r="2" spans="1:10" ht="30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2">
        <v>250054</v>
      </c>
      <c r="B6" s="2">
        <v>304</v>
      </c>
      <c r="C6" s="3">
        <v>0.7</v>
      </c>
      <c r="D6" s="3" t="s">
        <v>12</v>
      </c>
      <c r="E6" s="4" t="s">
        <v>36</v>
      </c>
      <c r="F6" s="2" t="s">
        <v>28</v>
      </c>
      <c r="G6" s="5">
        <v>304</v>
      </c>
      <c r="H6" s="5">
        <v>805</v>
      </c>
      <c r="I6" s="6"/>
      <c r="J6" s="5">
        <f t="shared" ref="J6:J16" si="0">H6-I6</f>
        <v>805</v>
      </c>
    </row>
    <row r="7" spans="1:10" ht="19.95" customHeight="1" x14ac:dyDescent="0.3">
      <c r="A7" s="2"/>
      <c r="B7" s="2"/>
      <c r="C7" s="3"/>
      <c r="D7" s="3"/>
      <c r="E7" s="4" t="s">
        <v>18</v>
      </c>
      <c r="F7" s="2" t="s">
        <v>28</v>
      </c>
      <c r="G7" s="2"/>
      <c r="H7" s="5">
        <v>15</v>
      </c>
      <c r="I7" s="6"/>
      <c r="J7" s="5">
        <f t="shared" si="0"/>
        <v>15</v>
      </c>
    </row>
    <row r="8" spans="1:10" ht="19.95" customHeight="1" x14ac:dyDescent="0.3">
      <c r="A8" s="2">
        <v>250063</v>
      </c>
      <c r="B8" s="2">
        <v>430</v>
      </c>
      <c r="C8" s="3">
        <v>0.5</v>
      </c>
      <c r="D8" s="3" t="s">
        <v>42</v>
      </c>
      <c r="E8" s="4" t="s">
        <v>43</v>
      </c>
      <c r="F8" s="2" t="s">
        <v>27</v>
      </c>
      <c r="G8" s="2">
        <v>430</v>
      </c>
      <c r="H8" s="5">
        <v>1000</v>
      </c>
      <c r="I8" s="6"/>
      <c r="J8" s="5">
        <f t="shared" si="0"/>
        <v>1000</v>
      </c>
    </row>
    <row r="9" spans="1:10" ht="19.95" customHeight="1" x14ac:dyDescent="0.3">
      <c r="A9" s="2">
        <v>250064</v>
      </c>
      <c r="B9" s="2">
        <v>430</v>
      </c>
      <c r="C9" s="3">
        <v>0.5</v>
      </c>
      <c r="D9" s="3" t="s">
        <v>42</v>
      </c>
      <c r="E9" s="4" t="s">
        <v>44</v>
      </c>
      <c r="F9" s="2" t="s">
        <v>27</v>
      </c>
      <c r="G9" s="2">
        <v>430</v>
      </c>
      <c r="H9" s="5">
        <v>1000</v>
      </c>
      <c r="I9" s="6"/>
      <c r="J9" s="5">
        <f t="shared" si="0"/>
        <v>1000</v>
      </c>
    </row>
    <row r="10" spans="1:10" ht="19.95" customHeight="1" x14ac:dyDescent="0.3">
      <c r="A10" s="2">
        <v>250063</v>
      </c>
      <c r="B10" s="2">
        <v>430</v>
      </c>
      <c r="C10" s="3">
        <v>0.5</v>
      </c>
      <c r="D10" s="3" t="s">
        <v>42</v>
      </c>
      <c r="E10" s="4" t="s">
        <v>45</v>
      </c>
      <c r="F10" s="2" t="s">
        <v>27</v>
      </c>
      <c r="G10" s="2">
        <v>430</v>
      </c>
      <c r="H10" s="5">
        <v>1000</v>
      </c>
      <c r="I10" s="6"/>
      <c r="J10" s="5">
        <f t="shared" si="0"/>
        <v>1000</v>
      </c>
    </row>
    <row r="11" spans="1:10" ht="19.95" customHeight="1" x14ac:dyDescent="0.3">
      <c r="A11" s="2">
        <v>250067</v>
      </c>
      <c r="B11" s="2">
        <v>430</v>
      </c>
      <c r="C11" s="3">
        <v>0.5</v>
      </c>
      <c r="D11" s="3" t="s">
        <v>42</v>
      </c>
      <c r="E11" s="4" t="s">
        <v>46</v>
      </c>
      <c r="F11" s="2" t="s">
        <v>27</v>
      </c>
      <c r="G11" s="2">
        <v>430</v>
      </c>
      <c r="H11" s="5">
        <v>1000</v>
      </c>
      <c r="I11" s="6"/>
      <c r="J11" s="5">
        <f t="shared" si="0"/>
        <v>1000</v>
      </c>
    </row>
    <row r="12" spans="1:10" ht="19.95" customHeight="1" x14ac:dyDescent="0.3">
      <c r="A12" s="2">
        <v>250064</v>
      </c>
      <c r="B12" s="2">
        <v>430</v>
      </c>
      <c r="C12" s="3">
        <v>0.5</v>
      </c>
      <c r="D12" s="3" t="s">
        <v>42</v>
      </c>
      <c r="E12" s="4" t="s">
        <v>47</v>
      </c>
      <c r="F12" s="2" t="s">
        <v>27</v>
      </c>
      <c r="G12" s="2">
        <v>430</v>
      </c>
      <c r="H12" s="5">
        <v>1000</v>
      </c>
      <c r="I12" s="6"/>
      <c r="J12" s="5">
        <f t="shared" si="0"/>
        <v>1000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7"/>
      <c r="B14" s="7"/>
      <c r="C14" s="10"/>
      <c r="D14" s="10"/>
      <c r="E14" s="11"/>
      <c r="F14" s="7"/>
      <c r="G14" s="7"/>
      <c r="H14" s="12"/>
      <c r="I14" s="6"/>
      <c r="J14" s="5">
        <f t="shared" si="0"/>
        <v>0</v>
      </c>
    </row>
    <row r="15" spans="1:10" ht="19.95" customHeight="1" x14ac:dyDescent="0.3">
      <c r="A15" s="2"/>
      <c r="B15" s="2"/>
      <c r="C15" s="3"/>
      <c r="D15" s="3"/>
      <c r="E15" s="4"/>
      <c r="F15" s="2"/>
      <c r="G15" s="2"/>
      <c r="H15" s="5"/>
      <c r="I15" s="6"/>
      <c r="J15" s="5">
        <f t="shared" si="0"/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6820</v>
      </c>
      <c r="I17" s="19">
        <f>SUM(I5:I16)</f>
        <v>940</v>
      </c>
      <c r="J17" s="5">
        <f>SUM(J5:J16)</f>
        <v>5880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2" t="s">
        <v>0</v>
      </c>
      <c r="B20" s="2" t="s">
        <v>1</v>
      </c>
      <c r="C20" s="18" t="s">
        <v>2</v>
      </c>
      <c r="D20" s="18" t="s">
        <v>3</v>
      </c>
      <c r="E20" s="2" t="s">
        <v>4</v>
      </c>
      <c r="F20" s="18" t="s">
        <v>33</v>
      </c>
      <c r="G20" s="2" t="s">
        <v>5</v>
      </c>
      <c r="H20" s="2" t="s">
        <v>6</v>
      </c>
      <c r="I20" s="2" t="s">
        <v>7</v>
      </c>
      <c r="J20" s="2" t="s">
        <v>8</v>
      </c>
    </row>
    <row r="21" spans="1:10" ht="19.95" customHeight="1" x14ac:dyDescent="0.3">
      <c r="A21" s="2">
        <v>250063</v>
      </c>
      <c r="B21" s="2">
        <v>430</v>
      </c>
      <c r="C21" s="3">
        <v>0.5</v>
      </c>
      <c r="D21" s="3" t="s">
        <v>42</v>
      </c>
      <c r="E21" s="4" t="s">
        <v>48</v>
      </c>
      <c r="F21" s="2" t="s">
        <v>27</v>
      </c>
      <c r="G21" s="2">
        <v>430</v>
      </c>
      <c r="H21" s="5">
        <v>1250</v>
      </c>
      <c r="I21" s="6"/>
      <c r="J21" s="5">
        <f t="shared" ref="J21:J25" si="1">H21-I21</f>
        <v>1250</v>
      </c>
    </row>
    <row r="22" spans="1:10" ht="19.95" customHeight="1" x14ac:dyDescent="0.3">
      <c r="A22" s="2">
        <v>250067</v>
      </c>
      <c r="B22" s="2">
        <v>430</v>
      </c>
      <c r="C22" s="3">
        <v>0.5</v>
      </c>
      <c r="D22" s="3" t="s">
        <v>42</v>
      </c>
      <c r="E22" s="4" t="s">
        <v>49</v>
      </c>
      <c r="F22" s="2" t="s">
        <v>27</v>
      </c>
      <c r="G22" s="2">
        <v>430</v>
      </c>
      <c r="H22" s="5">
        <v>1000</v>
      </c>
      <c r="I22" s="6"/>
      <c r="J22" s="5">
        <f t="shared" si="1"/>
        <v>1000</v>
      </c>
    </row>
    <row r="23" spans="1:10" ht="19.95" customHeight="1" x14ac:dyDescent="0.3">
      <c r="A23" s="2">
        <v>250064</v>
      </c>
      <c r="B23" s="2">
        <v>430</v>
      </c>
      <c r="C23" s="3">
        <v>0.5</v>
      </c>
      <c r="D23" s="3" t="s">
        <v>42</v>
      </c>
      <c r="E23" s="4" t="s">
        <v>50</v>
      </c>
      <c r="F23" s="2" t="s">
        <v>27</v>
      </c>
      <c r="G23" s="2">
        <v>430</v>
      </c>
      <c r="H23" s="5">
        <v>1250</v>
      </c>
      <c r="I23" s="6"/>
      <c r="J23" s="5">
        <f t="shared" si="1"/>
        <v>1250</v>
      </c>
    </row>
    <row r="24" spans="1:10" ht="19.95" customHeight="1" x14ac:dyDescent="0.3">
      <c r="A24" s="2"/>
      <c r="B24" s="2"/>
      <c r="C24" s="3"/>
      <c r="D24" s="3"/>
      <c r="E24" s="4"/>
      <c r="F24" s="2"/>
      <c r="G24" s="2"/>
      <c r="H24" s="5"/>
      <c r="I24" s="6"/>
      <c r="J24" s="5">
        <f t="shared" si="1"/>
        <v>0</v>
      </c>
    </row>
    <row r="25" spans="1:10" ht="19.95" customHeight="1" x14ac:dyDescent="0.3">
      <c r="A25" s="2"/>
      <c r="B25" s="2"/>
      <c r="C25" s="3"/>
      <c r="D25" s="3"/>
      <c r="E25" s="4"/>
      <c r="F25" s="2"/>
      <c r="G25" s="2"/>
      <c r="H25" s="5"/>
      <c r="I25" s="6"/>
      <c r="J25" s="5">
        <f t="shared" si="1"/>
        <v>0</v>
      </c>
    </row>
    <row r="26" spans="1:10" ht="19.95" customHeight="1" x14ac:dyDescent="0.3">
      <c r="A26" s="2"/>
      <c r="B26" s="2"/>
      <c r="C26" s="3"/>
      <c r="D26" s="3"/>
      <c r="E26" s="4"/>
      <c r="F26" s="2"/>
      <c r="G26" s="2"/>
      <c r="H26" s="5"/>
      <c r="I26" s="6"/>
      <c r="J26" s="5"/>
    </row>
    <row r="27" spans="1:10" ht="19.95" customHeight="1" x14ac:dyDescent="0.3">
      <c r="A27" s="14"/>
      <c r="B27" s="14"/>
      <c r="C27" s="14"/>
      <c r="D27" s="14"/>
      <c r="E27" s="15"/>
      <c r="F27" s="14"/>
      <c r="G27" s="16"/>
      <c r="H27" s="5">
        <f>SUM(H21:H26)</f>
        <v>3500</v>
      </c>
      <c r="I27" s="6">
        <f>SUM(I21:I26)</f>
        <v>0</v>
      </c>
      <c r="J27" s="5">
        <f>SUM(J21:J26)</f>
        <v>3500</v>
      </c>
    </row>
    <row r="29" spans="1:10" ht="23.4" x14ac:dyDescent="0.3">
      <c r="A29" s="172" t="s">
        <v>34</v>
      </c>
      <c r="B29" s="172"/>
      <c r="C29" s="172"/>
      <c r="D29" s="172"/>
      <c r="E29" s="172"/>
      <c r="F29" s="172"/>
      <c r="G29" s="172"/>
      <c r="H29" s="172"/>
      <c r="I29" s="172"/>
      <c r="J29" s="172"/>
    </row>
  </sheetData>
  <mergeCells count="5">
    <mergeCell ref="I1:J1"/>
    <mergeCell ref="A2:J2"/>
    <mergeCell ref="A3:J3"/>
    <mergeCell ref="A19:J19"/>
    <mergeCell ref="A29:J29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J25"/>
  <sheetViews>
    <sheetView zoomScale="70" zoomScaleNormal="70" workbookViewId="0">
      <selection activeCell="A3" sqref="A3:J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45909</v>
      </c>
      <c r="J1" s="179"/>
    </row>
    <row r="2" spans="1:10" ht="30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9</v>
      </c>
      <c r="E5" s="4" t="s">
        <v>11</v>
      </c>
      <c r="F5" s="2" t="s">
        <v>27</v>
      </c>
      <c r="G5" s="2"/>
      <c r="H5" s="5">
        <v>1000</v>
      </c>
      <c r="I5" s="6">
        <v>940</v>
      </c>
      <c r="J5" s="5">
        <f>H5-I5</f>
        <v>60</v>
      </c>
    </row>
    <row r="6" spans="1:10" ht="19.95" customHeight="1" x14ac:dyDescent="0.3">
      <c r="A6" s="2">
        <v>250063</v>
      </c>
      <c r="B6" s="2">
        <v>430</v>
      </c>
      <c r="C6" s="3">
        <v>0.5</v>
      </c>
      <c r="D6" s="3" t="s">
        <v>42</v>
      </c>
      <c r="E6" s="4" t="s">
        <v>45</v>
      </c>
      <c r="F6" s="2" t="s">
        <v>27</v>
      </c>
      <c r="G6" s="2">
        <v>430</v>
      </c>
      <c r="H6" s="5">
        <v>1000</v>
      </c>
      <c r="I6" s="6">
        <v>1000</v>
      </c>
      <c r="J6" s="5">
        <f t="shared" ref="J6:J12" si="0">H6-I6</f>
        <v>0</v>
      </c>
    </row>
    <row r="7" spans="1:10" ht="19.95" customHeight="1" x14ac:dyDescent="0.3">
      <c r="A7" s="2">
        <v>250067</v>
      </c>
      <c r="B7" s="2">
        <v>430</v>
      </c>
      <c r="C7" s="3">
        <v>0.5</v>
      </c>
      <c r="D7" s="3" t="s">
        <v>42</v>
      </c>
      <c r="E7" s="4" t="s">
        <v>46</v>
      </c>
      <c r="F7" s="2" t="s">
        <v>27</v>
      </c>
      <c r="G7" s="2">
        <v>430</v>
      </c>
      <c r="H7" s="5">
        <v>1000</v>
      </c>
      <c r="I7" s="6">
        <v>1000</v>
      </c>
      <c r="J7" s="5">
        <f t="shared" si="0"/>
        <v>0</v>
      </c>
    </row>
    <row r="8" spans="1:10" ht="19.95" customHeight="1" x14ac:dyDescent="0.3">
      <c r="A8" s="2">
        <v>250064</v>
      </c>
      <c r="B8" s="2">
        <v>430</v>
      </c>
      <c r="C8" s="3">
        <v>0.5</v>
      </c>
      <c r="D8" s="3" t="s">
        <v>42</v>
      </c>
      <c r="E8" s="4" t="s">
        <v>47</v>
      </c>
      <c r="F8" s="2" t="s">
        <v>27</v>
      </c>
      <c r="G8" s="2">
        <v>430</v>
      </c>
      <c r="H8" s="5">
        <v>1000</v>
      </c>
      <c r="I8" s="6">
        <v>950</v>
      </c>
      <c r="J8" s="5">
        <f t="shared" si="0"/>
        <v>50</v>
      </c>
    </row>
    <row r="9" spans="1:10" ht="19.95" customHeight="1" x14ac:dyDescent="0.3">
      <c r="A9" s="2"/>
      <c r="B9" s="2"/>
      <c r="C9" s="3"/>
      <c r="D9" s="3"/>
      <c r="E9" s="4"/>
      <c r="F9" s="2"/>
      <c r="G9" s="2"/>
      <c r="H9" s="5"/>
      <c r="I9" s="6"/>
      <c r="J9" s="5">
        <f t="shared" si="0"/>
        <v>0</v>
      </c>
    </row>
    <row r="10" spans="1:10" ht="19.95" customHeight="1" x14ac:dyDescent="0.3">
      <c r="A10" s="7"/>
      <c r="B10" s="7"/>
      <c r="C10" s="10"/>
      <c r="D10" s="10"/>
      <c r="E10" s="11"/>
      <c r="F10" s="7"/>
      <c r="G10" s="7"/>
      <c r="H10" s="12"/>
      <c r="I10" s="6"/>
      <c r="J10" s="5">
        <f t="shared" si="0"/>
        <v>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5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4000</v>
      </c>
      <c r="I13" s="19">
        <f>SUM(I5:I12)</f>
        <v>3890</v>
      </c>
      <c r="J13" s="5">
        <f>SUM(J5:J12)</f>
        <v>110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0</v>
      </c>
      <c r="B16" s="2" t="s">
        <v>1</v>
      </c>
      <c r="C16" s="18" t="s">
        <v>2</v>
      </c>
      <c r="D16" s="18" t="s">
        <v>3</v>
      </c>
      <c r="E16" s="2" t="s">
        <v>4</v>
      </c>
      <c r="F16" s="18" t="s">
        <v>33</v>
      </c>
      <c r="G16" s="2" t="s">
        <v>5</v>
      </c>
      <c r="H16" s="2" t="s">
        <v>6</v>
      </c>
      <c r="I16" s="2" t="s">
        <v>7</v>
      </c>
      <c r="J16" s="2" t="s">
        <v>8</v>
      </c>
    </row>
    <row r="17" spans="1:10" ht="19.95" customHeight="1" x14ac:dyDescent="0.3">
      <c r="A17" s="2">
        <v>250063</v>
      </c>
      <c r="B17" s="2">
        <v>430</v>
      </c>
      <c r="C17" s="3">
        <v>0.5</v>
      </c>
      <c r="D17" s="3" t="s">
        <v>42</v>
      </c>
      <c r="E17" s="4" t="s">
        <v>48</v>
      </c>
      <c r="F17" s="2" t="s">
        <v>27</v>
      </c>
      <c r="G17" s="2">
        <v>430</v>
      </c>
      <c r="H17" s="5">
        <v>1250</v>
      </c>
      <c r="I17" s="6"/>
      <c r="J17" s="5">
        <f t="shared" ref="J17:J21" si="1">H17-I17</f>
        <v>1250</v>
      </c>
    </row>
    <row r="18" spans="1:10" ht="19.95" customHeight="1" x14ac:dyDescent="0.3">
      <c r="A18" s="2">
        <v>250067</v>
      </c>
      <c r="B18" s="2">
        <v>430</v>
      </c>
      <c r="C18" s="3">
        <v>0.5</v>
      </c>
      <c r="D18" s="3" t="s">
        <v>42</v>
      </c>
      <c r="E18" s="4" t="s">
        <v>49</v>
      </c>
      <c r="F18" s="2" t="s">
        <v>27</v>
      </c>
      <c r="G18" s="2">
        <v>430</v>
      </c>
      <c r="H18" s="5">
        <v>1000</v>
      </c>
      <c r="I18" s="6"/>
      <c r="J18" s="5">
        <f t="shared" si="1"/>
        <v>1000</v>
      </c>
    </row>
    <row r="19" spans="1:10" ht="19.95" customHeight="1" x14ac:dyDescent="0.3">
      <c r="A19" s="2">
        <v>250064</v>
      </c>
      <c r="B19" s="2">
        <v>430</v>
      </c>
      <c r="C19" s="3">
        <v>0.5</v>
      </c>
      <c r="D19" s="3" t="s">
        <v>42</v>
      </c>
      <c r="E19" s="4" t="s">
        <v>50</v>
      </c>
      <c r="F19" s="2" t="s">
        <v>27</v>
      </c>
      <c r="G19" s="2">
        <v>430</v>
      </c>
      <c r="H19" s="5">
        <v>1250</v>
      </c>
      <c r="I19" s="6"/>
      <c r="J19" s="5">
        <f t="shared" si="1"/>
        <v>1250</v>
      </c>
    </row>
    <row r="20" spans="1:10" ht="19.95" customHeight="1" x14ac:dyDescent="0.3">
      <c r="A20" s="2">
        <v>250054</v>
      </c>
      <c r="B20" s="2">
        <v>304</v>
      </c>
      <c r="C20" s="3">
        <v>0.7</v>
      </c>
      <c r="D20" s="3" t="s">
        <v>12</v>
      </c>
      <c r="E20" s="4" t="s">
        <v>36</v>
      </c>
      <c r="F20" s="2" t="s">
        <v>28</v>
      </c>
      <c r="G20" s="5">
        <v>304</v>
      </c>
      <c r="H20" s="5">
        <v>805</v>
      </c>
      <c r="I20" s="6"/>
      <c r="J20" s="5">
        <f t="shared" si="1"/>
        <v>805</v>
      </c>
    </row>
    <row r="21" spans="1:10" ht="19.95" customHeight="1" x14ac:dyDescent="0.3">
      <c r="A21" s="2"/>
      <c r="B21" s="2"/>
      <c r="C21" s="3"/>
      <c r="D21" s="3"/>
      <c r="E21" s="4" t="s">
        <v>18</v>
      </c>
      <c r="F21" s="2" t="s">
        <v>28</v>
      </c>
      <c r="G21" s="2"/>
      <c r="H21" s="5">
        <v>15</v>
      </c>
      <c r="I21" s="6"/>
      <c r="J21" s="5">
        <f t="shared" si="1"/>
        <v>15</v>
      </c>
    </row>
    <row r="22" spans="1:10" ht="19.95" customHeight="1" x14ac:dyDescent="0.3">
      <c r="A22" s="2"/>
      <c r="B22" s="2"/>
      <c r="C22" s="3"/>
      <c r="D22" s="3"/>
      <c r="E22" s="4"/>
      <c r="F22" s="2"/>
      <c r="G22" s="2"/>
      <c r="H22" s="5"/>
      <c r="I22" s="6"/>
      <c r="J22" s="5"/>
    </row>
    <row r="23" spans="1:10" ht="19.95" customHeight="1" x14ac:dyDescent="0.3">
      <c r="A23" s="14"/>
      <c r="B23" s="14"/>
      <c r="C23" s="14"/>
      <c r="D23" s="14"/>
      <c r="E23" s="15"/>
      <c r="F23" s="14"/>
      <c r="G23" s="16"/>
      <c r="H23" s="5">
        <f>SUM(H17:H22)</f>
        <v>4320</v>
      </c>
      <c r="I23" s="6">
        <f>SUM(I17:I22)</f>
        <v>0</v>
      </c>
      <c r="J23" s="5">
        <f>SUM(J17:J22)</f>
        <v>4320</v>
      </c>
    </row>
    <row r="25" spans="1:10" ht="23.4" x14ac:dyDescent="0.3">
      <c r="A25" s="172" t="s">
        <v>34</v>
      </c>
      <c r="B25" s="172"/>
      <c r="C25" s="172"/>
      <c r="D25" s="172"/>
      <c r="E25" s="172"/>
      <c r="F25" s="172"/>
      <c r="G25" s="172"/>
      <c r="H25" s="172"/>
      <c r="I25" s="172"/>
      <c r="J25" s="172"/>
    </row>
  </sheetData>
  <mergeCells count="5">
    <mergeCell ref="I1:J1"/>
    <mergeCell ref="A2:J2"/>
    <mergeCell ref="A3:J3"/>
    <mergeCell ref="A15:J15"/>
    <mergeCell ref="A25:J25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J25"/>
  <sheetViews>
    <sheetView zoomScale="85" zoomScaleNormal="85" workbookViewId="0">
      <selection activeCell="L8" sqref="L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45910</v>
      </c>
      <c r="J1" s="179"/>
    </row>
    <row r="2" spans="1:10" ht="30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42</v>
      </c>
      <c r="E5" s="4" t="s">
        <v>47</v>
      </c>
      <c r="F5" s="2" t="s">
        <v>27</v>
      </c>
      <c r="G5" s="2">
        <v>430</v>
      </c>
      <c r="H5" s="5">
        <v>1000</v>
      </c>
      <c r="I5" s="6">
        <f>950+50</f>
        <v>1000</v>
      </c>
      <c r="J5" s="5">
        <f>H5-I5</f>
        <v>0</v>
      </c>
    </row>
    <row r="6" spans="1:10" ht="19.95" customHeight="1" x14ac:dyDescent="0.3">
      <c r="A6" s="2">
        <v>250063</v>
      </c>
      <c r="B6" s="2">
        <v>430</v>
      </c>
      <c r="C6" s="3">
        <v>0.5</v>
      </c>
      <c r="D6" s="3" t="s">
        <v>42</v>
      </c>
      <c r="E6" s="4" t="s">
        <v>48</v>
      </c>
      <c r="F6" s="2" t="s">
        <v>27</v>
      </c>
      <c r="G6" s="2">
        <v>430</v>
      </c>
      <c r="H6" s="5">
        <v>1250</v>
      </c>
      <c r="I6" s="6">
        <v>1250</v>
      </c>
      <c r="J6" s="5">
        <f t="shared" ref="J6:J12" si="0">H6-I6</f>
        <v>0</v>
      </c>
    </row>
    <row r="7" spans="1:10" ht="19.95" customHeight="1" x14ac:dyDescent="0.3">
      <c r="A7" s="2">
        <v>250067</v>
      </c>
      <c r="B7" s="2">
        <v>430</v>
      </c>
      <c r="C7" s="3">
        <v>0.5</v>
      </c>
      <c r="D7" s="3" t="s">
        <v>42</v>
      </c>
      <c r="E7" s="4" t="s">
        <v>49</v>
      </c>
      <c r="F7" s="2" t="s">
        <v>27</v>
      </c>
      <c r="G7" s="2">
        <v>430</v>
      </c>
      <c r="H7" s="5">
        <v>1000</v>
      </c>
      <c r="I7" s="6">
        <v>250</v>
      </c>
      <c r="J7" s="5">
        <f t="shared" si="0"/>
        <v>750</v>
      </c>
    </row>
    <row r="8" spans="1:10" ht="19.95" customHeight="1" x14ac:dyDescent="0.3">
      <c r="A8" s="2">
        <v>250064</v>
      </c>
      <c r="B8" s="2">
        <v>430</v>
      </c>
      <c r="C8" s="3">
        <v>0.5</v>
      </c>
      <c r="D8" s="3" t="s">
        <v>42</v>
      </c>
      <c r="E8" s="4" t="s">
        <v>50</v>
      </c>
      <c r="F8" s="2" t="s">
        <v>27</v>
      </c>
      <c r="G8" s="2">
        <v>430</v>
      </c>
      <c r="H8" s="5">
        <v>1250</v>
      </c>
      <c r="I8" s="6"/>
      <c r="J8" s="5">
        <f t="shared" si="0"/>
        <v>1250</v>
      </c>
    </row>
    <row r="9" spans="1:10" ht="19.95" customHeight="1" x14ac:dyDescent="0.3">
      <c r="A9" s="2">
        <v>250063</v>
      </c>
      <c r="B9" s="2">
        <v>430</v>
      </c>
      <c r="C9" s="3">
        <v>0.5</v>
      </c>
      <c r="D9" s="3" t="s">
        <v>42</v>
      </c>
      <c r="E9" s="4" t="s">
        <v>51</v>
      </c>
      <c r="F9" s="2" t="s">
        <v>27</v>
      </c>
      <c r="G9" s="2">
        <v>430</v>
      </c>
      <c r="H9" s="5">
        <v>1250</v>
      </c>
      <c r="I9" s="6"/>
      <c r="J9" s="5">
        <f t="shared" si="0"/>
        <v>1250</v>
      </c>
    </row>
    <row r="10" spans="1:10" ht="19.95" customHeight="1" x14ac:dyDescent="0.3">
      <c r="A10" s="2">
        <v>250067</v>
      </c>
      <c r="B10" s="2">
        <v>430</v>
      </c>
      <c r="C10" s="3">
        <v>0.5</v>
      </c>
      <c r="D10" s="3" t="s">
        <v>42</v>
      </c>
      <c r="E10" s="4" t="s">
        <v>52</v>
      </c>
      <c r="F10" s="2" t="s">
        <v>27</v>
      </c>
      <c r="G10" s="2">
        <v>430</v>
      </c>
      <c r="H10" s="5">
        <v>1000</v>
      </c>
      <c r="I10" s="6"/>
      <c r="J10" s="5">
        <f t="shared" si="0"/>
        <v>1000</v>
      </c>
    </row>
    <row r="11" spans="1:10" ht="19.95" customHeight="1" x14ac:dyDescent="0.3">
      <c r="A11" s="2">
        <v>250064</v>
      </c>
      <c r="B11" s="2">
        <v>430</v>
      </c>
      <c r="C11" s="3">
        <v>0.5</v>
      </c>
      <c r="D11" s="3" t="s">
        <v>42</v>
      </c>
      <c r="E11" s="4" t="s">
        <v>53</v>
      </c>
      <c r="F11" s="2" t="s">
        <v>27</v>
      </c>
      <c r="G11" s="2">
        <v>430</v>
      </c>
      <c r="H11" s="5">
        <v>1250</v>
      </c>
      <c r="I11" s="6"/>
      <c r="J11" s="5">
        <f t="shared" si="0"/>
        <v>1250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8000</v>
      </c>
      <c r="I13" s="19">
        <f>SUM(I5:I12)</f>
        <v>2500</v>
      </c>
      <c r="J13" s="5">
        <f>SUM(J5:J12)</f>
        <v>5500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0</v>
      </c>
      <c r="B16" s="2" t="s">
        <v>1</v>
      </c>
      <c r="C16" s="18" t="s">
        <v>2</v>
      </c>
      <c r="D16" s="18" t="s">
        <v>3</v>
      </c>
      <c r="E16" s="2" t="s">
        <v>4</v>
      </c>
      <c r="F16" s="18" t="s">
        <v>33</v>
      </c>
      <c r="G16" s="2" t="s">
        <v>5</v>
      </c>
      <c r="H16" s="2" t="s">
        <v>6</v>
      </c>
      <c r="I16" s="2" t="s">
        <v>7</v>
      </c>
      <c r="J16" s="2" t="s">
        <v>8</v>
      </c>
    </row>
    <row r="17" spans="1:10" ht="19.95" customHeight="1" x14ac:dyDescent="0.3">
      <c r="A17" s="2">
        <v>250054</v>
      </c>
      <c r="B17" s="2">
        <v>304</v>
      </c>
      <c r="C17" s="3">
        <v>0.7</v>
      </c>
      <c r="D17" s="3" t="s">
        <v>12</v>
      </c>
      <c r="E17" s="4" t="s">
        <v>36</v>
      </c>
      <c r="F17" s="2" t="s">
        <v>28</v>
      </c>
      <c r="G17" s="5">
        <v>304</v>
      </c>
      <c r="H17" s="5">
        <v>805</v>
      </c>
      <c r="I17" s="6">
        <v>815</v>
      </c>
      <c r="J17" s="5">
        <f t="shared" ref="J17:J21" si="1">H17-I17</f>
        <v>-10</v>
      </c>
    </row>
    <row r="18" spans="1:10" ht="19.95" customHeight="1" x14ac:dyDescent="0.3">
      <c r="A18" s="2"/>
      <c r="B18" s="2"/>
      <c r="C18" s="3"/>
      <c r="D18" s="3"/>
      <c r="E18" s="4" t="s">
        <v>18</v>
      </c>
      <c r="F18" s="2" t="s">
        <v>28</v>
      </c>
      <c r="G18" s="2"/>
      <c r="H18" s="5">
        <v>15</v>
      </c>
      <c r="I18" s="6">
        <v>15</v>
      </c>
      <c r="J18" s="5">
        <f t="shared" si="1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1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5"/>
      <c r="H20" s="5"/>
      <c r="I20" s="6"/>
      <c r="J20" s="5">
        <f t="shared" si="1"/>
        <v>0</v>
      </c>
    </row>
    <row r="21" spans="1:10" ht="19.95" customHeight="1" x14ac:dyDescent="0.3">
      <c r="A21" s="2"/>
      <c r="B21" s="2"/>
      <c r="C21" s="3"/>
      <c r="D21" s="3"/>
      <c r="E21" s="4"/>
      <c r="F21" s="2"/>
      <c r="G21" s="2"/>
      <c r="H21" s="5"/>
      <c r="I21" s="6"/>
      <c r="J21" s="5">
        <f t="shared" si="1"/>
        <v>0</v>
      </c>
    </row>
    <row r="22" spans="1:10" ht="19.95" customHeight="1" x14ac:dyDescent="0.3">
      <c r="A22" s="2"/>
      <c r="B22" s="2"/>
      <c r="C22" s="3"/>
      <c r="D22" s="3"/>
      <c r="E22" s="4"/>
      <c r="F22" s="2"/>
      <c r="G22" s="2"/>
      <c r="H22" s="5"/>
      <c r="I22" s="6"/>
      <c r="J22" s="5"/>
    </row>
    <row r="23" spans="1:10" ht="19.95" customHeight="1" x14ac:dyDescent="0.3">
      <c r="A23" s="14"/>
      <c r="B23" s="14"/>
      <c r="C23" s="14"/>
      <c r="D23" s="14"/>
      <c r="E23" s="15"/>
      <c r="F23" s="14"/>
      <c r="G23" s="16"/>
      <c r="H23" s="5">
        <f>SUM(H17:H22)</f>
        <v>820</v>
      </c>
      <c r="I23" s="6">
        <f>SUM(I17:I22)</f>
        <v>830</v>
      </c>
      <c r="J23" s="5">
        <f>SUM(J17:J22)</f>
        <v>-10</v>
      </c>
    </row>
    <row r="25" spans="1:10" ht="23.4" x14ac:dyDescent="0.3">
      <c r="A25" s="172" t="s">
        <v>34</v>
      </c>
      <c r="B25" s="172"/>
      <c r="C25" s="172"/>
      <c r="D25" s="172"/>
      <c r="E25" s="172"/>
      <c r="F25" s="172"/>
      <c r="G25" s="172"/>
      <c r="H25" s="172"/>
      <c r="I25" s="172"/>
      <c r="J25" s="172"/>
    </row>
  </sheetData>
  <mergeCells count="5">
    <mergeCell ref="I1:J1"/>
    <mergeCell ref="A2:J2"/>
    <mergeCell ref="A3:J3"/>
    <mergeCell ref="A15:J15"/>
    <mergeCell ref="A25:J25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25"/>
  <sheetViews>
    <sheetView zoomScale="85" zoomScaleNormal="85" workbookViewId="0">
      <selection activeCell="I7" sqref="I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45911</v>
      </c>
      <c r="J1" s="179"/>
    </row>
    <row r="2" spans="1:10" ht="30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250067</v>
      </c>
      <c r="B5" s="2">
        <v>430</v>
      </c>
      <c r="C5" s="3">
        <v>0.5</v>
      </c>
      <c r="D5" s="3" t="s">
        <v>42</v>
      </c>
      <c r="E5" s="4" t="s">
        <v>49</v>
      </c>
      <c r="F5" s="2" t="s">
        <v>27</v>
      </c>
      <c r="G5" s="2">
        <v>430</v>
      </c>
      <c r="H5" s="5">
        <v>1000</v>
      </c>
      <c r="I5" s="6">
        <v>1000</v>
      </c>
      <c r="J5" s="5">
        <f>H5-I5</f>
        <v>0</v>
      </c>
    </row>
    <row r="6" spans="1:10" ht="19.95" customHeight="1" x14ac:dyDescent="0.3">
      <c r="A6" s="2">
        <v>250064</v>
      </c>
      <c r="B6" s="2">
        <v>430</v>
      </c>
      <c r="C6" s="3">
        <v>0.5</v>
      </c>
      <c r="D6" s="3" t="s">
        <v>42</v>
      </c>
      <c r="E6" s="4" t="s">
        <v>50</v>
      </c>
      <c r="F6" s="2" t="s">
        <v>27</v>
      </c>
      <c r="G6" s="2">
        <v>430</v>
      </c>
      <c r="H6" s="5">
        <v>1250</v>
      </c>
      <c r="I6" s="6">
        <v>1280</v>
      </c>
      <c r="J6" s="5">
        <f t="shared" ref="J6:J12" si="0">H6-I6</f>
        <v>-30</v>
      </c>
    </row>
    <row r="7" spans="1:10" ht="19.95" customHeight="1" x14ac:dyDescent="0.3">
      <c r="A7" s="2">
        <v>250063</v>
      </c>
      <c r="B7" s="2">
        <v>430</v>
      </c>
      <c r="C7" s="3">
        <v>0.5</v>
      </c>
      <c r="D7" s="3" t="s">
        <v>42</v>
      </c>
      <c r="E7" s="4" t="s">
        <v>51</v>
      </c>
      <c r="F7" s="2" t="s">
        <v>27</v>
      </c>
      <c r="G7" s="2">
        <v>430</v>
      </c>
      <c r="H7" s="5">
        <v>1250</v>
      </c>
      <c r="I7" s="6"/>
      <c r="J7" s="5">
        <f t="shared" si="0"/>
        <v>1250</v>
      </c>
    </row>
    <row r="8" spans="1:10" ht="19.95" customHeight="1" x14ac:dyDescent="0.3">
      <c r="A8" s="2">
        <v>250067</v>
      </c>
      <c r="B8" s="2">
        <v>430</v>
      </c>
      <c r="C8" s="3">
        <v>0.5</v>
      </c>
      <c r="D8" s="3" t="s">
        <v>42</v>
      </c>
      <c r="E8" s="4" t="s">
        <v>52</v>
      </c>
      <c r="F8" s="2" t="s">
        <v>27</v>
      </c>
      <c r="G8" s="2">
        <v>430</v>
      </c>
      <c r="H8" s="5">
        <v>1000</v>
      </c>
      <c r="I8" s="6"/>
      <c r="J8" s="5">
        <f t="shared" si="0"/>
        <v>1000</v>
      </c>
    </row>
    <row r="9" spans="1:10" ht="19.95" customHeight="1" x14ac:dyDescent="0.3">
      <c r="A9" s="2">
        <v>250064</v>
      </c>
      <c r="B9" s="2">
        <v>430</v>
      </c>
      <c r="C9" s="3">
        <v>0.5</v>
      </c>
      <c r="D9" s="3" t="s">
        <v>42</v>
      </c>
      <c r="E9" s="4" t="s">
        <v>53</v>
      </c>
      <c r="F9" s="2" t="s">
        <v>27</v>
      </c>
      <c r="G9" s="2">
        <v>430</v>
      </c>
      <c r="H9" s="5">
        <v>1250</v>
      </c>
      <c r="I9" s="6"/>
      <c r="J9" s="5">
        <f t="shared" si="0"/>
        <v>1250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5">
        <f t="shared" si="0"/>
        <v>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5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5750</v>
      </c>
      <c r="I13" s="19">
        <f>SUM(I5:I12)</f>
        <v>2280</v>
      </c>
      <c r="J13" s="5">
        <f>SUM(J5:J12)</f>
        <v>3470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0</v>
      </c>
      <c r="B16" s="2" t="s">
        <v>1</v>
      </c>
      <c r="C16" s="18" t="s">
        <v>2</v>
      </c>
      <c r="D16" s="18" t="s">
        <v>3</v>
      </c>
      <c r="E16" s="2" t="s">
        <v>4</v>
      </c>
      <c r="F16" s="18" t="s">
        <v>33</v>
      </c>
      <c r="G16" s="2" t="s">
        <v>5</v>
      </c>
      <c r="H16" s="2" t="s">
        <v>6</v>
      </c>
      <c r="I16" s="2" t="s">
        <v>7</v>
      </c>
      <c r="J16" s="2" t="s">
        <v>8</v>
      </c>
    </row>
    <row r="17" spans="1:10" ht="19.95" customHeight="1" x14ac:dyDescent="0.3">
      <c r="A17" s="2"/>
      <c r="B17" s="2"/>
      <c r="C17" s="3"/>
      <c r="D17" s="3"/>
      <c r="E17" s="4"/>
      <c r="F17" s="2"/>
      <c r="G17" s="5"/>
      <c r="H17" s="5"/>
      <c r="I17" s="6"/>
      <c r="J17" s="5">
        <f t="shared" ref="J17:J21" si="1">H17-I17</f>
        <v>0</v>
      </c>
    </row>
    <row r="18" spans="1:10" ht="19.95" customHeight="1" x14ac:dyDescent="0.3">
      <c r="A18" s="2"/>
      <c r="B18" s="2"/>
      <c r="C18" s="3"/>
      <c r="D18" s="3"/>
      <c r="E18" s="4"/>
      <c r="F18" s="2"/>
      <c r="G18" s="2"/>
      <c r="H18" s="5"/>
      <c r="I18" s="6"/>
      <c r="J18" s="5">
        <f t="shared" si="1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1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5"/>
      <c r="H20" s="5"/>
      <c r="I20" s="6"/>
      <c r="J20" s="5">
        <f t="shared" si="1"/>
        <v>0</v>
      </c>
    </row>
    <row r="21" spans="1:10" ht="19.95" customHeight="1" x14ac:dyDescent="0.3">
      <c r="A21" s="2"/>
      <c r="B21" s="2"/>
      <c r="C21" s="3"/>
      <c r="D21" s="3"/>
      <c r="E21" s="4"/>
      <c r="F21" s="2"/>
      <c r="G21" s="2"/>
      <c r="H21" s="5"/>
      <c r="I21" s="6"/>
      <c r="J21" s="5">
        <f t="shared" si="1"/>
        <v>0</v>
      </c>
    </row>
    <row r="22" spans="1:10" ht="19.95" customHeight="1" x14ac:dyDescent="0.3">
      <c r="A22" s="2"/>
      <c r="B22" s="2"/>
      <c r="C22" s="3"/>
      <c r="D22" s="3"/>
      <c r="E22" s="4"/>
      <c r="F22" s="2"/>
      <c r="G22" s="2"/>
      <c r="H22" s="5"/>
      <c r="I22" s="6"/>
      <c r="J22" s="5"/>
    </row>
    <row r="23" spans="1:10" ht="19.95" customHeight="1" x14ac:dyDescent="0.3">
      <c r="A23" s="14"/>
      <c r="B23" s="14"/>
      <c r="C23" s="14"/>
      <c r="D23" s="14"/>
      <c r="E23" s="15"/>
      <c r="F23" s="14"/>
      <c r="G23" s="16"/>
      <c r="H23" s="5">
        <f>SUM(H17:H22)</f>
        <v>0</v>
      </c>
      <c r="I23" s="6">
        <f>SUM(I17:I22)</f>
        <v>0</v>
      </c>
      <c r="J23" s="5">
        <f>SUM(J17:J22)</f>
        <v>0</v>
      </c>
    </row>
    <row r="25" spans="1:10" ht="23.4" x14ac:dyDescent="0.3">
      <c r="A25" s="172" t="s">
        <v>34</v>
      </c>
      <c r="B25" s="172"/>
      <c r="C25" s="172"/>
      <c r="D25" s="172"/>
      <c r="E25" s="172"/>
      <c r="F25" s="172"/>
      <c r="G25" s="172"/>
      <c r="H25" s="172"/>
      <c r="I25" s="172"/>
      <c r="J25" s="172"/>
    </row>
  </sheetData>
  <mergeCells count="5">
    <mergeCell ref="I1:J1"/>
    <mergeCell ref="A2:J2"/>
    <mergeCell ref="A3:J3"/>
    <mergeCell ref="A15:J15"/>
    <mergeCell ref="A25:J25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23"/>
  <sheetViews>
    <sheetView topLeftCell="A3" zoomScale="85" zoomScaleNormal="85" workbookViewId="0">
      <selection activeCell="F9" sqref="F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ht="18" x14ac:dyDescent="0.35">
      <c r="I1" s="178">
        <v>45912</v>
      </c>
      <c r="J1" s="179"/>
    </row>
    <row r="2" spans="1:10" ht="30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25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0</v>
      </c>
      <c r="B4" s="2" t="s">
        <v>1</v>
      </c>
      <c r="C4" s="18" t="s">
        <v>2</v>
      </c>
      <c r="D4" s="18" t="s">
        <v>3</v>
      </c>
      <c r="E4" s="2" t="s">
        <v>4</v>
      </c>
      <c r="F4" s="18" t="s">
        <v>33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0" ht="19.95" customHeight="1" x14ac:dyDescent="0.3">
      <c r="A5" s="2">
        <v>250063</v>
      </c>
      <c r="B5" s="2">
        <v>430</v>
      </c>
      <c r="C5" s="3">
        <v>0.5</v>
      </c>
      <c r="D5" s="3" t="s">
        <v>42</v>
      </c>
      <c r="E5" s="4" t="s">
        <v>55</v>
      </c>
      <c r="F5" s="2" t="s">
        <v>27</v>
      </c>
      <c r="G5" s="2">
        <v>430</v>
      </c>
      <c r="H5" s="5">
        <v>1250</v>
      </c>
      <c r="I5" s="6">
        <v>800</v>
      </c>
      <c r="J5" s="5">
        <f t="shared" ref="J5:J10" si="0">H5-I5</f>
        <v>450</v>
      </c>
    </row>
    <row r="6" spans="1:10" ht="19.95" customHeight="1" x14ac:dyDescent="0.3">
      <c r="A6" s="2">
        <v>250067</v>
      </c>
      <c r="B6" s="2">
        <v>430</v>
      </c>
      <c r="C6" s="3">
        <v>0.5</v>
      </c>
      <c r="D6" s="3" t="s">
        <v>42</v>
      </c>
      <c r="E6" s="4" t="s">
        <v>56</v>
      </c>
      <c r="F6" s="2" t="s">
        <v>27</v>
      </c>
      <c r="G6" s="2">
        <v>430</v>
      </c>
      <c r="H6" s="5">
        <v>1000</v>
      </c>
      <c r="I6" s="6"/>
      <c r="J6" s="5">
        <f t="shared" si="0"/>
        <v>1000</v>
      </c>
    </row>
    <row r="7" spans="1:10" ht="19.95" customHeight="1" x14ac:dyDescent="0.3">
      <c r="A7" s="2">
        <v>250064</v>
      </c>
      <c r="B7" s="2">
        <v>430</v>
      </c>
      <c r="C7" s="3">
        <v>0.5</v>
      </c>
      <c r="D7" s="3" t="s">
        <v>42</v>
      </c>
      <c r="E7" s="4" t="s">
        <v>57</v>
      </c>
      <c r="F7" s="2" t="s">
        <v>27</v>
      </c>
      <c r="G7" s="2">
        <v>430</v>
      </c>
      <c r="H7" s="5">
        <v>1250</v>
      </c>
      <c r="I7" s="6"/>
      <c r="J7" s="5">
        <f t="shared" si="0"/>
        <v>1250</v>
      </c>
    </row>
    <row r="8" spans="1:10" ht="19.95" customHeight="1" x14ac:dyDescent="0.3">
      <c r="A8" s="2">
        <v>250063</v>
      </c>
      <c r="B8" s="2">
        <v>430</v>
      </c>
      <c r="C8" s="3">
        <v>0.5</v>
      </c>
      <c r="D8" s="3" t="s">
        <v>42</v>
      </c>
      <c r="E8" s="4" t="s">
        <v>58</v>
      </c>
      <c r="F8" s="2" t="s">
        <v>27</v>
      </c>
      <c r="G8" s="5">
        <v>430</v>
      </c>
      <c r="H8" s="5">
        <v>1250</v>
      </c>
      <c r="I8" s="6"/>
      <c r="J8" s="5">
        <f t="shared" si="0"/>
        <v>1250</v>
      </c>
    </row>
    <row r="9" spans="1:10" ht="19.95" customHeight="1" x14ac:dyDescent="0.3">
      <c r="A9" s="2">
        <v>250064</v>
      </c>
      <c r="B9" s="2">
        <v>430</v>
      </c>
      <c r="C9" s="3">
        <v>0.5</v>
      </c>
      <c r="D9" s="3" t="s">
        <v>42</v>
      </c>
      <c r="E9" s="4" t="s">
        <v>59</v>
      </c>
      <c r="F9" s="2" t="s">
        <v>27</v>
      </c>
      <c r="G9" s="5">
        <v>430</v>
      </c>
      <c r="H9" s="5">
        <v>1250</v>
      </c>
      <c r="I9" s="6"/>
      <c r="J9" s="5">
        <f t="shared" si="0"/>
        <v>1250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5">
        <f t="shared" si="0"/>
        <v>0</v>
      </c>
    </row>
    <row r="11" spans="1:10" ht="19.95" customHeight="1" x14ac:dyDescent="0.3">
      <c r="A11" s="14"/>
      <c r="B11" s="14"/>
      <c r="C11" s="14"/>
      <c r="D11" s="14"/>
      <c r="E11" s="15"/>
      <c r="F11" s="14"/>
      <c r="G11" s="16"/>
      <c r="H11" s="17">
        <f>SUM(H5:H10)</f>
        <v>6000</v>
      </c>
      <c r="I11" s="19">
        <f>SUM(I5:I10)</f>
        <v>800</v>
      </c>
      <c r="J11" s="5">
        <f>SUM(J5:J10)</f>
        <v>5200</v>
      </c>
    </row>
    <row r="13" spans="1:10" ht="30" customHeight="1" x14ac:dyDescent="0.3">
      <c r="A13" s="172" t="s">
        <v>24</v>
      </c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ht="30" customHeight="1" x14ac:dyDescent="0.3">
      <c r="A14" s="2" t="s">
        <v>0</v>
      </c>
      <c r="B14" s="2" t="s">
        <v>1</v>
      </c>
      <c r="C14" s="18" t="s">
        <v>2</v>
      </c>
      <c r="D14" s="18" t="s">
        <v>3</v>
      </c>
      <c r="E14" s="2" t="s">
        <v>4</v>
      </c>
      <c r="F14" s="18" t="s">
        <v>33</v>
      </c>
      <c r="G14" s="2" t="s">
        <v>5</v>
      </c>
      <c r="H14" s="2" t="s">
        <v>6</v>
      </c>
      <c r="I14" s="2" t="s">
        <v>7</v>
      </c>
      <c r="J14" s="2" t="s">
        <v>8</v>
      </c>
    </row>
    <row r="15" spans="1:10" ht="19.95" customHeight="1" x14ac:dyDescent="0.3">
      <c r="A15" s="2"/>
      <c r="B15" s="2"/>
      <c r="C15" s="3"/>
      <c r="D15" s="3"/>
      <c r="E15" s="4"/>
      <c r="F15" s="2"/>
      <c r="G15" s="5"/>
      <c r="H15" s="5"/>
      <c r="I15" s="6"/>
      <c r="J15" s="5">
        <f t="shared" ref="J15:J19" si="1">H15-I15</f>
        <v>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1"/>
        <v>0</v>
      </c>
    </row>
    <row r="17" spans="1:10" ht="19.95" customHeight="1" x14ac:dyDescent="0.3">
      <c r="A17" s="2"/>
      <c r="B17" s="2"/>
      <c r="C17" s="3"/>
      <c r="D17" s="3"/>
      <c r="E17" s="4"/>
      <c r="F17" s="2"/>
      <c r="G17" s="2"/>
      <c r="H17" s="5"/>
      <c r="I17" s="6"/>
      <c r="J17" s="5">
        <f t="shared" si="1"/>
        <v>0</v>
      </c>
    </row>
    <row r="18" spans="1:10" ht="19.95" customHeight="1" x14ac:dyDescent="0.3">
      <c r="A18" s="2"/>
      <c r="B18" s="2"/>
      <c r="C18" s="3"/>
      <c r="D18" s="3"/>
      <c r="E18" s="4"/>
      <c r="F18" s="2"/>
      <c r="G18" s="5"/>
      <c r="H18" s="5"/>
      <c r="I18" s="6"/>
      <c r="J18" s="5">
        <f t="shared" si="1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1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/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5">
        <f>SUM(H15:H20)</f>
        <v>0</v>
      </c>
      <c r="I21" s="6">
        <f>SUM(I15:I20)</f>
        <v>0</v>
      </c>
      <c r="J21" s="5">
        <f>SUM(J15:J20)</f>
        <v>0</v>
      </c>
    </row>
    <row r="23" spans="1:10" ht="23.4" x14ac:dyDescent="0.3">
      <c r="A23" s="172" t="s">
        <v>34</v>
      </c>
      <c r="B23" s="172"/>
      <c r="C23" s="172"/>
      <c r="D23" s="172"/>
      <c r="E23" s="172"/>
      <c r="F23" s="172"/>
      <c r="G23" s="172"/>
      <c r="H23" s="172"/>
      <c r="I23" s="172"/>
      <c r="J23" s="172"/>
    </row>
  </sheetData>
  <mergeCells count="5">
    <mergeCell ref="I1:J1"/>
    <mergeCell ref="A2:J2"/>
    <mergeCell ref="A3:J3"/>
    <mergeCell ref="A13:J13"/>
    <mergeCell ref="A23:J23"/>
  </mergeCells>
  <pageMargins left="0.19685039370078741" right="0.19685039370078741" top="0.19685039370078741" bottom="0.19685039370078741" header="0.39370078740157483" footer="0.39370078740157483"/>
  <pageSetup paperSize="9" scale="75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J23"/>
  <sheetViews>
    <sheetView zoomScale="85" zoomScaleNormal="85" workbookViewId="0">
      <selection activeCell="I5" sqref="I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45885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250064</v>
      </c>
      <c r="B5" s="2">
        <v>430</v>
      </c>
      <c r="C5" s="3">
        <v>0.5</v>
      </c>
      <c r="D5" s="3" t="s">
        <v>42</v>
      </c>
      <c r="E5" s="4" t="s">
        <v>57</v>
      </c>
      <c r="F5" s="2" t="s">
        <v>27</v>
      </c>
      <c r="G5" s="2">
        <v>430</v>
      </c>
      <c r="H5" s="5">
        <v>1250</v>
      </c>
      <c r="I5" s="6">
        <v>1000</v>
      </c>
      <c r="J5" s="5">
        <f t="shared" ref="J5:J9" si="0">H5-I5</f>
        <v>250</v>
      </c>
    </row>
    <row r="6" spans="1:10" ht="19.95" customHeight="1" x14ac:dyDescent="0.3">
      <c r="A6" s="2">
        <v>250063</v>
      </c>
      <c r="B6" s="2">
        <v>430</v>
      </c>
      <c r="C6" s="3">
        <v>0.5</v>
      </c>
      <c r="D6" s="3" t="s">
        <v>42</v>
      </c>
      <c r="E6" s="4" t="s">
        <v>58</v>
      </c>
      <c r="F6" s="2" t="s">
        <v>27</v>
      </c>
      <c r="G6" s="5">
        <v>430</v>
      </c>
      <c r="H6" s="5">
        <v>1250</v>
      </c>
      <c r="I6" s="6"/>
      <c r="J6" s="5">
        <f t="shared" si="0"/>
        <v>1250</v>
      </c>
    </row>
    <row r="7" spans="1:10" ht="19.95" customHeight="1" x14ac:dyDescent="0.3">
      <c r="A7" s="2">
        <v>250064</v>
      </c>
      <c r="B7" s="2">
        <v>430</v>
      </c>
      <c r="C7" s="3">
        <v>0.5</v>
      </c>
      <c r="D7" s="3" t="s">
        <v>42</v>
      </c>
      <c r="E7" s="4" t="s">
        <v>59</v>
      </c>
      <c r="F7" s="2" t="s">
        <v>27</v>
      </c>
      <c r="G7" s="5">
        <v>430</v>
      </c>
      <c r="H7" s="5">
        <v>1250</v>
      </c>
      <c r="I7" s="6"/>
      <c r="J7" s="5">
        <f t="shared" si="0"/>
        <v>1250</v>
      </c>
    </row>
    <row r="8" spans="1:10" ht="19.95" customHeight="1" x14ac:dyDescent="0.3">
      <c r="A8" s="2">
        <v>250063</v>
      </c>
      <c r="B8" s="2">
        <v>430</v>
      </c>
      <c r="C8" s="3">
        <v>0.5</v>
      </c>
      <c r="D8" s="3" t="s">
        <v>42</v>
      </c>
      <c r="E8" s="4" t="s">
        <v>60</v>
      </c>
      <c r="F8" s="2" t="s">
        <v>27</v>
      </c>
      <c r="G8" s="5">
        <v>430</v>
      </c>
      <c r="H8" s="5">
        <v>1000</v>
      </c>
      <c r="I8" s="6"/>
      <c r="J8" s="5">
        <f t="shared" si="0"/>
        <v>1000</v>
      </c>
    </row>
    <row r="9" spans="1:10" ht="19.95" customHeight="1" x14ac:dyDescent="0.3">
      <c r="A9" s="2">
        <v>250064</v>
      </c>
      <c r="B9" s="2">
        <v>430</v>
      </c>
      <c r="C9" s="3">
        <v>0.5</v>
      </c>
      <c r="D9" s="3" t="s">
        <v>42</v>
      </c>
      <c r="E9" s="4" t="s">
        <v>61</v>
      </c>
      <c r="F9" s="2" t="s">
        <v>27</v>
      </c>
      <c r="G9" s="5">
        <v>430</v>
      </c>
      <c r="H9" s="5">
        <v>1000</v>
      </c>
      <c r="I9" s="6"/>
      <c r="J9" s="5">
        <f t="shared" si="0"/>
        <v>1000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5">
        <f t="shared" ref="J10" si="1">H10-I10</f>
        <v>0</v>
      </c>
    </row>
    <row r="11" spans="1:10" ht="19.95" customHeight="1" x14ac:dyDescent="0.3">
      <c r="A11" s="14"/>
      <c r="B11" s="14"/>
      <c r="C11" s="14"/>
      <c r="D11" s="14"/>
      <c r="E11" s="15"/>
      <c r="F11" s="14"/>
      <c r="G11" s="16"/>
      <c r="H11" s="17">
        <f>SUM(H5:H10)</f>
        <v>5750</v>
      </c>
      <c r="I11" s="19">
        <f>SUM(I5:I10)</f>
        <v>1000</v>
      </c>
      <c r="J11" s="5">
        <f>SUM(J5:J10)</f>
        <v>4750</v>
      </c>
    </row>
    <row r="13" spans="1:10" ht="30" customHeight="1" x14ac:dyDescent="0.3">
      <c r="A13" s="172" t="s">
        <v>24</v>
      </c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ht="30" customHeight="1" x14ac:dyDescent="0.3">
      <c r="A14" s="2" t="s">
        <v>65</v>
      </c>
      <c r="B14" s="2" t="s">
        <v>66</v>
      </c>
      <c r="C14" s="18" t="s">
        <v>67</v>
      </c>
      <c r="D14" s="18" t="s">
        <v>68</v>
      </c>
      <c r="E14" s="2" t="s">
        <v>69</v>
      </c>
      <c r="F14" s="18" t="s">
        <v>70</v>
      </c>
      <c r="G14" s="18" t="s">
        <v>71</v>
      </c>
      <c r="H14" s="2" t="s">
        <v>72</v>
      </c>
      <c r="I14" s="2" t="s">
        <v>73</v>
      </c>
      <c r="J14" s="2" t="s">
        <v>74</v>
      </c>
    </row>
    <row r="15" spans="1:10" ht="19.95" customHeight="1" x14ac:dyDescent="0.3">
      <c r="A15" s="2">
        <v>250062</v>
      </c>
      <c r="B15" s="2">
        <v>304</v>
      </c>
      <c r="C15" s="3">
        <v>0.6</v>
      </c>
      <c r="D15" s="3" t="s">
        <v>12</v>
      </c>
      <c r="E15" s="4" t="s">
        <v>63</v>
      </c>
      <c r="F15" s="2" t="s">
        <v>28</v>
      </c>
      <c r="G15" s="2">
        <v>430</v>
      </c>
      <c r="H15" s="5">
        <v>150</v>
      </c>
      <c r="I15" s="6"/>
      <c r="J15" s="5">
        <f t="shared" ref="J15:J20" si="2">H15-I15</f>
        <v>150</v>
      </c>
    </row>
    <row r="16" spans="1:10" ht="19.95" customHeight="1" x14ac:dyDescent="0.3">
      <c r="A16" s="2"/>
      <c r="B16" s="2"/>
      <c r="C16" s="3"/>
      <c r="D16" s="3"/>
      <c r="E16" s="4"/>
      <c r="F16" s="2"/>
      <c r="G16" s="2"/>
      <c r="H16" s="5"/>
      <c r="I16" s="6"/>
      <c r="J16" s="5">
        <f t="shared" si="2"/>
        <v>0</v>
      </c>
    </row>
    <row r="17" spans="1:10" ht="19.95" customHeight="1" x14ac:dyDescent="0.3">
      <c r="A17" s="2"/>
      <c r="B17" s="2"/>
      <c r="C17" s="3"/>
      <c r="D17" s="3"/>
      <c r="E17" s="4"/>
      <c r="F17" s="2"/>
      <c r="G17" s="2"/>
      <c r="H17" s="5"/>
      <c r="I17" s="6"/>
      <c r="J17" s="5">
        <f t="shared" si="2"/>
        <v>0</v>
      </c>
    </row>
    <row r="18" spans="1:10" ht="19.95" customHeight="1" x14ac:dyDescent="0.3">
      <c r="A18" s="2"/>
      <c r="B18" s="2"/>
      <c r="C18" s="3"/>
      <c r="D18" s="3"/>
      <c r="E18" s="4"/>
      <c r="F18" s="2"/>
      <c r="G18" s="5"/>
      <c r="H18" s="5"/>
      <c r="I18" s="6"/>
      <c r="J18" s="5">
        <f t="shared" si="2"/>
        <v>0</v>
      </c>
    </row>
    <row r="19" spans="1:10" ht="19.95" customHeight="1" x14ac:dyDescent="0.3">
      <c r="A19" s="2"/>
      <c r="B19" s="2"/>
      <c r="C19" s="3"/>
      <c r="D19" s="3"/>
      <c r="E19" s="4"/>
      <c r="F19" s="2"/>
      <c r="G19" s="2"/>
      <c r="H19" s="5"/>
      <c r="I19" s="6"/>
      <c r="J19" s="5">
        <f t="shared" si="2"/>
        <v>0</v>
      </c>
    </row>
    <row r="20" spans="1:10" ht="19.95" customHeight="1" x14ac:dyDescent="0.3">
      <c r="A20" s="2"/>
      <c r="B20" s="2"/>
      <c r="C20" s="3"/>
      <c r="D20" s="3"/>
      <c r="E20" s="4"/>
      <c r="F20" s="2"/>
      <c r="G20" s="2"/>
      <c r="H20" s="5"/>
      <c r="I20" s="6"/>
      <c r="J20" s="5">
        <f t="shared" si="2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5">
        <f>SUM(H15:H20)</f>
        <v>150</v>
      </c>
      <c r="I21" s="6">
        <f>SUM(I15:I20)</f>
        <v>0</v>
      </c>
      <c r="J21" s="5">
        <f>SUM(J15:J20)</f>
        <v>150</v>
      </c>
    </row>
    <row r="23" spans="1:10" ht="23.4" x14ac:dyDescent="0.3">
      <c r="A23" s="180" t="s">
        <v>62</v>
      </c>
      <c r="B23" s="180"/>
      <c r="C23" s="180"/>
      <c r="D23" s="180"/>
      <c r="E23" s="180"/>
      <c r="F23" s="180"/>
      <c r="G23" s="180"/>
      <c r="H23" s="180"/>
      <c r="I23" s="180"/>
      <c r="J23" s="180"/>
    </row>
  </sheetData>
  <mergeCells count="5">
    <mergeCell ref="I1:J1"/>
    <mergeCell ref="A2:J2"/>
    <mergeCell ref="A3:J3"/>
    <mergeCell ref="A13:J13"/>
    <mergeCell ref="A23:J2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J26"/>
  <sheetViews>
    <sheetView zoomScale="85" zoomScaleNormal="85" workbookViewId="0">
      <selection activeCell="M9" sqref="M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45915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250063</v>
      </c>
      <c r="B5" s="2">
        <v>430</v>
      </c>
      <c r="C5" s="3">
        <v>0.5</v>
      </c>
      <c r="D5" s="3" t="s">
        <v>42</v>
      </c>
      <c r="E5" s="4" t="s">
        <v>58</v>
      </c>
      <c r="F5" s="2" t="s">
        <v>27</v>
      </c>
      <c r="G5" s="5">
        <v>430</v>
      </c>
      <c r="H5" s="5">
        <v>1250</v>
      </c>
      <c r="I5" s="6">
        <v>1270</v>
      </c>
      <c r="J5" s="5">
        <f t="shared" ref="J5:J13" si="0">H5-I5</f>
        <v>-20</v>
      </c>
    </row>
    <row r="6" spans="1:10" ht="19.95" customHeight="1" x14ac:dyDescent="0.3">
      <c r="A6" s="2">
        <v>250064</v>
      </c>
      <c r="B6" s="2">
        <v>430</v>
      </c>
      <c r="C6" s="3">
        <v>0.5</v>
      </c>
      <c r="D6" s="3" t="s">
        <v>42</v>
      </c>
      <c r="E6" s="4" t="s">
        <v>59</v>
      </c>
      <c r="F6" s="2" t="s">
        <v>27</v>
      </c>
      <c r="G6" s="5">
        <v>430</v>
      </c>
      <c r="H6" s="5">
        <v>1250</v>
      </c>
      <c r="I6" s="6">
        <v>1652</v>
      </c>
      <c r="J6" s="5">
        <f t="shared" si="0"/>
        <v>-402</v>
      </c>
    </row>
    <row r="7" spans="1:10" ht="19.95" customHeight="1" x14ac:dyDescent="0.3">
      <c r="A7" s="2">
        <v>250062</v>
      </c>
      <c r="B7" s="2">
        <v>304</v>
      </c>
      <c r="C7" s="3">
        <v>0.6</v>
      </c>
      <c r="D7" s="3" t="s">
        <v>12</v>
      </c>
      <c r="E7" s="4" t="s">
        <v>76</v>
      </c>
      <c r="F7" s="2" t="s">
        <v>28</v>
      </c>
      <c r="G7" s="2">
        <v>430</v>
      </c>
      <c r="H7" s="5">
        <v>300</v>
      </c>
      <c r="I7" s="6">
        <v>300</v>
      </c>
      <c r="J7" s="5">
        <f t="shared" si="0"/>
        <v>0</v>
      </c>
    </row>
    <row r="8" spans="1:10" ht="19.95" customHeight="1" x14ac:dyDescent="0.3">
      <c r="A8" s="2">
        <v>250063</v>
      </c>
      <c r="B8" s="2">
        <v>430</v>
      </c>
      <c r="C8" s="3">
        <v>0.5</v>
      </c>
      <c r="D8" s="3" t="s">
        <v>42</v>
      </c>
      <c r="E8" s="4" t="s">
        <v>60</v>
      </c>
      <c r="F8" s="2" t="s">
        <v>27</v>
      </c>
      <c r="G8" s="5">
        <v>430</v>
      </c>
      <c r="H8" s="5">
        <v>1000</v>
      </c>
      <c r="I8" s="6"/>
      <c r="J8" s="5">
        <f t="shared" si="0"/>
        <v>1000</v>
      </c>
    </row>
    <row r="9" spans="1:10" ht="19.95" customHeight="1" x14ac:dyDescent="0.3">
      <c r="A9" s="2">
        <v>250064</v>
      </c>
      <c r="B9" s="2">
        <v>430</v>
      </c>
      <c r="C9" s="3">
        <v>0.5</v>
      </c>
      <c r="D9" s="3" t="s">
        <v>42</v>
      </c>
      <c r="E9" s="4" t="s">
        <v>61</v>
      </c>
      <c r="F9" s="2" t="s">
        <v>27</v>
      </c>
      <c r="G9" s="5">
        <v>430</v>
      </c>
      <c r="H9" s="5">
        <v>1000</v>
      </c>
      <c r="I9" s="6"/>
      <c r="J9" s="5">
        <f t="shared" si="0"/>
        <v>1000</v>
      </c>
    </row>
    <row r="10" spans="1:10" ht="19.95" customHeight="1" x14ac:dyDescent="0.3">
      <c r="A10" s="2">
        <v>250062</v>
      </c>
      <c r="B10" s="2">
        <v>304</v>
      </c>
      <c r="C10" s="3">
        <v>0.6</v>
      </c>
      <c r="D10" s="3" t="s">
        <v>12</v>
      </c>
      <c r="E10" s="4" t="s">
        <v>77</v>
      </c>
      <c r="F10" s="2" t="s">
        <v>28</v>
      </c>
      <c r="G10" s="2">
        <v>430</v>
      </c>
      <c r="H10" s="5">
        <v>300</v>
      </c>
      <c r="I10" s="6"/>
      <c r="J10" s="5">
        <f t="shared" ref="J10:J12" si="1">H10-I10</f>
        <v>300</v>
      </c>
    </row>
    <row r="11" spans="1:10" ht="19.95" customHeight="1" x14ac:dyDescent="0.3">
      <c r="A11" s="23">
        <v>225065</v>
      </c>
      <c r="B11" s="23">
        <v>430</v>
      </c>
      <c r="C11" s="24">
        <v>0.5</v>
      </c>
      <c r="D11" s="24" t="s">
        <v>12</v>
      </c>
      <c r="E11" s="25" t="s">
        <v>82</v>
      </c>
      <c r="F11" s="23" t="s">
        <v>27</v>
      </c>
      <c r="G11" s="23">
        <v>430</v>
      </c>
      <c r="H11" s="26">
        <v>1500</v>
      </c>
      <c r="I11" s="6"/>
      <c r="J11" s="5">
        <f t="shared" si="1"/>
        <v>1500</v>
      </c>
    </row>
    <row r="12" spans="1:10" ht="19.95" customHeight="1" x14ac:dyDescent="0.3">
      <c r="A12" s="23">
        <v>225066</v>
      </c>
      <c r="B12" s="23">
        <v>430</v>
      </c>
      <c r="C12" s="24">
        <v>0.5</v>
      </c>
      <c r="D12" s="24" t="s">
        <v>12</v>
      </c>
      <c r="E12" s="25" t="s">
        <v>83</v>
      </c>
      <c r="F12" s="23" t="s">
        <v>27</v>
      </c>
      <c r="G12" s="23">
        <v>430</v>
      </c>
      <c r="H12" s="26">
        <v>1500</v>
      </c>
      <c r="I12" s="6"/>
      <c r="J12" s="5">
        <f t="shared" si="1"/>
        <v>1500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8100</v>
      </c>
      <c r="I14" s="19">
        <f>SUM(I5:I13)</f>
        <v>3222</v>
      </c>
      <c r="J14" s="5">
        <f>SUM(J5:J13)</f>
        <v>4878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2" t="s">
        <v>65</v>
      </c>
      <c r="B17" s="2" t="s">
        <v>66</v>
      </c>
      <c r="C17" s="18" t="s">
        <v>67</v>
      </c>
      <c r="D17" s="18" t="s">
        <v>68</v>
      </c>
      <c r="E17" s="2" t="s">
        <v>69</v>
      </c>
      <c r="F17" s="18" t="s">
        <v>70</v>
      </c>
      <c r="G17" s="18" t="s">
        <v>71</v>
      </c>
      <c r="H17" s="2" t="s">
        <v>72</v>
      </c>
      <c r="I17" s="2" t="s">
        <v>73</v>
      </c>
      <c r="J17" s="2" t="s">
        <v>74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78</v>
      </c>
      <c r="F18" s="2" t="s">
        <v>28</v>
      </c>
      <c r="G18" s="2">
        <v>430</v>
      </c>
      <c r="H18" s="5">
        <v>150</v>
      </c>
      <c r="I18" s="6"/>
      <c r="J18" s="5">
        <f t="shared" ref="J18:J21" si="2">H18-I18</f>
        <v>150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79</v>
      </c>
      <c r="F19" s="2" t="s">
        <v>28</v>
      </c>
      <c r="G19" s="2">
        <v>430</v>
      </c>
      <c r="H19" s="5">
        <v>200</v>
      </c>
      <c r="I19" s="6"/>
      <c r="J19" s="5">
        <f t="shared" si="2"/>
        <v>200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80</v>
      </c>
      <c r="F20" s="2" t="s">
        <v>28</v>
      </c>
      <c r="G20" s="2">
        <v>430</v>
      </c>
      <c r="H20" s="5">
        <v>300</v>
      </c>
      <c r="I20" s="6"/>
      <c r="J20" s="5">
        <f t="shared" si="2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81</v>
      </c>
      <c r="F21" s="2" t="s">
        <v>28</v>
      </c>
      <c r="G21" s="2">
        <v>430</v>
      </c>
      <c r="H21" s="5">
        <v>300</v>
      </c>
      <c r="I21" s="6"/>
      <c r="J21" s="5">
        <f t="shared" si="2"/>
        <v>300</v>
      </c>
    </row>
    <row r="22" spans="1:10" ht="19.95" customHeight="1" x14ac:dyDescent="0.3">
      <c r="A22" s="2"/>
      <c r="B22" s="2"/>
      <c r="C22" s="3"/>
      <c r="D22" s="3"/>
      <c r="E22" s="4"/>
      <c r="F22" s="4"/>
      <c r="G22" s="2"/>
      <c r="H22" s="5"/>
      <c r="I22" s="6"/>
      <c r="J22" s="5"/>
    </row>
    <row r="23" spans="1:10" ht="19.95" customHeight="1" x14ac:dyDescent="0.3">
      <c r="A23" s="2"/>
      <c r="B23" s="2"/>
      <c r="C23" s="3"/>
      <c r="D23" s="3"/>
      <c r="E23" s="4"/>
      <c r="F23" s="4"/>
      <c r="G23" s="2"/>
      <c r="H23" s="5"/>
      <c r="I23" s="6"/>
      <c r="J23" s="5"/>
    </row>
    <row r="24" spans="1:10" ht="19.95" customHeight="1" x14ac:dyDescent="0.3">
      <c r="A24" s="14"/>
      <c r="B24" s="14"/>
      <c r="C24" s="14"/>
      <c r="D24" s="14"/>
      <c r="E24" s="15"/>
      <c r="F24" s="14"/>
      <c r="G24" s="16"/>
      <c r="H24" s="5">
        <f>SUM(H18:H23)</f>
        <v>950</v>
      </c>
      <c r="I24" s="6">
        <f>SUM(I18:I23)</f>
        <v>0</v>
      </c>
      <c r="J24" s="5">
        <f>SUM(J18:J23)</f>
        <v>950</v>
      </c>
    </row>
    <row r="26" spans="1:10" ht="23.4" x14ac:dyDescent="0.3">
      <c r="A26" s="180" t="s">
        <v>62</v>
      </c>
      <c r="B26" s="180"/>
      <c r="C26" s="180"/>
      <c r="D26" s="180"/>
      <c r="E26" s="180"/>
      <c r="F26" s="180"/>
      <c r="G26" s="180"/>
      <c r="H26" s="180"/>
      <c r="I26" s="180"/>
      <c r="J26" s="180"/>
    </row>
  </sheetData>
  <mergeCells count="5">
    <mergeCell ref="I1:J1"/>
    <mergeCell ref="A2:J2"/>
    <mergeCell ref="A3:J3"/>
    <mergeCell ref="A16:J16"/>
    <mergeCell ref="A26:J26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J23"/>
  <sheetViews>
    <sheetView zoomScale="85" zoomScaleNormal="85" workbookViewId="0">
      <selection activeCell="A2" sqref="A2:J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45916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250063</v>
      </c>
      <c r="B5" s="2">
        <v>430</v>
      </c>
      <c r="C5" s="3">
        <v>0.5</v>
      </c>
      <c r="D5" s="3" t="s">
        <v>42</v>
      </c>
      <c r="E5" s="4" t="s">
        <v>60</v>
      </c>
      <c r="F5" s="2" t="s">
        <v>27</v>
      </c>
      <c r="G5" s="5">
        <v>430</v>
      </c>
      <c r="H5" s="5">
        <v>1000</v>
      </c>
      <c r="I5" s="6">
        <f>530+470</f>
        <v>1000</v>
      </c>
      <c r="J5" s="5">
        <f t="shared" ref="J5:J10" si="0">H5-I5</f>
        <v>0</v>
      </c>
    </row>
    <row r="6" spans="1:10" ht="19.95" customHeight="1" x14ac:dyDescent="0.3">
      <c r="A6" s="2">
        <v>250064</v>
      </c>
      <c r="B6" s="2">
        <v>430</v>
      </c>
      <c r="C6" s="3">
        <v>0.5</v>
      </c>
      <c r="D6" s="3" t="s">
        <v>42</v>
      </c>
      <c r="E6" s="4" t="s">
        <v>61</v>
      </c>
      <c r="F6" s="2" t="s">
        <v>27</v>
      </c>
      <c r="G6" s="5">
        <v>430</v>
      </c>
      <c r="H6" s="5">
        <v>1000</v>
      </c>
      <c r="I6" s="6">
        <v>1000</v>
      </c>
      <c r="J6" s="5">
        <f t="shared" si="0"/>
        <v>0</v>
      </c>
    </row>
    <row r="7" spans="1:10" ht="19.95" customHeight="1" x14ac:dyDescent="0.3">
      <c r="A7" s="2">
        <v>250062</v>
      </c>
      <c r="B7" s="2">
        <v>304</v>
      </c>
      <c r="C7" s="3">
        <v>0.6</v>
      </c>
      <c r="D7" s="3" t="s">
        <v>12</v>
      </c>
      <c r="E7" s="4" t="s">
        <v>77</v>
      </c>
      <c r="F7" s="2" t="s">
        <v>28</v>
      </c>
      <c r="G7" s="2">
        <v>430</v>
      </c>
      <c r="H7" s="5">
        <v>300</v>
      </c>
      <c r="I7" s="6">
        <v>300</v>
      </c>
      <c r="J7" s="5">
        <f t="shared" si="0"/>
        <v>0</v>
      </c>
    </row>
    <row r="8" spans="1:10" ht="19.95" customHeight="1" x14ac:dyDescent="0.3">
      <c r="A8" s="23">
        <v>225065</v>
      </c>
      <c r="B8" s="23">
        <v>430</v>
      </c>
      <c r="C8" s="24">
        <v>0.5</v>
      </c>
      <c r="D8" s="24" t="s">
        <v>12</v>
      </c>
      <c r="E8" s="25" t="s">
        <v>82</v>
      </c>
      <c r="F8" s="23" t="s">
        <v>27</v>
      </c>
      <c r="G8" s="23">
        <v>430</v>
      </c>
      <c r="H8" s="26">
        <v>1500</v>
      </c>
      <c r="I8" s="6"/>
      <c r="J8" s="5">
        <f t="shared" si="0"/>
        <v>1500</v>
      </c>
    </row>
    <row r="9" spans="1:10" ht="19.95" customHeight="1" x14ac:dyDescent="0.3">
      <c r="A9" s="23">
        <v>225066</v>
      </c>
      <c r="B9" s="23">
        <v>430</v>
      </c>
      <c r="C9" s="24">
        <v>0.5</v>
      </c>
      <c r="D9" s="24" t="s">
        <v>12</v>
      </c>
      <c r="E9" s="25" t="s">
        <v>83</v>
      </c>
      <c r="F9" s="23" t="s">
        <v>27</v>
      </c>
      <c r="G9" s="23">
        <v>430</v>
      </c>
      <c r="H9" s="26">
        <v>1500</v>
      </c>
      <c r="I9" s="6"/>
      <c r="J9" s="5">
        <f t="shared" si="0"/>
        <v>1500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5">
        <f t="shared" si="0"/>
        <v>0</v>
      </c>
    </row>
    <row r="11" spans="1:10" ht="19.95" customHeight="1" x14ac:dyDescent="0.3">
      <c r="A11" s="14"/>
      <c r="B11" s="14"/>
      <c r="C11" s="14"/>
      <c r="D11" s="14"/>
      <c r="E11" s="15"/>
      <c r="F11" s="14"/>
      <c r="G11" s="16"/>
      <c r="H11" s="17">
        <f>SUM(H5:H10)</f>
        <v>5300</v>
      </c>
      <c r="I11" s="19">
        <f>SUM(I5:I10)</f>
        <v>2300</v>
      </c>
      <c r="J11" s="5">
        <f>SUM(J5:J10)</f>
        <v>3000</v>
      </c>
    </row>
    <row r="13" spans="1:10" ht="30" customHeight="1" x14ac:dyDescent="0.3">
      <c r="A13" s="172" t="s">
        <v>24</v>
      </c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ht="30" customHeight="1" x14ac:dyDescent="0.3">
      <c r="A14" s="2" t="s">
        <v>65</v>
      </c>
      <c r="B14" s="2" t="s">
        <v>66</v>
      </c>
      <c r="C14" s="18" t="s">
        <v>67</v>
      </c>
      <c r="D14" s="18" t="s">
        <v>68</v>
      </c>
      <c r="E14" s="2" t="s">
        <v>69</v>
      </c>
      <c r="F14" s="18" t="s">
        <v>70</v>
      </c>
      <c r="G14" s="18" t="s">
        <v>71</v>
      </c>
      <c r="H14" s="2" t="s">
        <v>72</v>
      </c>
      <c r="I14" s="2" t="s">
        <v>73</v>
      </c>
      <c r="J14" s="2" t="s">
        <v>74</v>
      </c>
    </row>
    <row r="15" spans="1:10" ht="19.95" customHeight="1" x14ac:dyDescent="0.3">
      <c r="A15" s="2">
        <v>250062</v>
      </c>
      <c r="B15" s="2">
        <v>304</v>
      </c>
      <c r="C15" s="3">
        <v>0.6</v>
      </c>
      <c r="D15" s="3" t="s">
        <v>12</v>
      </c>
      <c r="E15" s="4" t="s">
        <v>78</v>
      </c>
      <c r="F15" s="2" t="s">
        <v>28</v>
      </c>
      <c r="G15" s="2">
        <v>430</v>
      </c>
      <c r="H15" s="5">
        <v>150</v>
      </c>
      <c r="I15" s="6"/>
      <c r="J15" s="5">
        <f t="shared" ref="J15:J18" si="1">H15-I15</f>
        <v>150</v>
      </c>
    </row>
    <row r="16" spans="1:10" ht="19.95" customHeight="1" x14ac:dyDescent="0.3">
      <c r="A16" s="2">
        <v>250062</v>
      </c>
      <c r="B16" s="2">
        <v>304</v>
      </c>
      <c r="C16" s="3">
        <v>0.6</v>
      </c>
      <c r="D16" s="3" t="s">
        <v>12</v>
      </c>
      <c r="E16" s="4" t="s">
        <v>79</v>
      </c>
      <c r="F16" s="2" t="s">
        <v>28</v>
      </c>
      <c r="G16" s="2">
        <v>430</v>
      </c>
      <c r="H16" s="5">
        <v>200</v>
      </c>
      <c r="I16" s="6"/>
      <c r="J16" s="5">
        <f t="shared" si="1"/>
        <v>200</v>
      </c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80</v>
      </c>
      <c r="F17" s="2" t="s">
        <v>28</v>
      </c>
      <c r="G17" s="2">
        <v>430</v>
      </c>
      <c r="H17" s="5">
        <v>300</v>
      </c>
      <c r="I17" s="6"/>
      <c r="J17" s="5">
        <f t="shared" si="1"/>
        <v>300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81</v>
      </c>
      <c r="F18" s="2" t="s">
        <v>28</v>
      </c>
      <c r="G18" s="2">
        <v>430</v>
      </c>
      <c r="H18" s="5">
        <v>300</v>
      </c>
      <c r="I18" s="6"/>
      <c r="J18" s="5">
        <f t="shared" si="1"/>
        <v>300</v>
      </c>
    </row>
    <row r="19" spans="1:10" ht="19.95" customHeight="1" x14ac:dyDescent="0.3">
      <c r="A19" s="2"/>
      <c r="B19" s="2"/>
      <c r="C19" s="3"/>
      <c r="D19" s="3"/>
      <c r="E19" s="4"/>
      <c r="F19" s="4"/>
      <c r="G19" s="2"/>
      <c r="H19" s="5"/>
      <c r="I19" s="6"/>
      <c r="J19" s="5"/>
    </row>
    <row r="20" spans="1:10" ht="19.95" customHeight="1" x14ac:dyDescent="0.3">
      <c r="A20" s="2"/>
      <c r="B20" s="2"/>
      <c r="C20" s="3"/>
      <c r="D20" s="3"/>
      <c r="E20" s="4"/>
      <c r="F20" s="4"/>
      <c r="G20" s="2"/>
      <c r="H20" s="5"/>
      <c r="I20" s="6"/>
      <c r="J20" s="5"/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5">
        <f>SUM(H15:H20)</f>
        <v>950</v>
      </c>
      <c r="I21" s="6">
        <f>SUM(I15:I20)</f>
        <v>0</v>
      </c>
      <c r="J21" s="5">
        <f>SUM(J15:J20)</f>
        <v>950</v>
      </c>
    </row>
    <row r="23" spans="1:10" ht="23.4" x14ac:dyDescent="0.3">
      <c r="A23" s="180" t="s">
        <v>62</v>
      </c>
      <c r="B23" s="180"/>
      <c r="C23" s="180"/>
      <c r="D23" s="180"/>
      <c r="E23" s="180"/>
      <c r="F23" s="180"/>
      <c r="G23" s="180"/>
      <c r="H23" s="180"/>
      <c r="I23" s="180"/>
      <c r="J23" s="180"/>
    </row>
  </sheetData>
  <mergeCells count="5">
    <mergeCell ref="I1:J1"/>
    <mergeCell ref="A2:J2"/>
    <mergeCell ref="A3:J3"/>
    <mergeCell ref="A13:J13"/>
    <mergeCell ref="A23:J2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J26"/>
  <sheetViews>
    <sheetView topLeftCell="A4" zoomScale="85" zoomScaleNormal="85" workbookViewId="0">
      <selection activeCell="A12" sqref="A12:XFD2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45917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3">
        <v>225065</v>
      </c>
      <c r="B5" s="23">
        <v>430</v>
      </c>
      <c r="C5" s="24">
        <v>0.5</v>
      </c>
      <c r="D5" s="24" t="s">
        <v>12</v>
      </c>
      <c r="E5" s="25" t="s">
        <v>82</v>
      </c>
      <c r="F5" s="23" t="s">
        <v>27</v>
      </c>
      <c r="G5" s="23">
        <v>430</v>
      </c>
      <c r="H5" s="26">
        <v>1500</v>
      </c>
      <c r="I5" s="6">
        <v>1500</v>
      </c>
      <c r="J5" s="5">
        <f t="shared" ref="J5:J7" si="0">H5-I5</f>
        <v>0</v>
      </c>
    </row>
    <row r="6" spans="1:10" ht="19.95" customHeight="1" x14ac:dyDescent="0.3">
      <c r="A6" s="23">
        <v>225066</v>
      </c>
      <c r="B6" s="23">
        <v>430</v>
      </c>
      <c r="C6" s="24">
        <v>0.5</v>
      </c>
      <c r="D6" s="24" t="s">
        <v>12</v>
      </c>
      <c r="E6" s="25" t="s">
        <v>83</v>
      </c>
      <c r="F6" s="23" t="s">
        <v>27</v>
      </c>
      <c r="G6" s="23">
        <v>430</v>
      </c>
      <c r="H6" s="26">
        <v>1500</v>
      </c>
      <c r="I6" s="6">
        <v>1500</v>
      </c>
      <c r="J6" s="5">
        <f t="shared" si="0"/>
        <v>0</v>
      </c>
    </row>
    <row r="7" spans="1:10" ht="19.95" customHeight="1" x14ac:dyDescent="0.3">
      <c r="A7" s="2"/>
      <c r="B7" s="2"/>
      <c r="C7" s="3"/>
      <c r="D7" s="3"/>
      <c r="E7" s="4"/>
      <c r="F7" s="2"/>
      <c r="G7" s="2"/>
      <c r="H7" s="5"/>
      <c r="I7" s="6"/>
      <c r="J7" s="5">
        <f t="shared" si="0"/>
        <v>0</v>
      </c>
    </row>
    <row r="8" spans="1:10" ht="19.95" customHeight="1" x14ac:dyDescent="0.3">
      <c r="A8" s="14"/>
      <c r="B8" s="14"/>
      <c r="C8" s="14"/>
      <c r="D8" s="14"/>
      <c r="E8" s="15"/>
      <c r="F8" s="14"/>
      <c r="G8" s="16"/>
      <c r="H8" s="17">
        <f>SUM(H5:H7)</f>
        <v>3000</v>
      </c>
      <c r="I8" s="19">
        <f>SUM(I5:I7)</f>
        <v>3000</v>
      </c>
      <c r="J8" s="5">
        <f>SUM(J5:J7)</f>
        <v>0</v>
      </c>
    </row>
    <row r="10" spans="1:10" ht="30" customHeight="1" x14ac:dyDescent="0.3">
      <c r="A10" s="172" t="s">
        <v>24</v>
      </c>
      <c r="B10" s="172"/>
      <c r="C10" s="172"/>
      <c r="D10" s="172"/>
      <c r="E10" s="172"/>
      <c r="F10" s="172"/>
      <c r="G10" s="172"/>
      <c r="H10" s="172"/>
      <c r="I10" s="172"/>
      <c r="J10" s="172"/>
    </row>
    <row r="11" spans="1:10" ht="30" customHeight="1" x14ac:dyDescent="0.3">
      <c r="A11" s="2" t="s">
        <v>65</v>
      </c>
      <c r="B11" s="2" t="s">
        <v>66</v>
      </c>
      <c r="C11" s="18" t="s">
        <v>67</v>
      </c>
      <c r="D11" s="18" t="s">
        <v>68</v>
      </c>
      <c r="E11" s="2" t="s">
        <v>69</v>
      </c>
      <c r="F11" s="18" t="s">
        <v>70</v>
      </c>
      <c r="G11" s="18" t="s">
        <v>71</v>
      </c>
      <c r="H11" s="2" t="s">
        <v>72</v>
      </c>
      <c r="I11" s="2" t="s">
        <v>73</v>
      </c>
      <c r="J11" s="2" t="s">
        <v>74</v>
      </c>
    </row>
    <row r="12" spans="1:10" ht="19.95" customHeight="1" x14ac:dyDescent="0.3">
      <c r="A12" s="2">
        <v>250062</v>
      </c>
      <c r="B12" s="2">
        <v>304</v>
      </c>
      <c r="C12" s="3">
        <v>0.6</v>
      </c>
      <c r="D12" s="3" t="s">
        <v>12</v>
      </c>
      <c r="E12" s="4" t="s">
        <v>63</v>
      </c>
      <c r="F12" s="4"/>
      <c r="G12" s="2">
        <v>430</v>
      </c>
      <c r="H12" s="5">
        <v>150</v>
      </c>
      <c r="I12" s="6"/>
      <c r="J12" s="5">
        <f t="shared" ref="J12:J15" si="1">H12-I12</f>
        <v>150</v>
      </c>
    </row>
    <row r="13" spans="1:10" ht="19.95" customHeight="1" x14ac:dyDescent="0.3">
      <c r="A13" s="2">
        <v>250062</v>
      </c>
      <c r="B13" s="2">
        <v>304</v>
      </c>
      <c r="C13" s="3">
        <v>0.6</v>
      </c>
      <c r="D13" s="3" t="s">
        <v>12</v>
      </c>
      <c r="E13" s="4" t="s">
        <v>87</v>
      </c>
      <c r="F13" s="4"/>
      <c r="G13" s="2">
        <v>430</v>
      </c>
      <c r="H13" s="5">
        <v>200</v>
      </c>
      <c r="I13" s="6"/>
      <c r="J13" s="5">
        <f t="shared" si="1"/>
        <v>200</v>
      </c>
    </row>
    <row r="14" spans="1:10" ht="19.95" customHeight="1" x14ac:dyDescent="0.3">
      <c r="A14" s="2">
        <v>250062</v>
      </c>
      <c r="B14" s="2">
        <v>304</v>
      </c>
      <c r="C14" s="3">
        <v>0.6</v>
      </c>
      <c r="D14" s="3" t="s">
        <v>12</v>
      </c>
      <c r="E14" s="4" t="s">
        <v>88</v>
      </c>
      <c r="F14" s="4"/>
      <c r="G14" s="2">
        <v>430</v>
      </c>
      <c r="H14" s="5">
        <v>300</v>
      </c>
      <c r="I14" s="6"/>
      <c r="J14" s="5">
        <f t="shared" si="1"/>
        <v>300</v>
      </c>
    </row>
    <row r="15" spans="1:10" ht="19.95" customHeight="1" x14ac:dyDescent="0.3">
      <c r="A15" s="2">
        <v>250062</v>
      </c>
      <c r="B15" s="2">
        <v>304</v>
      </c>
      <c r="C15" s="3">
        <v>0.6</v>
      </c>
      <c r="D15" s="3" t="s">
        <v>12</v>
      </c>
      <c r="E15" s="4" t="s">
        <v>89</v>
      </c>
      <c r="F15" s="4"/>
      <c r="G15" s="2">
        <v>430</v>
      </c>
      <c r="H15" s="5">
        <v>300</v>
      </c>
      <c r="I15" s="6"/>
      <c r="J15" s="5">
        <f t="shared" si="1"/>
        <v>300</v>
      </c>
    </row>
    <row r="16" spans="1:10" ht="19.95" customHeight="1" x14ac:dyDescent="0.3">
      <c r="A16" s="2">
        <v>250062</v>
      </c>
      <c r="B16" s="2">
        <v>304</v>
      </c>
      <c r="C16" s="3">
        <v>0.6</v>
      </c>
      <c r="D16" s="3" t="s">
        <v>12</v>
      </c>
      <c r="E16" s="4" t="s">
        <v>90</v>
      </c>
      <c r="F16" s="4"/>
      <c r="G16" s="2">
        <v>430</v>
      </c>
      <c r="H16" s="5">
        <v>300</v>
      </c>
      <c r="I16" s="6">
        <v>300</v>
      </c>
      <c r="J16" s="5"/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91</v>
      </c>
      <c r="F17" s="4"/>
      <c r="G17" s="2">
        <v>430</v>
      </c>
      <c r="H17" s="5">
        <v>300</v>
      </c>
      <c r="I17" s="6">
        <v>300</v>
      </c>
      <c r="J17" s="5"/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92</v>
      </c>
      <c r="F18" s="4"/>
      <c r="G18" s="2">
        <v>430</v>
      </c>
      <c r="H18" s="5">
        <v>300</v>
      </c>
      <c r="I18" s="6"/>
      <c r="J18" s="5"/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93</v>
      </c>
      <c r="F19" s="4"/>
      <c r="G19" s="2">
        <v>430</v>
      </c>
      <c r="H19" s="5">
        <v>300</v>
      </c>
      <c r="I19" s="6"/>
      <c r="J19" s="5"/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84</v>
      </c>
      <c r="F20" s="4"/>
      <c r="G20" s="2">
        <v>430</v>
      </c>
      <c r="H20" s="5">
        <v>300</v>
      </c>
      <c r="I20" s="6"/>
      <c r="J20" s="5"/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85</v>
      </c>
      <c r="F21" s="4"/>
      <c r="G21" s="2">
        <v>430</v>
      </c>
      <c r="H21" s="5">
        <v>125</v>
      </c>
      <c r="I21" s="6">
        <v>125</v>
      </c>
      <c r="J21" s="5"/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86</v>
      </c>
      <c r="F22" s="4"/>
      <c r="G22" s="2">
        <v>430</v>
      </c>
      <c r="H22" s="5">
        <v>125</v>
      </c>
      <c r="I22" s="6"/>
      <c r="J22" s="5"/>
    </row>
    <row r="23" spans="1:10" ht="19.95" customHeight="1" x14ac:dyDescent="0.3">
      <c r="A23" s="2"/>
      <c r="B23" s="2"/>
      <c r="C23" s="3"/>
      <c r="D23" s="3"/>
      <c r="E23" s="4"/>
      <c r="F23" s="4"/>
      <c r="G23" s="2"/>
      <c r="H23" s="5"/>
      <c r="I23" s="6"/>
      <c r="J23" s="5"/>
    </row>
    <row r="24" spans="1:10" ht="19.95" customHeight="1" x14ac:dyDescent="0.3">
      <c r="A24" s="14"/>
      <c r="B24" s="14"/>
      <c r="C24" s="14"/>
      <c r="D24" s="14"/>
      <c r="E24" s="15"/>
      <c r="F24" s="14"/>
      <c r="G24" s="16"/>
      <c r="H24" s="5">
        <f>SUM(H12:H23)</f>
        <v>2700</v>
      </c>
      <c r="I24" s="6">
        <f>SUM(I12:I23)</f>
        <v>725</v>
      </c>
      <c r="J24" s="5">
        <f>SUM(J12:J23)</f>
        <v>950</v>
      </c>
    </row>
    <row r="26" spans="1:10" ht="23.4" x14ac:dyDescent="0.3">
      <c r="A26" s="180" t="s">
        <v>62</v>
      </c>
      <c r="B26" s="180"/>
      <c r="C26" s="180"/>
      <c r="D26" s="180"/>
      <c r="E26" s="180"/>
      <c r="F26" s="180"/>
      <c r="G26" s="180"/>
      <c r="H26" s="180"/>
      <c r="I26" s="180"/>
      <c r="J26" s="180"/>
    </row>
  </sheetData>
  <mergeCells count="5">
    <mergeCell ref="I1:J1"/>
    <mergeCell ref="A2:J2"/>
    <mergeCell ref="A3:J3"/>
    <mergeCell ref="A10:J10"/>
    <mergeCell ref="A26:J26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J27"/>
  <sheetViews>
    <sheetView topLeftCell="A7" zoomScale="85" zoomScaleNormal="85" workbookViewId="0">
      <selection activeCell="I25" sqref="I2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45918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3" t="s">
        <v>12</v>
      </c>
      <c r="E5" s="4" t="s">
        <v>104</v>
      </c>
      <c r="F5" s="2" t="s">
        <v>27</v>
      </c>
      <c r="G5" s="2">
        <v>430</v>
      </c>
      <c r="H5" s="5">
        <v>1500</v>
      </c>
      <c r="I5" s="6">
        <v>1575</v>
      </c>
      <c r="J5" s="5">
        <f t="shared" ref="J5:J12" si="0">H5-I5</f>
        <v>-75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105</v>
      </c>
      <c r="F6" s="2" t="s">
        <v>27</v>
      </c>
      <c r="G6" s="2">
        <v>430</v>
      </c>
      <c r="H6" s="5">
        <v>1500</v>
      </c>
      <c r="I6" s="6">
        <v>1575</v>
      </c>
      <c r="J6" s="5">
        <f t="shared" si="0"/>
        <v>-75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106</v>
      </c>
      <c r="F7" s="2" t="s">
        <v>27</v>
      </c>
      <c r="G7" s="2">
        <v>430</v>
      </c>
      <c r="H7" s="5">
        <v>2000</v>
      </c>
      <c r="I7" s="6"/>
      <c r="J7" s="5">
        <f t="shared" si="0"/>
        <v>2000</v>
      </c>
    </row>
    <row r="8" spans="1:10" ht="19.95" customHeight="1" x14ac:dyDescent="0.3">
      <c r="A8" s="2"/>
      <c r="B8" s="2"/>
      <c r="C8" s="3"/>
      <c r="D8" s="2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>
        <v>225065</v>
      </c>
      <c r="B9" s="2">
        <v>430</v>
      </c>
      <c r="C9" s="3">
        <v>0.5</v>
      </c>
      <c r="D9" s="2" t="s">
        <v>12</v>
      </c>
      <c r="E9" s="4" t="s">
        <v>107</v>
      </c>
      <c r="F9" s="2" t="s">
        <v>27</v>
      </c>
      <c r="G9" s="5">
        <v>430</v>
      </c>
      <c r="H9" s="5">
        <v>1500</v>
      </c>
      <c r="I9" s="6"/>
      <c r="J9" s="5">
        <f t="shared" si="0"/>
        <v>1500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94</v>
      </c>
      <c r="F10" s="2" t="s">
        <v>27</v>
      </c>
      <c r="G10" s="2">
        <v>430</v>
      </c>
      <c r="H10" s="5">
        <v>1500</v>
      </c>
      <c r="I10" s="6"/>
      <c r="J10" s="5">
        <f t="shared" si="0"/>
        <v>1500</v>
      </c>
    </row>
    <row r="11" spans="1:10" ht="19.95" customHeight="1" x14ac:dyDescent="0.3">
      <c r="A11" s="2">
        <v>270825</v>
      </c>
      <c r="B11" s="2">
        <v>430</v>
      </c>
      <c r="C11" s="3">
        <v>0.5</v>
      </c>
      <c r="D11" s="3" t="s">
        <v>12</v>
      </c>
      <c r="E11" s="4" t="s">
        <v>95</v>
      </c>
      <c r="F11" s="2" t="s">
        <v>27</v>
      </c>
      <c r="G11" s="2">
        <v>430</v>
      </c>
      <c r="H11" s="5">
        <v>2000</v>
      </c>
      <c r="I11" s="6"/>
      <c r="J11" s="5">
        <f t="shared" si="0"/>
        <v>2000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10000</v>
      </c>
      <c r="I13" s="19">
        <f>SUM(I5:I12)</f>
        <v>3150</v>
      </c>
      <c r="J13" s="5">
        <f>SUM(J5:J12)</f>
        <v>6850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65</v>
      </c>
      <c r="B16" s="2" t="s">
        <v>66</v>
      </c>
      <c r="C16" s="18" t="s">
        <v>67</v>
      </c>
      <c r="D16" s="18" t="s">
        <v>68</v>
      </c>
      <c r="E16" s="2" t="s">
        <v>69</v>
      </c>
      <c r="F16" s="18" t="s">
        <v>70</v>
      </c>
      <c r="G16" s="18" t="s">
        <v>71</v>
      </c>
      <c r="H16" s="2" t="s">
        <v>72</v>
      </c>
      <c r="I16" s="2" t="s">
        <v>73</v>
      </c>
      <c r="J16" s="2" t="s">
        <v>74</v>
      </c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103</v>
      </c>
      <c r="F17" s="2" t="s">
        <v>28</v>
      </c>
      <c r="G17" s="2">
        <v>430</v>
      </c>
      <c r="H17" s="5">
        <v>150</v>
      </c>
      <c r="I17" s="6"/>
      <c r="J17" s="5">
        <f t="shared" ref="J17:J24" si="1">H17-I17</f>
        <v>150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102</v>
      </c>
      <c r="F18" s="2" t="s">
        <v>28</v>
      </c>
      <c r="G18" s="2">
        <v>430</v>
      </c>
      <c r="H18" s="5">
        <v>200</v>
      </c>
      <c r="I18" s="6"/>
      <c r="J18" s="5">
        <f t="shared" si="1"/>
        <v>200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101</v>
      </c>
      <c r="F19" s="2" t="s">
        <v>28</v>
      </c>
      <c r="G19" s="2">
        <v>430</v>
      </c>
      <c r="H19" s="5">
        <v>300</v>
      </c>
      <c r="I19" s="6"/>
      <c r="J19" s="5">
        <f t="shared" si="1"/>
        <v>300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100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99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98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97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>
        <v>250062</v>
      </c>
      <c r="B24" s="2">
        <v>304</v>
      </c>
      <c r="C24" s="3">
        <v>0.6</v>
      </c>
      <c r="D24" s="3" t="s">
        <v>12</v>
      </c>
      <c r="E24" s="4" t="s">
        <v>96</v>
      </c>
      <c r="F24" s="2" t="s">
        <v>28</v>
      </c>
      <c r="G24" s="2">
        <v>430</v>
      </c>
      <c r="H24" s="5">
        <v>125</v>
      </c>
      <c r="I24" s="6">
        <v>150</v>
      </c>
      <c r="J24" s="5">
        <f t="shared" si="1"/>
        <v>-25</v>
      </c>
    </row>
    <row r="25" spans="1:10" ht="19.95" customHeight="1" x14ac:dyDescent="0.3">
      <c r="A25" s="14"/>
      <c r="B25" s="14"/>
      <c r="C25" s="14"/>
      <c r="D25" s="14"/>
      <c r="E25" s="15"/>
      <c r="F25" s="14"/>
      <c r="G25" s="16"/>
      <c r="H25" s="5">
        <f>SUM(H17:H24)</f>
        <v>1975</v>
      </c>
      <c r="I25" s="6">
        <f>SUM(I17:I24)</f>
        <v>150</v>
      </c>
      <c r="J25" s="5">
        <f>SUM(J17:J24)</f>
        <v>1825</v>
      </c>
    </row>
    <row r="27" spans="1:10" ht="23.4" x14ac:dyDescent="0.3">
      <c r="A27" s="180" t="s">
        <v>62</v>
      </c>
      <c r="B27" s="180"/>
      <c r="C27" s="180"/>
      <c r="D27" s="180"/>
      <c r="E27" s="180"/>
      <c r="F27" s="180"/>
      <c r="G27" s="180"/>
      <c r="H27" s="180"/>
      <c r="I27" s="180"/>
      <c r="J27" s="180"/>
    </row>
  </sheetData>
  <mergeCells count="5">
    <mergeCell ref="I1:J1"/>
    <mergeCell ref="A2:J2"/>
    <mergeCell ref="A3:J3"/>
    <mergeCell ref="A15:J15"/>
    <mergeCell ref="A27:J2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J27"/>
  <sheetViews>
    <sheetView zoomScale="85" zoomScaleNormal="85" workbookViewId="0">
      <selection activeCell="M13" sqref="M1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45919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3" t="s">
        <v>12</v>
      </c>
      <c r="E5" s="4" t="s">
        <v>104</v>
      </c>
      <c r="F5" s="2" t="s">
        <v>27</v>
      </c>
      <c r="G5" s="2">
        <v>430</v>
      </c>
      <c r="H5" s="5">
        <v>1500</v>
      </c>
      <c r="I5" s="6">
        <v>1500</v>
      </c>
      <c r="J5" s="5">
        <f t="shared" ref="J5:J12" si="0">H5-I5</f>
        <v>0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105</v>
      </c>
      <c r="F6" s="2" t="s">
        <v>27</v>
      </c>
      <c r="G6" s="2">
        <v>430</v>
      </c>
      <c r="H6" s="5">
        <v>1500</v>
      </c>
      <c r="I6" s="6">
        <v>1500</v>
      </c>
      <c r="J6" s="5">
        <f t="shared" si="0"/>
        <v>0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106</v>
      </c>
      <c r="F7" s="2" t="s">
        <v>27</v>
      </c>
      <c r="G7" s="2">
        <v>430</v>
      </c>
      <c r="H7" s="5">
        <v>2000</v>
      </c>
      <c r="I7" s="6">
        <v>2000</v>
      </c>
      <c r="J7" s="5">
        <f t="shared" si="0"/>
        <v>0</v>
      </c>
    </row>
    <row r="8" spans="1:10" ht="19.95" customHeight="1" x14ac:dyDescent="0.3">
      <c r="A8" s="2"/>
      <c r="B8" s="2"/>
      <c r="C8" s="3"/>
      <c r="D8" s="2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>
        <v>225065</v>
      </c>
      <c r="B9" s="2">
        <v>430</v>
      </c>
      <c r="C9" s="3">
        <v>0.5</v>
      </c>
      <c r="D9" s="2" t="s">
        <v>12</v>
      </c>
      <c r="E9" s="4" t="s">
        <v>107</v>
      </c>
      <c r="F9" s="2" t="s">
        <v>27</v>
      </c>
      <c r="G9" s="5">
        <v>430</v>
      </c>
      <c r="H9" s="5">
        <v>1500</v>
      </c>
      <c r="I9" s="6">
        <v>1300</v>
      </c>
      <c r="J9" s="5">
        <f t="shared" si="0"/>
        <v>200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94</v>
      </c>
      <c r="F10" s="2" t="s">
        <v>27</v>
      </c>
      <c r="G10" s="2">
        <v>430</v>
      </c>
      <c r="H10" s="5">
        <v>1500</v>
      </c>
      <c r="I10" s="6"/>
      <c r="J10" s="5">
        <f t="shared" si="0"/>
        <v>1500</v>
      </c>
    </row>
    <row r="11" spans="1:10" ht="19.95" customHeight="1" x14ac:dyDescent="0.3">
      <c r="A11" s="2">
        <v>270825</v>
      </c>
      <c r="B11" s="2">
        <v>430</v>
      </c>
      <c r="C11" s="3">
        <v>0.5</v>
      </c>
      <c r="D11" s="3" t="s">
        <v>12</v>
      </c>
      <c r="E11" s="4" t="s">
        <v>95</v>
      </c>
      <c r="F11" s="2" t="s">
        <v>27</v>
      </c>
      <c r="G11" s="2">
        <v>430</v>
      </c>
      <c r="H11" s="5">
        <v>2000</v>
      </c>
      <c r="I11" s="6"/>
      <c r="J11" s="5">
        <f t="shared" si="0"/>
        <v>2000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10000</v>
      </c>
      <c r="I13" s="19">
        <f>SUM(I5:I12)</f>
        <v>6300</v>
      </c>
      <c r="J13" s="5">
        <f>SUM(J5:J12)</f>
        <v>3700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65</v>
      </c>
      <c r="B16" s="2" t="s">
        <v>66</v>
      </c>
      <c r="C16" s="18" t="s">
        <v>67</v>
      </c>
      <c r="D16" s="18" t="s">
        <v>68</v>
      </c>
      <c r="E16" s="2" t="s">
        <v>69</v>
      </c>
      <c r="F16" s="18" t="s">
        <v>70</v>
      </c>
      <c r="G16" s="18" t="s">
        <v>71</v>
      </c>
      <c r="H16" s="2" t="s">
        <v>72</v>
      </c>
      <c r="I16" s="2" t="s">
        <v>73</v>
      </c>
      <c r="J16" s="2" t="s">
        <v>74</v>
      </c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103</v>
      </c>
      <c r="F17" s="2" t="s">
        <v>28</v>
      </c>
      <c r="G17" s="2">
        <v>430</v>
      </c>
      <c r="H17" s="5">
        <v>150</v>
      </c>
      <c r="I17" s="6"/>
      <c r="J17" s="5">
        <f t="shared" ref="J17:J24" si="1">H17-I17</f>
        <v>150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102</v>
      </c>
      <c r="F18" s="2" t="s">
        <v>28</v>
      </c>
      <c r="G18" s="2">
        <v>430</v>
      </c>
      <c r="H18" s="5">
        <v>200</v>
      </c>
      <c r="I18" s="6"/>
      <c r="J18" s="5">
        <f t="shared" si="1"/>
        <v>200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101</v>
      </c>
      <c r="F19" s="2" t="s">
        <v>28</v>
      </c>
      <c r="G19" s="2">
        <v>430</v>
      </c>
      <c r="H19" s="5">
        <v>300</v>
      </c>
      <c r="I19" s="6"/>
      <c r="J19" s="5">
        <f t="shared" si="1"/>
        <v>300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100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99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98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97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>
        <v>250062</v>
      </c>
      <c r="B24" s="2">
        <v>304</v>
      </c>
      <c r="C24" s="3">
        <v>0.6</v>
      </c>
      <c r="D24" s="3" t="s">
        <v>12</v>
      </c>
      <c r="E24" s="4" t="s">
        <v>96</v>
      </c>
      <c r="F24" s="2" t="s">
        <v>28</v>
      </c>
      <c r="G24" s="2">
        <v>430</v>
      </c>
      <c r="H24" s="5">
        <v>125</v>
      </c>
      <c r="I24" s="6">
        <v>150</v>
      </c>
      <c r="J24" s="5">
        <f t="shared" si="1"/>
        <v>-25</v>
      </c>
    </row>
    <row r="25" spans="1:10" ht="19.95" customHeight="1" x14ac:dyDescent="0.3">
      <c r="A25" s="14"/>
      <c r="B25" s="14"/>
      <c r="C25" s="14"/>
      <c r="D25" s="14"/>
      <c r="E25" s="15"/>
      <c r="F25" s="14"/>
      <c r="G25" s="16"/>
      <c r="H25" s="5">
        <f>SUM(H17:H24)</f>
        <v>1975</v>
      </c>
      <c r="I25" s="6">
        <f>SUM(I17:I24)</f>
        <v>150</v>
      </c>
      <c r="J25" s="5">
        <f>SUM(J17:J24)</f>
        <v>1825</v>
      </c>
    </row>
    <row r="27" spans="1:10" ht="23.4" x14ac:dyDescent="0.3">
      <c r="A27" s="180" t="s">
        <v>62</v>
      </c>
      <c r="B27" s="180"/>
      <c r="C27" s="180"/>
      <c r="D27" s="180"/>
      <c r="E27" s="180"/>
      <c r="F27" s="180"/>
      <c r="G27" s="180"/>
      <c r="H27" s="180"/>
      <c r="I27" s="180"/>
      <c r="J27" s="180"/>
    </row>
  </sheetData>
  <mergeCells count="5">
    <mergeCell ref="I1:J1"/>
    <mergeCell ref="A2:J2"/>
    <mergeCell ref="A3:J3"/>
    <mergeCell ref="A15:J15"/>
    <mergeCell ref="A27:J2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J27"/>
  <sheetViews>
    <sheetView zoomScale="70" zoomScaleNormal="70" workbookViewId="0">
      <selection activeCell="I8" sqref="I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45920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2" t="s">
        <v>12</v>
      </c>
      <c r="E5" s="4" t="s">
        <v>107</v>
      </c>
      <c r="F5" s="2" t="s">
        <v>27</v>
      </c>
      <c r="G5" s="5">
        <v>430</v>
      </c>
      <c r="H5" s="5">
        <v>1500</v>
      </c>
      <c r="I5" s="6">
        <v>1300</v>
      </c>
      <c r="J5" s="5">
        <f t="shared" ref="J5:J12" si="0">H5-I5</f>
        <v>200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94</v>
      </c>
      <c r="F6" s="2" t="s">
        <v>27</v>
      </c>
      <c r="G6" s="2">
        <v>430</v>
      </c>
      <c r="H6" s="5">
        <v>1500</v>
      </c>
      <c r="I6" s="6">
        <v>1500</v>
      </c>
      <c r="J6" s="5">
        <f t="shared" si="0"/>
        <v>0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95</v>
      </c>
      <c r="F7" s="2" t="s">
        <v>27</v>
      </c>
      <c r="G7" s="2">
        <v>430</v>
      </c>
      <c r="H7" s="5">
        <v>2000</v>
      </c>
      <c r="I7" s="6">
        <v>600</v>
      </c>
      <c r="J7" s="5">
        <f t="shared" si="0"/>
        <v>1400</v>
      </c>
    </row>
    <row r="8" spans="1:10" ht="19.95" customHeight="1" x14ac:dyDescent="0.3">
      <c r="A8" s="2"/>
      <c r="B8" s="2"/>
      <c r="C8" s="3"/>
      <c r="D8" s="2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>
        <v>225065</v>
      </c>
      <c r="B9" s="2">
        <v>430</v>
      </c>
      <c r="C9" s="3">
        <v>0.5</v>
      </c>
      <c r="D9" s="3" t="s">
        <v>12</v>
      </c>
      <c r="E9" s="4" t="s">
        <v>108</v>
      </c>
      <c r="F9" s="2" t="s">
        <v>27</v>
      </c>
      <c r="G9" s="2">
        <v>430</v>
      </c>
      <c r="H9" s="5">
        <v>1500</v>
      </c>
      <c r="I9" s="6"/>
      <c r="J9" s="5">
        <f t="shared" si="0"/>
        <v>1500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109</v>
      </c>
      <c r="F10" s="2" t="s">
        <v>27</v>
      </c>
      <c r="G10" s="2">
        <v>430</v>
      </c>
      <c r="H10" s="5">
        <v>1500</v>
      </c>
      <c r="I10" s="6"/>
      <c r="J10" s="5">
        <f t="shared" si="0"/>
        <v>1500</v>
      </c>
    </row>
    <row r="11" spans="1:10" ht="19.95" customHeight="1" x14ac:dyDescent="0.3">
      <c r="A11" s="2">
        <v>270825</v>
      </c>
      <c r="B11" s="2">
        <v>430</v>
      </c>
      <c r="C11" s="3">
        <v>0.5</v>
      </c>
      <c r="D11" s="3" t="s">
        <v>12</v>
      </c>
      <c r="E11" s="4" t="s">
        <v>110</v>
      </c>
      <c r="F11" s="2" t="s">
        <v>27</v>
      </c>
      <c r="G11" s="2">
        <v>430</v>
      </c>
      <c r="H11" s="5">
        <v>2000</v>
      </c>
      <c r="I11" s="6"/>
      <c r="J11" s="5">
        <f t="shared" si="0"/>
        <v>2000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10000</v>
      </c>
      <c r="I13" s="19">
        <f>SUM(I5:I12)</f>
        <v>3400</v>
      </c>
      <c r="J13" s="5">
        <f>SUM(J5:J12)</f>
        <v>6600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65</v>
      </c>
      <c r="B16" s="2" t="s">
        <v>66</v>
      </c>
      <c r="C16" s="18" t="s">
        <v>67</v>
      </c>
      <c r="D16" s="18" t="s">
        <v>68</v>
      </c>
      <c r="E16" s="2" t="s">
        <v>69</v>
      </c>
      <c r="F16" s="18" t="s">
        <v>70</v>
      </c>
      <c r="G16" s="18" t="s">
        <v>71</v>
      </c>
      <c r="H16" s="2" t="s">
        <v>72</v>
      </c>
      <c r="I16" s="2" t="s">
        <v>73</v>
      </c>
      <c r="J16" s="2" t="s">
        <v>74</v>
      </c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103</v>
      </c>
      <c r="F17" s="2" t="s">
        <v>28</v>
      </c>
      <c r="G17" s="2">
        <v>430</v>
      </c>
      <c r="H17" s="5">
        <v>150</v>
      </c>
      <c r="I17" s="6"/>
      <c r="J17" s="5">
        <f t="shared" ref="J17:J24" si="1">H17-I17</f>
        <v>150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102</v>
      </c>
      <c r="F18" s="2" t="s">
        <v>28</v>
      </c>
      <c r="G18" s="2">
        <v>430</v>
      </c>
      <c r="H18" s="5">
        <v>200</v>
      </c>
      <c r="I18" s="6"/>
      <c r="J18" s="5">
        <f t="shared" si="1"/>
        <v>200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101</v>
      </c>
      <c r="F19" s="2" t="s">
        <v>28</v>
      </c>
      <c r="G19" s="2">
        <v>430</v>
      </c>
      <c r="H19" s="5">
        <v>300</v>
      </c>
      <c r="I19" s="6"/>
      <c r="J19" s="5">
        <f t="shared" si="1"/>
        <v>300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100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99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98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97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/>
      <c r="B24" s="2"/>
      <c r="C24" s="3"/>
      <c r="D24" s="3"/>
      <c r="E24" s="4"/>
      <c r="F24" s="2"/>
      <c r="G24" s="2"/>
      <c r="H24" s="5"/>
      <c r="I24" s="6"/>
      <c r="J24" s="5">
        <f t="shared" si="1"/>
        <v>0</v>
      </c>
    </row>
    <row r="25" spans="1:10" ht="19.95" customHeight="1" x14ac:dyDescent="0.3">
      <c r="A25" s="14"/>
      <c r="B25" s="14"/>
      <c r="C25" s="14"/>
      <c r="D25" s="14"/>
      <c r="E25" s="15"/>
      <c r="F25" s="14"/>
      <c r="G25" s="16"/>
      <c r="H25" s="5">
        <f>SUM(H17:H24)</f>
        <v>1850</v>
      </c>
      <c r="I25" s="6">
        <f>SUM(I17:I24)</f>
        <v>0</v>
      </c>
      <c r="J25" s="5">
        <f>SUM(J17:J24)</f>
        <v>1850</v>
      </c>
    </row>
    <row r="27" spans="1:10" ht="23.4" x14ac:dyDescent="0.3">
      <c r="A27" s="180" t="s">
        <v>62</v>
      </c>
      <c r="B27" s="180"/>
      <c r="C27" s="180"/>
      <c r="D27" s="180"/>
      <c r="E27" s="180"/>
      <c r="F27" s="180"/>
      <c r="G27" s="180"/>
      <c r="H27" s="180"/>
      <c r="I27" s="180"/>
      <c r="J27" s="180"/>
    </row>
  </sheetData>
  <mergeCells count="5">
    <mergeCell ref="I1:J1"/>
    <mergeCell ref="A2:J2"/>
    <mergeCell ref="A3:J3"/>
    <mergeCell ref="A15:J15"/>
    <mergeCell ref="A27:J2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J27"/>
  <sheetViews>
    <sheetView topLeftCell="A3" zoomScale="70" zoomScaleNormal="70" workbookViewId="0">
      <selection activeCell="I10" sqref="I1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45922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2" t="s">
        <v>12</v>
      </c>
      <c r="E5" s="4" t="s">
        <v>107</v>
      </c>
      <c r="F5" s="2" t="s">
        <v>27</v>
      </c>
      <c r="G5" s="5">
        <v>430</v>
      </c>
      <c r="H5" s="5">
        <v>1500</v>
      </c>
      <c r="I5" s="6">
        <f>1300+200</f>
        <v>1500</v>
      </c>
      <c r="J5" s="5">
        <f t="shared" ref="J5:J12" si="0">H5-I5</f>
        <v>0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94</v>
      </c>
      <c r="F6" s="2" t="s">
        <v>27</v>
      </c>
      <c r="G6" s="2">
        <v>430</v>
      </c>
      <c r="H6" s="5">
        <v>1500</v>
      </c>
      <c r="I6" s="6">
        <v>1500</v>
      </c>
      <c r="J6" s="5">
        <f t="shared" si="0"/>
        <v>0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95</v>
      </c>
      <c r="F7" s="2" t="s">
        <v>27</v>
      </c>
      <c r="G7" s="2">
        <v>430</v>
      </c>
      <c r="H7" s="5">
        <v>2000</v>
      </c>
      <c r="I7" s="6">
        <f>600+1585</f>
        <v>2185</v>
      </c>
      <c r="J7" s="5">
        <f t="shared" si="0"/>
        <v>-185</v>
      </c>
    </row>
    <row r="8" spans="1:10" ht="19.95" customHeight="1" x14ac:dyDescent="0.3">
      <c r="A8" s="2"/>
      <c r="B8" s="2"/>
      <c r="C8" s="3"/>
      <c r="D8" s="2"/>
      <c r="E8" s="4"/>
      <c r="F8" s="2"/>
      <c r="G8" s="5"/>
      <c r="H8" s="5"/>
      <c r="I8" s="6"/>
      <c r="J8" s="5">
        <f t="shared" si="0"/>
        <v>0</v>
      </c>
    </row>
    <row r="9" spans="1:10" ht="19.95" customHeight="1" x14ac:dyDescent="0.3">
      <c r="A9" s="2">
        <v>225065</v>
      </c>
      <c r="B9" s="2">
        <v>430</v>
      </c>
      <c r="C9" s="3">
        <v>0.5</v>
      </c>
      <c r="D9" s="3" t="s">
        <v>12</v>
      </c>
      <c r="E9" s="4" t="s">
        <v>108</v>
      </c>
      <c r="F9" s="2" t="s">
        <v>27</v>
      </c>
      <c r="G9" s="2">
        <v>430</v>
      </c>
      <c r="H9" s="5">
        <v>1500</v>
      </c>
      <c r="I9" s="6">
        <v>785</v>
      </c>
      <c r="J9" s="5">
        <f t="shared" si="0"/>
        <v>715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109</v>
      </c>
      <c r="F10" s="2" t="s">
        <v>27</v>
      </c>
      <c r="G10" s="2">
        <v>430</v>
      </c>
      <c r="H10" s="5">
        <v>1500</v>
      </c>
      <c r="I10" s="6"/>
      <c r="J10" s="5">
        <f t="shared" si="0"/>
        <v>1500</v>
      </c>
    </row>
    <row r="11" spans="1:10" ht="19.95" customHeight="1" x14ac:dyDescent="0.3">
      <c r="A11" s="2">
        <v>270825</v>
      </c>
      <c r="B11" s="2">
        <v>430</v>
      </c>
      <c r="C11" s="3">
        <v>0.5</v>
      </c>
      <c r="D11" s="3" t="s">
        <v>12</v>
      </c>
      <c r="E11" s="4" t="s">
        <v>110</v>
      </c>
      <c r="F11" s="2" t="s">
        <v>27</v>
      </c>
      <c r="G11" s="2">
        <v>430</v>
      </c>
      <c r="H11" s="5">
        <v>2000</v>
      </c>
      <c r="I11" s="6"/>
      <c r="J11" s="5">
        <f t="shared" si="0"/>
        <v>2000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14"/>
      <c r="B13" s="14"/>
      <c r="C13" s="14"/>
      <c r="D13" s="14"/>
      <c r="E13" s="15"/>
      <c r="F13" s="14"/>
      <c r="G13" s="16"/>
      <c r="H13" s="17">
        <f>SUM(H5:H12)</f>
        <v>10000</v>
      </c>
      <c r="I13" s="19">
        <f>SUM(I5:I12)</f>
        <v>5970</v>
      </c>
      <c r="J13" s="5">
        <f>SUM(J5:J12)</f>
        <v>4030</v>
      </c>
    </row>
    <row r="15" spans="1:10" ht="30" customHeight="1" x14ac:dyDescent="0.3">
      <c r="A15" s="172" t="s">
        <v>24</v>
      </c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 ht="30" customHeight="1" x14ac:dyDescent="0.3">
      <c r="A16" s="2" t="s">
        <v>65</v>
      </c>
      <c r="B16" s="2" t="s">
        <v>66</v>
      </c>
      <c r="C16" s="18" t="s">
        <v>67</v>
      </c>
      <c r="D16" s="18" t="s">
        <v>68</v>
      </c>
      <c r="E16" s="2" t="s">
        <v>69</v>
      </c>
      <c r="F16" s="18" t="s">
        <v>70</v>
      </c>
      <c r="G16" s="18" t="s">
        <v>71</v>
      </c>
      <c r="H16" s="2" t="s">
        <v>72</v>
      </c>
      <c r="I16" s="2" t="s">
        <v>73</v>
      </c>
      <c r="J16" s="2" t="s">
        <v>74</v>
      </c>
    </row>
    <row r="17" spans="1:10" ht="19.95" customHeight="1" x14ac:dyDescent="0.3">
      <c r="A17" s="2">
        <v>250062</v>
      </c>
      <c r="B17" s="2">
        <v>304</v>
      </c>
      <c r="C17" s="3">
        <v>0.6</v>
      </c>
      <c r="D17" s="3" t="s">
        <v>12</v>
      </c>
      <c r="E17" s="4" t="s">
        <v>103</v>
      </c>
      <c r="F17" s="2" t="s">
        <v>28</v>
      </c>
      <c r="G17" s="2">
        <v>430</v>
      </c>
      <c r="H17" s="5">
        <v>150</v>
      </c>
      <c r="I17" s="6"/>
      <c r="J17" s="5">
        <f t="shared" ref="J17:J24" si="1">H17-I17</f>
        <v>150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102</v>
      </c>
      <c r="F18" s="2" t="s">
        <v>28</v>
      </c>
      <c r="G18" s="2">
        <v>430</v>
      </c>
      <c r="H18" s="5">
        <v>200</v>
      </c>
      <c r="I18" s="6"/>
      <c r="J18" s="5">
        <f t="shared" si="1"/>
        <v>200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101</v>
      </c>
      <c r="F19" s="2" t="s">
        <v>28</v>
      </c>
      <c r="G19" s="2">
        <v>430</v>
      </c>
      <c r="H19" s="5">
        <v>300</v>
      </c>
      <c r="I19" s="6"/>
      <c r="J19" s="5">
        <f t="shared" si="1"/>
        <v>300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100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99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98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97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/>
      <c r="B24" s="2"/>
      <c r="C24" s="3"/>
      <c r="D24" s="3"/>
      <c r="E24" s="4"/>
      <c r="F24" s="2"/>
      <c r="G24" s="2"/>
      <c r="H24" s="5"/>
      <c r="I24" s="6"/>
      <c r="J24" s="5">
        <f t="shared" si="1"/>
        <v>0</v>
      </c>
    </row>
    <row r="25" spans="1:10" ht="19.95" customHeight="1" x14ac:dyDescent="0.3">
      <c r="A25" s="14"/>
      <c r="B25" s="14"/>
      <c r="C25" s="14"/>
      <c r="D25" s="14"/>
      <c r="E25" s="15"/>
      <c r="F25" s="14"/>
      <c r="G25" s="16"/>
      <c r="H25" s="5">
        <f>SUM(H17:H24)</f>
        <v>1850</v>
      </c>
      <c r="I25" s="6">
        <f>SUM(I17:I24)</f>
        <v>0</v>
      </c>
      <c r="J25" s="5">
        <f>SUM(J17:J24)</f>
        <v>1850</v>
      </c>
    </row>
    <row r="27" spans="1:10" ht="23.4" x14ac:dyDescent="0.3">
      <c r="A27" s="180" t="s">
        <v>62</v>
      </c>
      <c r="B27" s="180"/>
      <c r="C27" s="180"/>
      <c r="D27" s="180"/>
      <c r="E27" s="180"/>
      <c r="F27" s="180"/>
      <c r="G27" s="180"/>
      <c r="H27" s="180"/>
      <c r="I27" s="180"/>
      <c r="J27" s="180"/>
    </row>
  </sheetData>
  <mergeCells count="5">
    <mergeCell ref="I1:J1"/>
    <mergeCell ref="A2:J2"/>
    <mergeCell ref="A3:J3"/>
    <mergeCell ref="A15:J15"/>
    <mergeCell ref="A27:J2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J28"/>
  <sheetViews>
    <sheetView zoomScale="70" zoomScaleNormal="70" workbookViewId="0">
      <selection activeCell="L13" sqref="L1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45923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3" t="s">
        <v>12</v>
      </c>
      <c r="E5" s="4" t="s">
        <v>108</v>
      </c>
      <c r="F5" s="2" t="s">
        <v>27</v>
      </c>
      <c r="G5" s="2">
        <v>430</v>
      </c>
      <c r="H5" s="5">
        <v>1500</v>
      </c>
      <c r="I5" s="6">
        <f>785+720</f>
        <v>1505</v>
      </c>
      <c r="J5" s="5">
        <f t="shared" ref="J5:J13" si="0">H5-I5</f>
        <v>-5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109</v>
      </c>
      <c r="F6" s="2" t="s">
        <v>27</v>
      </c>
      <c r="G6" s="2">
        <v>430</v>
      </c>
      <c r="H6" s="5">
        <v>1500</v>
      </c>
      <c r="I6" s="6">
        <v>1505</v>
      </c>
      <c r="J6" s="5">
        <f t="shared" si="0"/>
        <v>-5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110</v>
      </c>
      <c r="F7" s="2" t="s">
        <v>27</v>
      </c>
      <c r="G7" s="2">
        <v>430</v>
      </c>
      <c r="H7" s="5">
        <v>2000</v>
      </c>
      <c r="I7" s="6">
        <v>1025</v>
      </c>
      <c r="J7" s="5">
        <f t="shared" si="0"/>
        <v>975</v>
      </c>
    </row>
    <row r="8" spans="1:10" ht="19.95" customHeight="1" x14ac:dyDescent="0.3">
      <c r="A8" s="2"/>
      <c r="B8" s="2"/>
      <c r="C8" s="3"/>
      <c r="D8" s="3"/>
      <c r="E8" s="4"/>
      <c r="F8" s="2"/>
      <c r="G8" s="2"/>
      <c r="H8" s="5"/>
      <c r="I8" s="6"/>
      <c r="J8" s="5"/>
    </row>
    <row r="9" spans="1:10" ht="19.95" customHeight="1" x14ac:dyDescent="0.3">
      <c r="A9" s="2">
        <v>225065</v>
      </c>
      <c r="B9" s="2">
        <v>430</v>
      </c>
      <c r="C9" s="3">
        <v>0.5</v>
      </c>
      <c r="D9" s="3" t="s">
        <v>12</v>
      </c>
      <c r="E9" s="4" t="s">
        <v>111</v>
      </c>
      <c r="F9" s="2" t="s">
        <v>27</v>
      </c>
      <c r="G9" s="2">
        <v>430</v>
      </c>
      <c r="H9" s="5">
        <v>1500</v>
      </c>
      <c r="I9" s="6"/>
      <c r="J9" s="5">
        <f t="shared" si="0"/>
        <v>1500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112</v>
      </c>
      <c r="F10" s="2" t="s">
        <v>27</v>
      </c>
      <c r="G10" s="2">
        <v>430</v>
      </c>
      <c r="H10" s="5">
        <v>1500</v>
      </c>
      <c r="I10" s="6"/>
      <c r="J10" s="5">
        <f t="shared" si="0"/>
        <v>1500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5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8000</v>
      </c>
      <c r="I14" s="19">
        <f>SUM(I5:I13)</f>
        <v>4035</v>
      </c>
      <c r="J14" s="5">
        <f>SUM(J5:J13)</f>
        <v>3965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2" t="s">
        <v>65</v>
      </c>
      <c r="B17" s="2" t="s">
        <v>66</v>
      </c>
      <c r="C17" s="18" t="s">
        <v>67</v>
      </c>
      <c r="D17" s="18" t="s">
        <v>68</v>
      </c>
      <c r="E17" s="2" t="s">
        <v>69</v>
      </c>
      <c r="F17" s="18" t="s">
        <v>70</v>
      </c>
      <c r="G17" s="18" t="s">
        <v>71</v>
      </c>
      <c r="H17" s="2" t="s">
        <v>72</v>
      </c>
      <c r="I17" s="2" t="s">
        <v>73</v>
      </c>
      <c r="J17" s="2" t="s">
        <v>74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103</v>
      </c>
      <c r="F18" s="2" t="s">
        <v>28</v>
      </c>
      <c r="G18" s="2">
        <v>430</v>
      </c>
      <c r="H18" s="5">
        <v>150</v>
      </c>
      <c r="I18" s="6"/>
      <c r="J18" s="5">
        <f t="shared" ref="J18:J25" si="1">H18-I18</f>
        <v>150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102</v>
      </c>
      <c r="F19" s="2" t="s">
        <v>28</v>
      </c>
      <c r="G19" s="2">
        <v>430</v>
      </c>
      <c r="H19" s="5">
        <v>200</v>
      </c>
      <c r="I19" s="6"/>
      <c r="J19" s="5">
        <f t="shared" si="1"/>
        <v>200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101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100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99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98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>
        <v>250062</v>
      </c>
      <c r="B24" s="2">
        <v>304</v>
      </c>
      <c r="C24" s="3">
        <v>0.6</v>
      </c>
      <c r="D24" s="3" t="s">
        <v>12</v>
      </c>
      <c r="E24" s="4" t="s">
        <v>97</v>
      </c>
      <c r="F24" s="2" t="s">
        <v>28</v>
      </c>
      <c r="G24" s="2">
        <v>430</v>
      </c>
      <c r="H24" s="5">
        <v>300</v>
      </c>
      <c r="I24" s="6"/>
      <c r="J24" s="5">
        <f t="shared" si="1"/>
        <v>300</v>
      </c>
    </row>
    <row r="25" spans="1:10" ht="19.95" customHeight="1" x14ac:dyDescent="0.3">
      <c r="A25" s="2"/>
      <c r="B25" s="2"/>
      <c r="C25" s="3"/>
      <c r="D25" s="3"/>
      <c r="E25" s="4"/>
      <c r="F25" s="2"/>
      <c r="G25" s="2"/>
      <c r="H25" s="5"/>
      <c r="I25" s="6"/>
      <c r="J25" s="5">
        <f t="shared" si="1"/>
        <v>0</v>
      </c>
    </row>
    <row r="26" spans="1:10" ht="19.95" customHeight="1" x14ac:dyDescent="0.3">
      <c r="A26" s="14"/>
      <c r="B26" s="14"/>
      <c r="C26" s="14"/>
      <c r="D26" s="14"/>
      <c r="E26" s="15"/>
      <c r="F26" s="14"/>
      <c r="G26" s="16"/>
      <c r="H26" s="5">
        <f>SUM(H18:H25)</f>
        <v>1850</v>
      </c>
      <c r="I26" s="6">
        <f>SUM(I18:I25)</f>
        <v>0</v>
      </c>
      <c r="J26" s="5">
        <f>SUM(J18:J25)</f>
        <v>1850</v>
      </c>
    </row>
    <row r="28" spans="1:10" ht="23.4" x14ac:dyDescent="0.3">
      <c r="A28" s="180" t="s">
        <v>62</v>
      </c>
      <c r="B28" s="180"/>
      <c r="C28" s="180"/>
      <c r="D28" s="180"/>
      <c r="E28" s="180"/>
      <c r="F28" s="180"/>
      <c r="G28" s="180"/>
      <c r="H28" s="180"/>
      <c r="I28" s="180"/>
      <c r="J28" s="180"/>
    </row>
  </sheetData>
  <mergeCells count="5">
    <mergeCell ref="I1:J1"/>
    <mergeCell ref="A2:J2"/>
    <mergeCell ref="A3:J3"/>
    <mergeCell ref="A16:J16"/>
    <mergeCell ref="A28:J2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J28"/>
  <sheetViews>
    <sheetView topLeftCell="A4" zoomScale="70" zoomScaleNormal="70" workbookViewId="0">
      <selection activeCell="I11" sqref="I1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45924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225065</v>
      </c>
      <c r="B5" s="2">
        <v>430</v>
      </c>
      <c r="C5" s="3">
        <v>0.5</v>
      </c>
      <c r="D5" s="3" t="s">
        <v>12</v>
      </c>
      <c r="E5" s="4" t="s">
        <v>108</v>
      </c>
      <c r="F5" s="2" t="s">
        <v>27</v>
      </c>
      <c r="G5" s="2">
        <v>430</v>
      </c>
      <c r="H5" s="5">
        <v>1500</v>
      </c>
      <c r="I5" s="6">
        <f>785+720</f>
        <v>1505</v>
      </c>
      <c r="J5" s="5">
        <f t="shared" ref="J5:J13" si="0">H5-I5</f>
        <v>-5</v>
      </c>
    </row>
    <row r="6" spans="1:10" ht="19.95" customHeight="1" x14ac:dyDescent="0.3">
      <c r="A6" s="2">
        <v>225066</v>
      </c>
      <c r="B6" s="2">
        <v>430</v>
      </c>
      <c r="C6" s="3">
        <v>0.5</v>
      </c>
      <c r="D6" s="3" t="s">
        <v>12</v>
      </c>
      <c r="E6" s="4" t="s">
        <v>109</v>
      </c>
      <c r="F6" s="2" t="s">
        <v>27</v>
      </c>
      <c r="G6" s="2">
        <v>430</v>
      </c>
      <c r="H6" s="5">
        <v>1500</v>
      </c>
      <c r="I6" s="6">
        <v>1505</v>
      </c>
      <c r="J6" s="5">
        <f t="shared" si="0"/>
        <v>-5</v>
      </c>
    </row>
    <row r="7" spans="1:10" ht="19.95" customHeight="1" x14ac:dyDescent="0.3">
      <c r="A7" s="2">
        <v>270825</v>
      </c>
      <c r="B7" s="2">
        <v>430</v>
      </c>
      <c r="C7" s="3">
        <v>0.5</v>
      </c>
      <c r="D7" s="3" t="s">
        <v>12</v>
      </c>
      <c r="E7" s="4" t="s">
        <v>110</v>
      </c>
      <c r="F7" s="2" t="s">
        <v>27</v>
      </c>
      <c r="G7" s="2">
        <v>430</v>
      </c>
      <c r="H7" s="5">
        <v>2000</v>
      </c>
      <c r="I7" s="6">
        <f>1025+960</f>
        <v>1985</v>
      </c>
      <c r="J7" s="5">
        <f t="shared" si="0"/>
        <v>15</v>
      </c>
    </row>
    <row r="8" spans="1:10" ht="19.95" customHeight="1" x14ac:dyDescent="0.3">
      <c r="A8" s="2"/>
      <c r="B8" s="2"/>
      <c r="C8" s="3"/>
      <c r="D8" s="3"/>
      <c r="E8" s="4"/>
      <c r="F8" s="2"/>
      <c r="G8" s="2"/>
      <c r="H8" s="5"/>
      <c r="I8" s="6"/>
      <c r="J8" s="5"/>
    </row>
    <row r="9" spans="1:10" ht="19.95" customHeight="1" x14ac:dyDescent="0.3">
      <c r="A9" s="2">
        <v>225065</v>
      </c>
      <c r="B9" s="2">
        <v>430</v>
      </c>
      <c r="C9" s="3">
        <v>0.5</v>
      </c>
      <c r="D9" s="3" t="s">
        <v>12</v>
      </c>
      <c r="E9" s="4" t="s">
        <v>111</v>
      </c>
      <c r="F9" s="2" t="s">
        <v>27</v>
      </c>
      <c r="G9" s="2">
        <v>430</v>
      </c>
      <c r="H9" s="5">
        <v>1500</v>
      </c>
      <c r="I9" s="6">
        <v>1500</v>
      </c>
      <c r="J9" s="5">
        <f t="shared" si="0"/>
        <v>0</v>
      </c>
    </row>
    <row r="10" spans="1:10" ht="19.95" customHeight="1" x14ac:dyDescent="0.3">
      <c r="A10" s="2">
        <v>225066</v>
      </c>
      <c r="B10" s="2">
        <v>430</v>
      </c>
      <c r="C10" s="3">
        <v>0.5</v>
      </c>
      <c r="D10" s="3" t="s">
        <v>12</v>
      </c>
      <c r="E10" s="4" t="s">
        <v>112</v>
      </c>
      <c r="F10" s="2" t="s">
        <v>27</v>
      </c>
      <c r="G10" s="2">
        <v>430</v>
      </c>
      <c r="H10" s="5">
        <v>1500</v>
      </c>
      <c r="I10" s="6">
        <v>800</v>
      </c>
      <c r="J10" s="5">
        <f t="shared" si="0"/>
        <v>700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5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5">
        <f t="shared" si="0"/>
        <v>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5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8000</v>
      </c>
      <c r="I14" s="19">
        <f>SUM(I5:I13)</f>
        <v>7295</v>
      </c>
      <c r="J14" s="5">
        <f>SUM(J5:J13)</f>
        <v>705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2" t="s">
        <v>65</v>
      </c>
      <c r="B17" s="2" t="s">
        <v>66</v>
      </c>
      <c r="C17" s="18" t="s">
        <v>67</v>
      </c>
      <c r="D17" s="18" t="s">
        <v>68</v>
      </c>
      <c r="E17" s="2" t="s">
        <v>69</v>
      </c>
      <c r="F17" s="18" t="s">
        <v>70</v>
      </c>
      <c r="G17" s="18" t="s">
        <v>71</v>
      </c>
      <c r="H17" s="2" t="s">
        <v>72</v>
      </c>
      <c r="I17" s="2" t="s">
        <v>73</v>
      </c>
      <c r="J17" s="2" t="s">
        <v>74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103</v>
      </c>
      <c r="F18" s="2" t="s">
        <v>28</v>
      </c>
      <c r="G18" s="2">
        <v>430</v>
      </c>
      <c r="H18" s="5">
        <v>150</v>
      </c>
      <c r="I18" s="6"/>
      <c r="J18" s="5">
        <f t="shared" ref="J18:J25" si="1">H18-I18</f>
        <v>150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102</v>
      </c>
      <c r="F19" s="2" t="s">
        <v>28</v>
      </c>
      <c r="G19" s="2">
        <v>430</v>
      </c>
      <c r="H19" s="5">
        <v>200</v>
      </c>
      <c r="I19" s="6"/>
      <c r="J19" s="5">
        <f t="shared" si="1"/>
        <v>200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101</v>
      </c>
      <c r="F20" s="2" t="s">
        <v>28</v>
      </c>
      <c r="G20" s="2">
        <v>430</v>
      </c>
      <c r="H20" s="5">
        <v>300</v>
      </c>
      <c r="I20" s="6"/>
      <c r="J20" s="5">
        <f t="shared" si="1"/>
        <v>300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100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99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98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>
        <v>250062</v>
      </c>
      <c r="B24" s="2">
        <v>304</v>
      </c>
      <c r="C24" s="3">
        <v>0.6</v>
      </c>
      <c r="D24" s="3" t="s">
        <v>12</v>
      </c>
      <c r="E24" s="4" t="s">
        <v>97</v>
      </c>
      <c r="F24" s="2" t="s">
        <v>28</v>
      </c>
      <c r="G24" s="2">
        <v>430</v>
      </c>
      <c r="H24" s="5">
        <v>300</v>
      </c>
      <c r="I24" s="6"/>
      <c r="J24" s="5">
        <f t="shared" si="1"/>
        <v>300</v>
      </c>
    </row>
    <row r="25" spans="1:10" ht="19.95" customHeight="1" x14ac:dyDescent="0.3">
      <c r="A25" s="2"/>
      <c r="B25" s="2"/>
      <c r="C25" s="3"/>
      <c r="D25" s="3"/>
      <c r="E25" s="4"/>
      <c r="F25" s="2"/>
      <c r="G25" s="2"/>
      <c r="H25" s="5"/>
      <c r="I25" s="6"/>
      <c r="J25" s="5">
        <f t="shared" si="1"/>
        <v>0</v>
      </c>
    </row>
    <row r="26" spans="1:10" ht="19.95" customHeight="1" x14ac:dyDescent="0.3">
      <c r="A26" s="14"/>
      <c r="B26" s="14"/>
      <c r="C26" s="14"/>
      <c r="D26" s="14"/>
      <c r="E26" s="15"/>
      <c r="F26" s="14"/>
      <c r="G26" s="16"/>
      <c r="H26" s="5">
        <f>SUM(H18:H25)</f>
        <v>1850</v>
      </c>
      <c r="I26" s="6">
        <f>SUM(I18:I25)</f>
        <v>0</v>
      </c>
      <c r="J26" s="5">
        <f>SUM(J18:J25)</f>
        <v>1850</v>
      </c>
    </row>
    <row r="28" spans="1:10" ht="23.4" x14ac:dyDescent="0.3">
      <c r="A28" s="180" t="s">
        <v>62</v>
      </c>
      <c r="B28" s="180"/>
      <c r="C28" s="180"/>
      <c r="D28" s="180"/>
      <c r="E28" s="180"/>
      <c r="F28" s="180"/>
      <c r="G28" s="180"/>
      <c r="H28" s="180"/>
      <c r="I28" s="180"/>
      <c r="J28" s="180"/>
    </row>
  </sheetData>
  <mergeCells count="5">
    <mergeCell ref="I1:J1"/>
    <mergeCell ref="A2:J2"/>
    <mergeCell ref="A3:J3"/>
    <mergeCell ref="A16:J16"/>
    <mergeCell ref="A28:J2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J37"/>
  <sheetViews>
    <sheetView zoomScale="70" zoomScaleNormal="70" workbookViewId="0">
      <selection activeCell="I21" sqref="I2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45925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2" t="s">
        <v>65</v>
      </c>
      <c r="B4" s="2" t="s">
        <v>66</v>
      </c>
      <c r="C4" s="18" t="s">
        <v>67</v>
      </c>
      <c r="D4" s="18" t="s">
        <v>68</v>
      </c>
      <c r="E4" s="2" t="s">
        <v>69</v>
      </c>
      <c r="F4" s="18" t="s">
        <v>70</v>
      </c>
      <c r="G4" s="18" t="s">
        <v>71</v>
      </c>
      <c r="H4" s="2" t="s">
        <v>72</v>
      </c>
      <c r="I4" s="2" t="s">
        <v>73</v>
      </c>
      <c r="J4" s="2" t="s">
        <v>74</v>
      </c>
    </row>
    <row r="5" spans="1:10" ht="19.95" customHeight="1" x14ac:dyDescent="0.3">
      <c r="A5" s="2">
        <v>225066</v>
      </c>
      <c r="B5" s="2">
        <v>430</v>
      </c>
      <c r="C5" s="3">
        <v>0.5</v>
      </c>
      <c r="D5" s="3" t="s">
        <v>12</v>
      </c>
      <c r="E5" s="4" t="s">
        <v>112</v>
      </c>
      <c r="F5" s="2" t="s">
        <v>27</v>
      </c>
      <c r="G5" s="2">
        <v>430</v>
      </c>
      <c r="H5" s="5">
        <v>1500</v>
      </c>
      <c r="I5" s="6">
        <f>800+785</f>
        <v>1585</v>
      </c>
      <c r="J5" s="5">
        <f t="shared" ref="J5:J13" si="0">H5-I5</f>
        <v>-85</v>
      </c>
    </row>
    <row r="6" spans="1:10" ht="19.95" customHeight="1" x14ac:dyDescent="0.3">
      <c r="A6" s="27">
        <v>250069</v>
      </c>
      <c r="B6" s="27">
        <v>304</v>
      </c>
      <c r="C6" s="30">
        <v>0.6</v>
      </c>
      <c r="D6" s="30" t="s">
        <v>21</v>
      </c>
      <c r="E6" s="29" t="s">
        <v>114</v>
      </c>
      <c r="F6" s="29" t="s">
        <v>113</v>
      </c>
      <c r="G6" s="27">
        <v>430</v>
      </c>
      <c r="H6" s="28">
        <v>1650</v>
      </c>
      <c r="I6" s="6"/>
      <c r="J6" s="5">
        <f t="shared" si="0"/>
        <v>1650</v>
      </c>
    </row>
    <row r="7" spans="1:10" ht="19.95" customHeight="1" x14ac:dyDescent="0.3">
      <c r="A7" s="31">
        <v>250068</v>
      </c>
      <c r="B7" s="31">
        <v>304</v>
      </c>
      <c r="C7" s="34">
        <v>0.6</v>
      </c>
      <c r="D7" s="34" t="s">
        <v>21</v>
      </c>
      <c r="E7" s="33" t="s">
        <v>115</v>
      </c>
      <c r="F7" s="33" t="s">
        <v>113</v>
      </c>
      <c r="G7" s="31">
        <v>430</v>
      </c>
      <c r="H7" s="32">
        <v>450</v>
      </c>
      <c r="I7" s="6"/>
      <c r="J7" s="5">
        <f t="shared" si="0"/>
        <v>450</v>
      </c>
    </row>
    <row r="8" spans="1:10" ht="19.95" customHeight="1" x14ac:dyDescent="0.3">
      <c r="A8" s="2"/>
      <c r="B8" s="2"/>
      <c r="C8" s="3"/>
      <c r="D8" s="3"/>
      <c r="E8" s="4"/>
      <c r="F8" s="2"/>
      <c r="G8" s="2"/>
      <c r="H8" s="5"/>
      <c r="I8" s="6"/>
      <c r="J8" s="32">
        <f t="shared" si="0"/>
        <v>0</v>
      </c>
    </row>
    <row r="9" spans="1:10" ht="19.95" customHeight="1" x14ac:dyDescent="0.3">
      <c r="A9" s="2"/>
      <c r="B9" s="2"/>
      <c r="C9" s="3"/>
      <c r="D9" s="3"/>
      <c r="E9" s="4"/>
      <c r="F9" s="2"/>
      <c r="G9" s="2"/>
      <c r="H9" s="5"/>
      <c r="I9" s="6"/>
      <c r="J9" s="32">
        <f t="shared" si="0"/>
        <v>0</v>
      </c>
    </row>
    <row r="10" spans="1:10" ht="19.95" customHeight="1" x14ac:dyDescent="0.3">
      <c r="A10" s="2"/>
      <c r="B10" s="2"/>
      <c r="C10" s="3"/>
      <c r="D10" s="3"/>
      <c r="E10" s="4"/>
      <c r="F10" s="2"/>
      <c r="G10" s="2"/>
      <c r="H10" s="5"/>
      <c r="I10" s="6"/>
      <c r="J10" s="32">
        <f t="shared" si="0"/>
        <v>0</v>
      </c>
    </row>
    <row r="11" spans="1:10" ht="19.95" customHeight="1" x14ac:dyDescent="0.3">
      <c r="A11" s="2"/>
      <c r="B11" s="2"/>
      <c r="C11" s="3"/>
      <c r="D11" s="3"/>
      <c r="E11" s="4"/>
      <c r="F11" s="2"/>
      <c r="G11" s="2"/>
      <c r="H11" s="5"/>
      <c r="I11" s="6"/>
      <c r="J11" s="32">
        <f t="shared" si="0"/>
        <v>0</v>
      </c>
    </row>
    <row r="12" spans="1:10" ht="19.95" customHeight="1" x14ac:dyDescent="0.3">
      <c r="A12" s="2"/>
      <c r="B12" s="2"/>
      <c r="C12" s="3"/>
      <c r="D12" s="3"/>
      <c r="E12" s="4"/>
      <c r="F12" s="2"/>
      <c r="G12" s="2"/>
      <c r="H12" s="5"/>
      <c r="I12" s="6"/>
      <c r="J12" s="32">
        <f t="shared" si="0"/>
        <v>0</v>
      </c>
    </row>
    <row r="13" spans="1:10" ht="19.95" customHeight="1" x14ac:dyDescent="0.3">
      <c r="A13" s="2"/>
      <c r="B13" s="2"/>
      <c r="C13" s="3"/>
      <c r="D13" s="3"/>
      <c r="E13" s="4"/>
      <c r="F13" s="2"/>
      <c r="G13" s="2"/>
      <c r="H13" s="5"/>
      <c r="I13" s="6"/>
      <c r="J13" s="32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3600</v>
      </c>
      <c r="I14" s="19">
        <f>SUM(I5:I13)</f>
        <v>1585</v>
      </c>
      <c r="J14" s="5">
        <f>SUM(J5:J13)</f>
        <v>2015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2" t="s">
        <v>65</v>
      </c>
      <c r="B17" s="2" t="s">
        <v>66</v>
      </c>
      <c r="C17" s="18" t="s">
        <v>67</v>
      </c>
      <c r="D17" s="18" t="s">
        <v>68</v>
      </c>
      <c r="E17" s="2" t="s">
        <v>69</v>
      </c>
      <c r="F17" s="18" t="s">
        <v>70</v>
      </c>
      <c r="G17" s="18" t="s">
        <v>71</v>
      </c>
      <c r="H17" s="2" t="s">
        <v>72</v>
      </c>
      <c r="I17" s="2" t="s">
        <v>73</v>
      </c>
      <c r="J17" s="2" t="s">
        <v>74</v>
      </c>
    </row>
    <row r="18" spans="1:10" ht="19.95" customHeight="1" x14ac:dyDescent="0.3">
      <c r="A18" s="2">
        <v>250062</v>
      </c>
      <c r="B18" s="2">
        <v>304</v>
      </c>
      <c r="C18" s="3">
        <v>0.6</v>
      </c>
      <c r="D18" s="3" t="s">
        <v>12</v>
      </c>
      <c r="E18" s="4" t="s">
        <v>103</v>
      </c>
      <c r="F18" s="2" t="s">
        <v>28</v>
      </c>
      <c r="G18" s="2">
        <v>430</v>
      </c>
      <c r="H18" s="5">
        <v>150</v>
      </c>
      <c r="I18" s="6">
        <v>160</v>
      </c>
      <c r="J18" s="5">
        <f t="shared" ref="J18:J34" si="1">H18-I18</f>
        <v>-10</v>
      </c>
    </row>
    <row r="19" spans="1:10" ht="19.95" customHeight="1" x14ac:dyDescent="0.3">
      <c r="A19" s="2">
        <v>250062</v>
      </c>
      <c r="B19" s="2">
        <v>304</v>
      </c>
      <c r="C19" s="3">
        <v>0.6</v>
      </c>
      <c r="D19" s="3" t="s">
        <v>12</v>
      </c>
      <c r="E19" s="4" t="s">
        <v>102</v>
      </c>
      <c r="F19" s="2" t="s">
        <v>28</v>
      </c>
      <c r="G19" s="2">
        <v>430</v>
      </c>
      <c r="H19" s="5">
        <v>200</v>
      </c>
      <c r="I19" s="6">
        <v>330</v>
      </c>
      <c r="J19" s="5">
        <f t="shared" si="1"/>
        <v>-130</v>
      </c>
    </row>
    <row r="20" spans="1:10" ht="19.95" customHeight="1" x14ac:dyDescent="0.3">
      <c r="A20" s="2">
        <v>250062</v>
      </c>
      <c r="B20" s="2">
        <v>304</v>
      </c>
      <c r="C20" s="3">
        <v>0.6</v>
      </c>
      <c r="D20" s="3" t="s">
        <v>12</v>
      </c>
      <c r="E20" s="4" t="s">
        <v>101</v>
      </c>
      <c r="F20" s="2" t="s">
        <v>28</v>
      </c>
      <c r="G20" s="2">
        <v>430</v>
      </c>
      <c r="H20" s="5">
        <v>300</v>
      </c>
      <c r="I20" s="6">
        <v>310</v>
      </c>
      <c r="J20" s="5">
        <f t="shared" si="1"/>
        <v>-10</v>
      </c>
    </row>
    <row r="21" spans="1:10" ht="19.95" customHeight="1" x14ac:dyDescent="0.3">
      <c r="A21" s="2">
        <v>250062</v>
      </c>
      <c r="B21" s="2">
        <v>304</v>
      </c>
      <c r="C21" s="3">
        <v>0.6</v>
      </c>
      <c r="D21" s="3" t="s">
        <v>12</v>
      </c>
      <c r="E21" s="4" t="s">
        <v>100</v>
      </c>
      <c r="F21" s="2" t="s">
        <v>28</v>
      </c>
      <c r="G21" s="2">
        <v>430</v>
      </c>
      <c r="H21" s="5">
        <v>300</v>
      </c>
      <c r="I21" s="6"/>
      <c r="J21" s="5">
        <f t="shared" si="1"/>
        <v>300</v>
      </c>
    </row>
    <row r="22" spans="1:10" ht="19.95" customHeight="1" x14ac:dyDescent="0.3">
      <c r="A22" s="2">
        <v>250062</v>
      </c>
      <c r="B22" s="2">
        <v>304</v>
      </c>
      <c r="C22" s="3">
        <v>0.6</v>
      </c>
      <c r="D22" s="3" t="s">
        <v>12</v>
      </c>
      <c r="E22" s="4" t="s">
        <v>99</v>
      </c>
      <c r="F22" s="2" t="s">
        <v>28</v>
      </c>
      <c r="G22" s="2">
        <v>430</v>
      </c>
      <c r="H22" s="5">
        <v>300</v>
      </c>
      <c r="I22" s="6"/>
      <c r="J22" s="5">
        <f t="shared" si="1"/>
        <v>300</v>
      </c>
    </row>
    <row r="23" spans="1:10" ht="19.95" customHeight="1" x14ac:dyDescent="0.3">
      <c r="A23" s="2">
        <v>250062</v>
      </c>
      <c r="B23" s="2">
        <v>304</v>
      </c>
      <c r="C23" s="3">
        <v>0.6</v>
      </c>
      <c r="D23" s="3" t="s">
        <v>12</v>
      </c>
      <c r="E23" s="4" t="s">
        <v>98</v>
      </c>
      <c r="F23" s="2" t="s">
        <v>28</v>
      </c>
      <c r="G23" s="2">
        <v>430</v>
      </c>
      <c r="H23" s="5">
        <v>300</v>
      </c>
      <c r="I23" s="6"/>
      <c r="J23" s="5">
        <f t="shared" si="1"/>
        <v>300</v>
      </c>
    </row>
    <row r="24" spans="1:10" ht="19.95" customHeight="1" x14ac:dyDescent="0.3">
      <c r="A24" s="2">
        <v>250062</v>
      </c>
      <c r="B24" s="2">
        <v>304</v>
      </c>
      <c r="C24" s="3">
        <v>0.6</v>
      </c>
      <c r="D24" s="3" t="s">
        <v>12</v>
      </c>
      <c r="E24" s="4" t="s">
        <v>97</v>
      </c>
      <c r="F24" s="2" t="s">
        <v>28</v>
      </c>
      <c r="G24" s="2">
        <v>430</v>
      </c>
      <c r="H24" s="5">
        <v>300</v>
      </c>
      <c r="I24" s="6"/>
      <c r="J24" s="5">
        <f t="shared" si="1"/>
        <v>300</v>
      </c>
    </row>
    <row r="25" spans="1:10" ht="19.95" customHeight="1" x14ac:dyDescent="0.3">
      <c r="A25" s="31"/>
      <c r="B25" s="31"/>
      <c r="C25" s="34"/>
      <c r="D25" s="34"/>
      <c r="E25" s="33"/>
      <c r="F25" s="31"/>
      <c r="G25" s="31"/>
      <c r="H25" s="32"/>
      <c r="I25" s="6"/>
      <c r="J25" s="32">
        <f t="shared" si="1"/>
        <v>0</v>
      </c>
    </row>
    <row r="26" spans="1:10" ht="19.95" customHeight="1" x14ac:dyDescent="0.3">
      <c r="A26" s="31">
        <v>250041</v>
      </c>
      <c r="B26" s="31">
        <v>304</v>
      </c>
      <c r="C26" s="34">
        <v>0.7</v>
      </c>
      <c r="D26" s="34" t="s">
        <v>21</v>
      </c>
      <c r="E26" s="33" t="s">
        <v>117</v>
      </c>
      <c r="F26" s="33" t="s">
        <v>116</v>
      </c>
      <c r="G26" s="31">
        <v>304</v>
      </c>
      <c r="H26" s="32">
        <v>500</v>
      </c>
      <c r="I26" s="6"/>
      <c r="J26" s="32">
        <f t="shared" si="1"/>
        <v>500</v>
      </c>
    </row>
    <row r="27" spans="1:10" ht="19.95" customHeight="1" x14ac:dyDescent="0.3">
      <c r="A27" s="31">
        <v>250041</v>
      </c>
      <c r="B27" s="31">
        <v>304</v>
      </c>
      <c r="C27" s="34">
        <v>0.7</v>
      </c>
      <c r="D27" s="34" t="s">
        <v>21</v>
      </c>
      <c r="E27" s="33" t="s">
        <v>118</v>
      </c>
      <c r="F27" s="33" t="s">
        <v>116</v>
      </c>
      <c r="G27" s="31">
        <v>304</v>
      </c>
      <c r="H27" s="32">
        <v>500</v>
      </c>
      <c r="I27" s="6"/>
      <c r="J27" s="32">
        <f t="shared" si="1"/>
        <v>500</v>
      </c>
    </row>
    <row r="28" spans="1:10" ht="19.95" customHeight="1" x14ac:dyDescent="0.3">
      <c r="A28" s="31">
        <v>250041</v>
      </c>
      <c r="B28" s="31">
        <v>304</v>
      </c>
      <c r="C28" s="34">
        <v>0.7</v>
      </c>
      <c r="D28" s="34" t="s">
        <v>21</v>
      </c>
      <c r="E28" s="33" t="s">
        <v>119</v>
      </c>
      <c r="F28" s="33" t="s">
        <v>116</v>
      </c>
      <c r="G28" s="31">
        <v>304</v>
      </c>
      <c r="H28" s="32">
        <v>500</v>
      </c>
      <c r="I28" s="6"/>
      <c r="J28" s="32">
        <f t="shared" si="1"/>
        <v>500</v>
      </c>
    </row>
    <row r="29" spans="1:10" ht="19.95" customHeight="1" x14ac:dyDescent="0.3">
      <c r="A29" s="31">
        <v>250041</v>
      </c>
      <c r="B29" s="31">
        <v>304</v>
      </c>
      <c r="C29" s="34">
        <v>0.7</v>
      </c>
      <c r="D29" s="34" t="s">
        <v>21</v>
      </c>
      <c r="E29" s="33" t="s">
        <v>120</v>
      </c>
      <c r="F29" s="33" t="s">
        <v>116</v>
      </c>
      <c r="G29" s="31">
        <v>304</v>
      </c>
      <c r="H29" s="32">
        <v>500</v>
      </c>
      <c r="I29" s="6"/>
      <c r="J29" s="32">
        <f t="shared" si="1"/>
        <v>500</v>
      </c>
    </row>
    <row r="30" spans="1:10" ht="19.95" customHeight="1" x14ac:dyDescent="0.3">
      <c r="A30" s="31"/>
      <c r="B30" s="31"/>
      <c r="C30" s="34"/>
      <c r="D30" s="34"/>
      <c r="E30" s="33"/>
      <c r="F30" s="31"/>
      <c r="G30" s="31"/>
      <c r="H30" s="32"/>
      <c r="I30" s="6"/>
      <c r="J30" s="32">
        <f t="shared" si="1"/>
        <v>0</v>
      </c>
    </row>
    <row r="31" spans="1:10" ht="19.95" customHeight="1" x14ac:dyDescent="0.3">
      <c r="A31" s="31"/>
      <c r="B31" s="31"/>
      <c r="C31" s="34"/>
      <c r="D31" s="34"/>
      <c r="E31" s="33"/>
      <c r="F31" s="31"/>
      <c r="G31" s="31"/>
      <c r="H31" s="32"/>
      <c r="I31" s="6"/>
      <c r="J31" s="32">
        <f t="shared" si="1"/>
        <v>0</v>
      </c>
    </row>
    <row r="32" spans="1:10" ht="19.95" customHeight="1" x14ac:dyDescent="0.3">
      <c r="A32" s="31"/>
      <c r="B32" s="31"/>
      <c r="C32" s="34"/>
      <c r="D32" s="34"/>
      <c r="E32" s="33"/>
      <c r="F32" s="31"/>
      <c r="G32" s="31"/>
      <c r="H32" s="32"/>
      <c r="I32" s="6"/>
      <c r="J32" s="32">
        <f t="shared" si="1"/>
        <v>0</v>
      </c>
    </row>
    <row r="33" spans="1:10" ht="19.95" customHeight="1" x14ac:dyDescent="0.3">
      <c r="A33" s="31"/>
      <c r="B33" s="31"/>
      <c r="C33" s="34"/>
      <c r="D33" s="34"/>
      <c r="E33" s="33"/>
      <c r="F33" s="31"/>
      <c r="G33" s="31"/>
      <c r="H33" s="32"/>
      <c r="I33" s="6"/>
      <c r="J33" s="32">
        <f t="shared" si="1"/>
        <v>0</v>
      </c>
    </row>
    <row r="34" spans="1:10" ht="19.95" customHeight="1" x14ac:dyDescent="0.3">
      <c r="A34" s="2"/>
      <c r="B34" s="2"/>
      <c r="C34" s="3"/>
      <c r="D34" s="3"/>
      <c r="E34" s="4"/>
      <c r="F34" s="2"/>
      <c r="G34" s="2"/>
      <c r="H34" s="5"/>
      <c r="I34" s="6"/>
      <c r="J34" s="32">
        <f t="shared" si="1"/>
        <v>0</v>
      </c>
    </row>
    <row r="35" spans="1:10" ht="19.95" customHeight="1" x14ac:dyDescent="0.3">
      <c r="A35" s="14"/>
      <c r="B35" s="14"/>
      <c r="C35" s="14"/>
      <c r="D35" s="14"/>
      <c r="E35" s="15"/>
      <c r="F35" s="14"/>
      <c r="G35" s="16"/>
      <c r="H35" s="5">
        <f>SUM(H18:H34)</f>
        <v>3850</v>
      </c>
      <c r="I35" s="6">
        <f>SUM(I18:I34)</f>
        <v>800</v>
      </c>
      <c r="J35" s="5">
        <f>SUM(J18:J34)</f>
        <v>3050</v>
      </c>
    </row>
    <row r="37" spans="1:10" ht="23.4" x14ac:dyDescent="0.3">
      <c r="A37" s="180" t="s">
        <v>62</v>
      </c>
      <c r="B37" s="180"/>
      <c r="C37" s="180"/>
      <c r="D37" s="180"/>
      <c r="E37" s="180"/>
      <c r="F37" s="180"/>
      <c r="G37" s="180"/>
      <c r="H37" s="180"/>
      <c r="I37" s="180"/>
      <c r="J37" s="180"/>
    </row>
  </sheetData>
  <mergeCells count="5">
    <mergeCell ref="I1:J1"/>
    <mergeCell ref="A2:J2"/>
    <mergeCell ref="A3:J3"/>
    <mergeCell ref="A16:J16"/>
    <mergeCell ref="A37:J3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0"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J37"/>
  <sheetViews>
    <sheetView topLeftCell="A4" zoomScale="70" zoomScaleNormal="70" workbookViewId="0">
      <selection activeCell="I18" sqref="I1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45926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1" t="s">
        <v>65</v>
      </c>
      <c r="B4" s="31" t="s">
        <v>66</v>
      </c>
      <c r="C4" s="18" t="s">
        <v>67</v>
      </c>
      <c r="D4" s="18" t="s">
        <v>68</v>
      </c>
      <c r="E4" s="31" t="s">
        <v>69</v>
      </c>
      <c r="F4" s="18" t="s">
        <v>70</v>
      </c>
      <c r="G4" s="18" t="s">
        <v>71</v>
      </c>
      <c r="H4" s="31" t="s">
        <v>72</v>
      </c>
      <c r="I4" s="31" t="s">
        <v>73</v>
      </c>
      <c r="J4" s="31" t="s">
        <v>74</v>
      </c>
    </row>
    <row r="5" spans="1:10" ht="19.95" customHeight="1" x14ac:dyDescent="0.3">
      <c r="A5" s="31">
        <v>250069</v>
      </c>
      <c r="B5" s="31">
        <v>304</v>
      </c>
      <c r="C5" s="34">
        <v>0.6</v>
      </c>
      <c r="D5" s="34" t="s">
        <v>21</v>
      </c>
      <c r="E5" s="33" t="s">
        <v>114</v>
      </c>
      <c r="F5" s="33" t="s">
        <v>113</v>
      </c>
      <c r="G5" s="31">
        <v>430</v>
      </c>
      <c r="H5" s="32">
        <v>1650</v>
      </c>
      <c r="I5" s="6"/>
      <c r="J5" s="32">
        <f t="shared" ref="J5:J13" si="0">H5-I5</f>
        <v>1650</v>
      </c>
    </row>
    <row r="6" spans="1:10" ht="19.95" customHeight="1" x14ac:dyDescent="0.3">
      <c r="A6" s="31">
        <v>250068</v>
      </c>
      <c r="B6" s="31">
        <v>304</v>
      </c>
      <c r="C6" s="34">
        <v>0.6</v>
      </c>
      <c r="D6" s="34" t="s">
        <v>21</v>
      </c>
      <c r="E6" s="33" t="s">
        <v>115</v>
      </c>
      <c r="F6" s="33" t="s">
        <v>113</v>
      </c>
      <c r="G6" s="31">
        <v>430</v>
      </c>
      <c r="H6" s="32">
        <v>450</v>
      </c>
      <c r="I6" s="6"/>
      <c r="J6" s="32">
        <f t="shared" si="0"/>
        <v>450</v>
      </c>
    </row>
    <row r="7" spans="1:10" ht="19.95" customHeight="1" x14ac:dyDescent="0.3">
      <c r="A7" s="31"/>
      <c r="B7" s="31"/>
      <c r="C7" s="34"/>
      <c r="D7" s="34"/>
      <c r="E7" s="33"/>
      <c r="F7" s="33"/>
      <c r="G7" s="31"/>
      <c r="H7" s="32"/>
      <c r="I7" s="6"/>
      <c r="J7" s="32">
        <f t="shared" si="0"/>
        <v>0</v>
      </c>
    </row>
    <row r="8" spans="1:10" ht="19.95" customHeight="1" x14ac:dyDescent="0.3">
      <c r="A8" s="31"/>
      <c r="B8" s="31"/>
      <c r="C8" s="34"/>
      <c r="D8" s="34"/>
      <c r="E8" s="33"/>
      <c r="F8" s="31"/>
      <c r="G8" s="31"/>
      <c r="H8" s="32"/>
      <c r="I8" s="6"/>
      <c r="J8" s="32">
        <f t="shared" si="0"/>
        <v>0</v>
      </c>
    </row>
    <row r="9" spans="1:10" ht="19.95" customHeight="1" x14ac:dyDescent="0.3">
      <c r="A9" s="31"/>
      <c r="B9" s="31"/>
      <c r="C9" s="34"/>
      <c r="D9" s="34"/>
      <c r="E9" s="33"/>
      <c r="F9" s="31"/>
      <c r="G9" s="31"/>
      <c r="H9" s="32"/>
      <c r="I9" s="6"/>
      <c r="J9" s="32">
        <f t="shared" si="0"/>
        <v>0</v>
      </c>
    </row>
    <row r="10" spans="1:10" ht="19.95" customHeight="1" x14ac:dyDescent="0.3">
      <c r="A10" s="31"/>
      <c r="B10" s="31"/>
      <c r="C10" s="34"/>
      <c r="D10" s="34"/>
      <c r="E10" s="33"/>
      <c r="F10" s="31"/>
      <c r="G10" s="31"/>
      <c r="H10" s="32"/>
      <c r="I10" s="6"/>
      <c r="J10" s="32">
        <f t="shared" si="0"/>
        <v>0</v>
      </c>
    </row>
    <row r="11" spans="1:10" ht="19.95" customHeight="1" x14ac:dyDescent="0.3">
      <c r="A11" s="31"/>
      <c r="B11" s="31"/>
      <c r="C11" s="34"/>
      <c r="D11" s="34"/>
      <c r="E11" s="33"/>
      <c r="F11" s="31"/>
      <c r="G11" s="31"/>
      <c r="H11" s="32"/>
      <c r="I11" s="6"/>
      <c r="J11" s="32">
        <f t="shared" si="0"/>
        <v>0</v>
      </c>
    </row>
    <row r="12" spans="1:10" ht="19.95" customHeight="1" x14ac:dyDescent="0.3">
      <c r="A12" s="31"/>
      <c r="B12" s="31"/>
      <c r="C12" s="34"/>
      <c r="D12" s="34"/>
      <c r="E12" s="33"/>
      <c r="F12" s="31"/>
      <c r="G12" s="31"/>
      <c r="H12" s="32"/>
      <c r="I12" s="6"/>
      <c r="J12" s="32">
        <f t="shared" si="0"/>
        <v>0</v>
      </c>
    </row>
    <row r="13" spans="1:10" ht="19.95" customHeight="1" x14ac:dyDescent="0.3">
      <c r="A13" s="31"/>
      <c r="B13" s="31"/>
      <c r="C13" s="34"/>
      <c r="D13" s="34"/>
      <c r="E13" s="33"/>
      <c r="F13" s="31"/>
      <c r="G13" s="31"/>
      <c r="H13" s="32"/>
      <c r="I13" s="6"/>
      <c r="J13" s="32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2100</v>
      </c>
      <c r="I14" s="19">
        <f>SUM(I5:I13)</f>
        <v>0</v>
      </c>
      <c r="J14" s="32">
        <f>SUM(J5:J13)</f>
        <v>2100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31" t="s">
        <v>65</v>
      </c>
      <c r="B17" s="31" t="s">
        <v>66</v>
      </c>
      <c r="C17" s="18" t="s">
        <v>67</v>
      </c>
      <c r="D17" s="18" t="s">
        <v>68</v>
      </c>
      <c r="E17" s="31" t="s">
        <v>69</v>
      </c>
      <c r="F17" s="18" t="s">
        <v>70</v>
      </c>
      <c r="G17" s="18" t="s">
        <v>71</v>
      </c>
      <c r="H17" s="31" t="s">
        <v>72</v>
      </c>
      <c r="I17" s="31" t="s">
        <v>73</v>
      </c>
      <c r="J17" s="31" t="s">
        <v>74</v>
      </c>
    </row>
    <row r="18" spans="1:10" ht="19.95" customHeight="1" x14ac:dyDescent="0.3">
      <c r="A18" s="31">
        <v>250062</v>
      </c>
      <c r="B18" s="31">
        <v>304</v>
      </c>
      <c r="C18" s="34">
        <v>0.6</v>
      </c>
      <c r="D18" s="34" t="s">
        <v>12</v>
      </c>
      <c r="E18" s="33" t="s">
        <v>100</v>
      </c>
      <c r="F18" s="31" t="s">
        <v>28</v>
      </c>
      <c r="G18" s="31">
        <v>430</v>
      </c>
      <c r="H18" s="32">
        <v>300</v>
      </c>
      <c r="I18" s="6"/>
      <c r="J18" s="32">
        <f t="shared" ref="J18:J34" si="1">H18-I18</f>
        <v>300</v>
      </c>
    </row>
    <row r="19" spans="1:10" ht="19.95" customHeight="1" x14ac:dyDescent="0.3">
      <c r="A19" s="31">
        <v>250062</v>
      </c>
      <c r="B19" s="31">
        <v>304</v>
      </c>
      <c r="C19" s="34">
        <v>0.6</v>
      </c>
      <c r="D19" s="34" t="s">
        <v>12</v>
      </c>
      <c r="E19" s="33" t="s">
        <v>99</v>
      </c>
      <c r="F19" s="31" t="s">
        <v>28</v>
      </c>
      <c r="G19" s="31">
        <v>430</v>
      </c>
      <c r="H19" s="32">
        <v>300</v>
      </c>
      <c r="I19" s="6"/>
      <c r="J19" s="32">
        <f t="shared" si="1"/>
        <v>300</v>
      </c>
    </row>
    <row r="20" spans="1:10" ht="19.95" customHeight="1" x14ac:dyDescent="0.3">
      <c r="A20" s="31">
        <v>250062</v>
      </c>
      <c r="B20" s="31">
        <v>304</v>
      </c>
      <c r="C20" s="34">
        <v>0.6</v>
      </c>
      <c r="D20" s="34" t="s">
        <v>12</v>
      </c>
      <c r="E20" s="33" t="s">
        <v>98</v>
      </c>
      <c r="F20" s="31" t="s">
        <v>28</v>
      </c>
      <c r="G20" s="31">
        <v>430</v>
      </c>
      <c r="H20" s="32">
        <v>300</v>
      </c>
      <c r="I20" s="6"/>
      <c r="J20" s="32">
        <f t="shared" si="1"/>
        <v>300</v>
      </c>
    </row>
    <row r="21" spans="1:10" ht="19.95" customHeight="1" x14ac:dyDescent="0.3">
      <c r="A21" s="31">
        <v>250062</v>
      </c>
      <c r="B21" s="31">
        <v>304</v>
      </c>
      <c r="C21" s="34">
        <v>0.6</v>
      </c>
      <c r="D21" s="34" t="s">
        <v>12</v>
      </c>
      <c r="E21" s="33" t="s">
        <v>97</v>
      </c>
      <c r="F21" s="31" t="s">
        <v>28</v>
      </c>
      <c r="G21" s="31">
        <v>430</v>
      </c>
      <c r="H21" s="32">
        <v>300</v>
      </c>
      <c r="I21" s="6"/>
      <c r="J21" s="32">
        <f t="shared" si="1"/>
        <v>300</v>
      </c>
    </row>
    <row r="22" spans="1:10" ht="19.95" customHeight="1" x14ac:dyDescent="0.3">
      <c r="A22" s="31"/>
      <c r="B22" s="31"/>
      <c r="C22" s="34"/>
      <c r="D22" s="34"/>
      <c r="E22" s="33"/>
      <c r="F22" s="31"/>
      <c r="G22" s="31"/>
      <c r="H22" s="32"/>
      <c r="I22" s="6"/>
      <c r="J22" s="32">
        <f t="shared" si="1"/>
        <v>0</v>
      </c>
    </row>
    <row r="23" spans="1:10" ht="19.95" customHeight="1" x14ac:dyDescent="0.3">
      <c r="A23" s="31">
        <v>250041</v>
      </c>
      <c r="B23" s="31">
        <v>304</v>
      </c>
      <c r="C23" s="34">
        <v>0.7</v>
      </c>
      <c r="D23" s="34" t="s">
        <v>21</v>
      </c>
      <c r="E23" s="33" t="s">
        <v>117</v>
      </c>
      <c r="F23" s="33" t="s">
        <v>116</v>
      </c>
      <c r="G23" s="31">
        <v>304</v>
      </c>
      <c r="H23" s="32">
        <v>500</v>
      </c>
      <c r="I23" s="6"/>
      <c r="J23" s="32">
        <f t="shared" si="1"/>
        <v>500</v>
      </c>
    </row>
    <row r="24" spans="1:10" ht="19.95" customHeight="1" x14ac:dyDescent="0.3">
      <c r="A24" s="31">
        <v>250041</v>
      </c>
      <c r="B24" s="31">
        <v>304</v>
      </c>
      <c r="C24" s="34">
        <v>0.7</v>
      </c>
      <c r="D24" s="34" t="s">
        <v>21</v>
      </c>
      <c r="E24" s="33" t="s">
        <v>118</v>
      </c>
      <c r="F24" s="33" t="s">
        <v>116</v>
      </c>
      <c r="G24" s="31">
        <v>304</v>
      </c>
      <c r="H24" s="32">
        <v>500</v>
      </c>
      <c r="I24" s="6"/>
      <c r="J24" s="32">
        <f t="shared" si="1"/>
        <v>500</v>
      </c>
    </row>
    <row r="25" spans="1:10" ht="19.95" customHeight="1" x14ac:dyDescent="0.3">
      <c r="A25" s="31">
        <v>250041</v>
      </c>
      <c r="B25" s="31">
        <v>304</v>
      </c>
      <c r="C25" s="34">
        <v>0.7</v>
      </c>
      <c r="D25" s="34" t="s">
        <v>21</v>
      </c>
      <c r="E25" s="33" t="s">
        <v>119</v>
      </c>
      <c r="F25" s="33" t="s">
        <v>116</v>
      </c>
      <c r="G25" s="31">
        <v>304</v>
      </c>
      <c r="H25" s="32">
        <v>500</v>
      </c>
      <c r="I25" s="6"/>
      <c r="J25" s="32">
        <f t="shared" si="1"/>
        <v>500</v>
      </c>
    </row>
    <row r="26" spans="1:10" ht="19.95" customHeight="1" x14ac:dyDescent="0.3">
      <c r="A26" s="31">
        <v>250041</v>
      </c>
      <c r="B26" s="31">
        <v>304</v>
      </c>
      <c r="C26" s="34">
        <v>0.7</v>
      </c>
      <c r="D26" s="34" t="s">
        <v>21</v>
      </c>
      <c r="E26" s="33" t="s">
        <v>120</v>
      </c>
      <c r="F26" s="33" t="s">
        <v>116</v>
      </c>
      <c r="G26" s="31">
        <v>304</v>
      </c>
      <c r="H26" s="32">
        <v>500</v>
      </c>
      <c r="I26" s="6"/>
      <c r="J26" s="32">
        <f t="shared" si="1"/>
        <v>500</v>
      </c>
    </row>
    <row r="27" spans="1:10" ht="19.95" customHeight="1" x14ac:dyDescent="0.3">
      <c r="A27" s="31"/>
      <c r="B27" s="31"/>
      <c r="C27" s="34"/>
      <c r="D27" s="34"/>
      <c r="E27" s="33"/>
      <c r="F27" s="33"/>
      <c r="G27" s="31"/>
      <c r="H27" s="32"/>
      <c r="I27" s="6"/>
      <c r="J27" s="32">
        <f t="shared" si="1"/>
        <v>0</v>
      </c>
    </row>
    <row r="28" spans="1:10" ht="19.95" customHeight="1" x14ac:dyDescent="0.3">
      <c r="A28" s="31"/>
      <c r="B28" s="31"/>
      <c r="C28" s="34"/>
      <c r="D28" s="34"/>
      <c r="E28" s="33"/>
      <c r="F28" s="33"/>
      <c r="G28" s="31"/>
      <c r="H28" s="32"/>
      <c r="I28" s="6"/>
      <c r="J28" s="32">
        <f t="shared" si="1"/>
        <v>0</v>
      </c>
    </row>
    <row r="29" spans="1:10" ht="19.95" customHeight="1" x14ac:dyDescent="0.3">
      <c r="A29" s="31"/>
      <c r="B29" s="31"/>
      <c r="C29" s="34"/>
      <c r="D29" s="34"/>
      <c r="E29" s="33"/>
      <c r="F29" s="33"/>
      <c r="G29" s="31"/>
      <c r="H29" s="32"/>
      <c r="I29" s="6"/>
      <c r="J29" s="32">
        <f t="shared" si="1"/>
        <v>0</v>
      </c>
    </row>
    <row r="30" spans="1:10" ht="19.95" customHeight="1" x14ac:dyDescent="0.3">
      <c r="A30" s="31"/>
      <c r="B30" s="31"/>
      <c r="C30" s="34"/>
      <c r="D30" s="34"/>
      <c r="E30" s="33"/>
      <c r="F30" s="31"/>
      <c r="G30" s="31"/>
      <c r="H30" s="32"/>
      <c r="I30" s="6"/>
      <c r="J30" s="32">
        <f t="shared" si="1"/>
        <v>0</v>
      </c>
    </row>
    <row r="31" spans="1:10" ht="19.95" customHeight="1" x14ac:dyDescent="0.3">
      <c r="A31" s="31"/>
      <c r="B31" s="31"/>
      <c r="C31" s="34"/>
      <c r="D31" s="34"/>
      <c r="E31" s="33"/>
      <c r="F31" s="31"/>
      <c r="G31" s="31"/>
      <c r="H31" s="32"/>
      <c r="I31" s="6"/>
      <c r="J31" s="32">
        <f t="shared" si="1"/>
        <v>0</v>
      </c>
    </row>
    <row r="32" spans="1:10" ht="19.95" customHeight="1" x14ac:dyDescent="0.3">
      <c r="A32" s="31"/>
      <c r="B32" s="31"/>
      <c r="C32" s="34"/>
      <c r="D32" s="34"/>
      <c r="E32" s="33"/>
      <c r="F32" s="31"/>
      <c r="G32" s="31"/>
      <c r="H32" s="32"/>
      <c r="I32" s="6"/>
      <c r="J32" s="32">
        <f t="shared" si="1"/>
        <v>0</v>
      </c>
    </row>
    <row r="33" spans="1:10" ht="19.95" customHeight="1" x14ac:dyDescent="0.3">
      <c r="A33" s="31"/>
      <c r="B33" s="31"/>
      <c r="C33" s="34"/>
      <c r="D33" s="34"/>
      <c r="E33" s="33"/>
      <c r="F33" s="31"/>
      <c r="G33" s="31"/>
      <c r="H33" s="32"/>
      <c r="I33" s="6"/>
      <c r="J33" s="32">
        <f t="shared" si="1"/>
        <v>0</v>
      </c>
    </row>
    <row r="34" spans="1:10" ht="19.95" customHeight="1" x14ac:dyDescent="0.3">
      <c r="A34" s="31"/>
      <c r="B34" s="31"/>
      <c r="C34" s="34"/>
      <c r="D34" s="34"/>
      <c r="E34" s="33"/>
      <c r="F34" s="31"/>
      <c r="G34" s="31"/>
      <c r="H34" s="32"/>
      <c r="I34" s="6"/>
      <c r="J34" s="32">
        <f t="shared" si="1"/>
        <v>0</v>
      </c>
    </row>
    <row r="35" spans="1:10" ht="19.95" customHeight="1" x14ac:dyDescent="0.3">
      <c r="A35" s="14"/>
      <c r="B35" s="14"/>
      <c r="C35" s="14"/>
      <c r="D35" s="14"/>
      <c r="E35" s="15"/>
      <c r="F35" s="14"/>
      <c r="G35" s="16"/>
      <c r="H35" s="32">
        <f>SUM(H18:H34)</f>
        <v>3200</v>
      </c>
      <c r="I35" s="6">
        <f>SUM(I18:I34)</f>
        <v>0</v>
      </c>
      <c r="J35" s="32">
        <f>SUM(J18:J34)</f>
        <v>3200</v>
      </c>
    </row>
    <row r="37" spans="1:10" ht="23.4" x14ac:dyDescent="0.3">
      <c r="A37" s="180" t="s">
        <v>62</v>
      </c>
      <c r="B37" s="180"/>
      <c r="C37" s="180"/>
      <c r="D37" s="180"/>
      <c r="E37" s="180"/>
      <c r="F37" s="180"/>
      <c r="G37" s="180"/>
      <c r="H37" s="180"/>
      <c r="I37" s="180"/>
      <c r="J37" s="180"/>
    </row>
  </sheetData>
  <mergeCells count="5">
    <mergeCell ref="I1:J1"/>
    <mergeCell ref="A2:J2"/>
    <mergeCell ref="A3:J3"/>
    <mergeCell ref="A16:J16"/>
    <mergeCell ref="A37:J3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0"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J37"/>
  <sheetViews>
    <sheetView zoomScale="70" zoomScaleNormal="70" workbookViewId="0">
      <selection activeCell="H7" sqref="H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45927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1" t="s">
        <v>65</v>
      </c>
      <c r="B4" s="31" t="s">
        <v>66</v>
      </c>
      <c r="C4" s="18" t="s">
        <v>67</v>
      </c>
      <c r="D4" s="18" t="s">
        <v>68</v>
      </c>
      <c r="E4" s="31" t="s">
        <v>69</v>
      </c>
      <c r="F4" s="18" t="s">
        <v>70</v>
      </c>
      <c r="G4" s="18" t="s">
        <v>71</v>
      </c>
      <c r="H4" s="31" t="s">
        <v>72</v>
      </c>
      <c r="I4" s="31" t="s">
        <v>73</v>
      </c>
      <c r="J4" s="31" t="s">
        <v>74</v>
      </c>
    </row>
    <row r="5" spans="1:10" ht="19.95" customHeight="1" x14ac:dyDescent="0.3">
      <c r="A5" s="31">
        <v>250069</v>
      </c>
      <c r="B5" s="31">
        <v>304</v>
      </c>
      <c r="C5" s="34">
        <v>0.6</v>
      </c>
      <c r="D5" s="34" t="s">
        <v>21</v>
      </c>
      <c r="E5" s="33" t="s">
        <v>114</v>
      </c>
      <c r="F5" s="33" t="s">
        <v>113</v>
      </c>
      <c r="G5" s="31">
        <v>430</v>
      </c>
      <c r="H5" s="32">
        <v>1650</v>
      </c>
      <c r="I5" s="6">
        <v>1000</v>
      </c>
      <c r="J5" s="32">
        <f t="shared" ref="J5:J13" si="0">H5-I5</f>
        <v>650</v>
      </c>
    </row>
    <row r="6" spans="1:10" ht="19.95" customHeight="1" x14ac:dyDescent="0.3">
      <c r="A6" s="31">
        <v>250068</v>
      </c>
      <c r="B6" s="31">
        <v>304</v>
      </c>
      <c r="C6" s="34">
        <v>0.6</v>
      </c>
      <c r="D6" s="34" t="s">
        <v>21</v>
      </c>
      <c r="E6" s="33" t="s">
        <v>115</v>
      </c>
      <c r="F6" s="33" t="s">
        <v>113</v>
      </c>
      <c r="G6" s="31">
        <v>430</v>
      </c>
      <c r="H6" s="32">
        <v>1650</v>
      </c>
      <c r="I6" s="6"/>
      <c r="J6" s="32">
        <f t="shared" si="0"/>
        <v>1650</v>
      </c>
    </row>
    <row r="7" spans="1:10" ht="19.95" customHeight="1" x14ac:dyDescent="0.3">
      <c r="A7" s="31"/>
      <c r="B7" s="31"/>
      <c r="C7" s="34"/>
      <c r="D7" s="34"/>
      <c r="E7" s="33"/>
      <c r="F7" s="33"/>
      <c r="G7" s="31"/>
      <c r="H7" s="32"/>
      <c r="I7" s="6"/>
      <c r="J7" s="32">
        <f t="shared" si="0"/>
        <v>0</v>
      </c>
    </row>
    <row r="8" spans="1:10" ht="19.95" customHeight="1" x14ac:dyDescent="0.3">
      <c r="A8" s="31"/>
      <c r="B8" s="31"/>
      <c r="C8" s="34"/>
      <c r="D8" s="34"/>
      <c r="E8" s="33"/>
      <c r="F8" s="31"/>
      <c r="G8" s="31"/>
      <c r="H8" s="32"/>
      <c r="I8" s="6"/>
      <c r="J8" s="32">
        <f t="shared" si="0"/>
        <v>0</v>
      </c>
    </row>
    <row r="9" spans="1:10" ht="19.95" customHeight="1" x14ac:dyDescent="0.3">
      <c r="A9" s="31"/>
      <c r="B9" s="31"/>
      <c r="C9" s="34"/>
      <c r="D9" s="34"/>
      <c r="E9" s="33"/>
      <c r="F9" s="31"/>
      <c r="G9" s="31"/>
      <c r="H9" s="32"/>
      <c r="I9" s="6"/>
      <c r="J9" s="32">
        <f t="shared" si="0"/>
        <v>0</v>
      </c>
    </row>
    <row r="10" spans="1:10" ht="19.95" customHeight="1" x14ac:dyDescent="0.3">
      <c r="A10" s="31"/>
      <c r="B10" s="31"/>
      <c r="C10" s="34"/>
      <c r="D10" s="34"/>
      <c r="E10" s="33"/>
      <c r="F10" s="31"/>
      <c r="G10" s="31"/>
      <c r="H10" s="32"/>
      <c r="I10" s="6"/>
      <c r="J10" s="32">
        <f t="shared" si="0"/>
        <v>0</v>
      </c>
    </row>
    <row r="11" spans="1:10" ht="19.95" customHeight="1" x14ac:dyDescent="0.3">
      <c r="A11" s="31"/>
      <c r="B11" s="31"/>
      <c r="C11" s="34"/>
      <c r="D11" s="34"/>
      <c r="E11" s="33"/>
      <c r="F11" s="31"/>
      <c r="G11" s="31"/>
      <c r="H11" s="32"/>
      <c r="I11" s="6"/>
      <c r="J11" s="32">
        <f t="shared" si="0"/>
        <v>0</v>
      </c>
    </row>
    <row r="12" spans="1:10" ht="19.95" customHeight="1" x14ac:dyDescent="0.3">
      <c r="A12" s="31"/>
      <c r="B12" s="31"/>
      <c r="C12" s="34"/>
      <c r="D12" s="34"/>
      <c r="E12" s="33"/>
      <c r="F12" s="31"/>
      <c r="G12" s="31"/>
      <c r="H12" s="32"/>
      <c r="I12" s="6"/>
      <c r="J12" s="32">
        <f t="shared" si="0"/>
        <v>0</v>
      </c>
    </row>
    <row r="13" spans="1:10" ht="19.95" customHeight="1" x14ac:dyDescent="0.3">
      <c r="A13" s="31"/>
      <c r="B13" s="31"/>
      <c r="C13" s="34"/>
      <c r="D13" s="34"/>
      <c r="E13" s="33"/>
      <c r="F13" s="31"/>
      <c r="G13" s="31"/>
      <c r="H13" s="32"/>
      <c r="I13" s="6"/>
      <c r="J13" s="32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3300</v>
      </c>
      <c r="I14" s="19">
        <f>SUM(I5:I13)</f>
        <v>1000</v>
      </c>
      <c r="J14" s="32">
        <f>SUM(J5:J13)</f>
        <v>2300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31" t="s">
        <v>65</v>
      </c>
      <c r="B17" s="31" t="s">
        <v>66</v>
      </c>
      <c r="C17" s="18" t="s">
        <v>67</v>
      </c>
      <c r="D17" s="18" t="s">
        <v>68</v>
      </c>
      <c r="E17" s="31" t="s">
        <v>69</v>
      </c>
      <c r="F17" s="18" t="s">
        <v>70</v>
      </c>
      <c r="G17" s="18" t="s">
        <v>71</v>
      </c>
      <c r="H17" s="31" t="s">
        <v>72</v>
      </c>
      <c r="I17" s="31" t="s">
        <v>73</v>
      </c>
      <c r="J17" s="31" t="s">
        <v>74</v>
      </c>
    </row>
    <row r="18" spans="1:10" ht="19.95" customHeight="1" x14ac:dyDescent="0.3">
      <c r="A18" s="31">
        <v>250041</v>
      </c>
      <c r="B18" s="31">
        <v>304</v>
      </c>
      <c r="C18" s="34">
        <v>0.7</v>
      </c>
      <c r="D18" s="34" t="s">
        <v>21</v>
      </c>
      <c r="E18" s="33" t="s">
        <v>117</v>
      </c>
      <c r="F18" s="33" t="s">
        <v>116</v>
      </c>
      <c r="G18" s="31">
        <v>304</v>
      </c>
      <c r="H18" s="32">
        <v>500</v>
      </c>
      <c r="I18" s="6"/>
      <c r="J18" s="32">
        <f t="shared" ref="J18:J34" si="1">H18-I18</f>
        <v>500</v>
      </c>
    </row>
    <row r="19" spans="1:10" ht="19.95" customHeight="1" x14ac:dyDescent="0.3">
      <c r="A19" s="31">
        <v>250041</v>
      </c>
      <c r="B19" s="31">
        <v>304</v>
      </c>
      <c r="C19" s="34">
        <v>0.7</v>
      </c>
      <c r="D19" s="34" t="s">
        <v>21</v>
      </c>
      <c r="E19" s="33" t="s">
        <v>118</v>
      </c>
      <c r="F19" s="33" t="s">
        <v>116</v>
      </c>
      <c r="G19" s="31">
        <v>304</v>
      </c>
      <c r="H19" s="32">
        <v>500</v>
      </c>
      <c r="I19" s="6"/>
      <c r="J19" s="32">
        <f t="shared" si="1"/>
        <v>500</v>
      </c>
    </row>
    <row r="20" spans="1:10" ht="19.95" customHeight="1" x14ac:dyDescent="0.3">
      <c r="A20" s="31">
        <v>250041</v>
      </c>
      <c r="B20" s="31">
        <v>304</v>
      </c>
      <c r="C20" s="34">
        <v>0.7</v>
      </c>
      <c r="D20" s="34" t="s">
        <v>21</v>
      </c>
      <c r="E20" s="33" t="s">
        <v>119</v>
      </c>
      <c r="F20" s="33" t="s">
        <v>116</v>
      </c>
      <c r="G20" s="31">
        <v>304</v>
      </c>
      <c r="H20" s="32">
        <v>500</v>
      </c>
      <c r="I20" s="6"/>
      <c r="J20" s="32">
        <f t="shared" si="1"/>
        <v>500</v>
      </c>
    </row>
    <row r="21" spans="1:10" ht="19.95" customHeight="1" x14ac:dyDescent="0.3">
      <c r="A21" s="31">
        <v>250041</v>
      </c>
      <c r="B21" s="31">
        <v>304</v>
      </c>
      <c r="C21" s="34">
        <v>0.7</v>
      </c>
      <c r="D21" s="34" t="s">
        <v>21</v>
      </c>
      <c r="E21" s="33" t="s">
        <v>120</v>
      </c>
      <c r="F21" s="33" t="s">
        <v>116</v>
      </c>
      <c r="G21" s="31">
        <v>304</v>
      </c>
      <c r="H21" s="32">
        <v>500</v>
      </c>
      <c r="I21" s="6"/>
      <c r="J21" s="32">
        <f t="shared" si="1"/>
        <v>500</v>
      </c>
    </row>
    <row r="22" spans="1:10" ht="19.95" customHeight="1" x14ac:dyDescent="0.3">
      <c r="A22" s="31"/>
      <c r="B22" s="31"/>
      <c r="C22" s="34"/>
      <c r="D22" s="34"/>
      <c r="E22" s="33"/>
      <c r="F22" s="31"/>
      <c r="G22" s="31"/>
      <c r="H22" s="32"/>
      <c r="I22" s="6"/>
      <c r="J22" s="32">
        <f t="shared" si="1"/>
        <v>0</v>
      </c>
    </row>
    <row r="23" spans="1:10" ht="19.95" customHeight="1" x14ac:dyDescent="0.3">
      <c r="A23" s="31"/>
      <c r="B23" s="31"/>
      <c r="C23" s="34"/>
      <c r="D23" s="34"/>
      <c r="E23" s="33"/>
      <c r="F23" s="33"/>
      <c r="G23" s="31"/>
      <c r="H23" s="32"/>
      <c r="I23" s="6"/>
      <c r="J23" s="32">
        <f t="shared" si="1"/>
        <v>0</v>
      </c>
    </row>
    <row r="24" spans="1:10" ht="19.95" customHeight="1" x14ac:dyDescent="0.3">
      <c r="A24" s="31"/>
      <c r="B24" s="31"/>
      <c r="C24" s="34"/>
      <c r="D24" s="34"/>
      <c r="E24" s="33"/>
      <c r="F24" s="33"/>
      <c r="G24" s="31"/>
      <c r="H24" s="32"/>
      <c r="I24" s="6"/>
      <c r="J24" s="32">
        <f t="shared" si="1"/>
        <v>0</v>
      </c>
    </row>
    <row r="25" spans="1:10" ht="19.95" customHeight="1" x14ac:dyDescent="0.3">
      <c r="A25" s="31"/>
      <c r="B25" s="31"/>
      <c r="C25" s="34"/>
      <c r="D25" s="34"/>
      <c r="E25" s="33"/>
      <c r="F25" s="33"/>
      <c r="G25" s="31"/>
      <c r="H25" s="32"/>
      <c r="I25" s="6"/>
      <c r="J25" s="32">
        <f t="shared" si="1"/>
        <v>0</v>
      </c>
    </row>
    <row r="26" spans="1:10" ht="19.95" customHeight="1" x14ac:dyDescent="0.3">
      <c r="A26" s="31"/>
      <c r="B26" s="31"/>
      <c r="C26" s="34"/>
      <c r="D26" s="34"/>
      <c r="E26" s="33"/>
      <c r="F26" s="33"/>
      <c r="G26" s="31"/>
      <c r="H26" s="32"/>
      <c r="I26" s="6"/>
      <c r="J26" s="32">
        <f t="shared" si="1"/>
        <v>0</v>
      </c>
    </row>
    <row r="27" spans="1:10" ht="19.95" customHeight="1" x14ac:dyDescent="0.3">
      <c r="A27" s="31"/>
      <c r="B27" s="31"/>
      <c r="C27" s="34"/>
      <c r="D27" s="34"/>
      <c r="E27" s="33"/>
      <c r="F27" s="33"/>
      <c r="G27" s="31"/>
      <c r="H27" s="32"/>
      <c r="I27" s="6"/>
      <c r="J27" s="32">
        <f t="shared" si="1"/>
        <v>0</v>
      </c>
    </row>
    <row r="28" spans="1:10" ht="19.95" customHeight="1" x14ac:dyDescent="0.3">
      <c r="A28" s="31"/>
      <c r="B28" s="31"/>
      <c r="C28" s="34"/>
      <c r="D28" s="34"/>
      <c r="E28" s="33"/>
      <c r="F28" s="33"/>
      <c r="G28" s="31"/>
      <c r="H28" s="32"/>
      <c r="I28" s="6"/>
      <c r="J28" s="32">
        <f t="shared" si="1"/>
        <v>0</v>
      </c>
    </row>
    <row r="29" spans="1:10" ht="19.95" customHeight="1" x14ac:dyDescent="0.3">
      <c r="A29" s="31"/>
      <c r="B29" s="31"/>
      <c r="C29" s="34"/>
      <c r="D29" s="34"/>
      <c r="E29" s="33"/>
      <c r="F29" s="33"/>
      <c r="G29" s="31"/>
      <c r="H29" s="32"/>
      <c r="I29" s="6"/>
      <c r="J29" s="32">
        <f t="shared" si="1"/>
        <v>0</v>
      </c>
    </row>
    <row r="30" spans="1:10" ht="19.95" customHeight="1" x14ac:dyDescent="0.3">
      <c r="A30" s="31"/>
      <c r="B30" s="31"/>
      <c r="C30" s="34"/>
      <c r="D30" s="34"/>
      <c r="E30" s="33"/>
      <c r="F30" s="31"/>
      <c r="G30" s="31"/>
      <c r="H30" s="32"/>
      <c r="I30" s="6"/>
      <c r="J30" s="32">
        <f t="shared" si="1"/>
        <v>0</v>
      </c>
    </row>
    <row r="31" spans="1:10" ht="19.95" customHeight="1" x14ac:dyDescent="0.3">
      <c r="A31" s="31"/>
      <c r="B31" s="31"/>
      <c r="C31" s="34"/>
      <c r="D31" s="34"/>
      <c r="E31" s="33"/>
      <c r="F31" s="31"/>
      <c r="G31" s="31"/>
      <c r="H31" s="32"/>
      <c r="I31" s="6"/>
      <c r="J31" s="32">
        <f t="shared" si="1"/>
        <v>0</v>
      </c>
    </row>
    <row r="32" spans="1:10" ht="19.95" customHeight="1" x14ac:dyDescent="0.3">
      <c r="A32" s="31"/>
      <c r="B32" s="31"/>
      <c r="C32" s="34"/>
      <c r="D32" s="34"/>
      <c r="E32" s="33"/>
      <c r="F32" s="31"/>
      <c r="G32" s="31"/>
      <c r="H32" s="32"/>
      <c r="I32" s="6"/>
      <c r="J32" s="32">
        <f t="shared" si="1"/>
        <v>0</v>
      </c>
    </row>
    <row r="33" spans="1:10" ht="19.95" customHeight="1" x14ac:dyDescent="0.3">
      <c r="A33" s="31"/>
      <c r="B33" s="31"/>
      <c r="C33" s="34"/>
      <c r="D33" s="34"/>
      <c r="E33" s="33"/>
      <c r="F33" s="31"/>
      <c r="G33" s="31"/>
      <c r="H33" s="32"/>
      <c r="I33" s="6"/>
      <c r="J33" s="32">
        <f t="shared" si="1"/>
        <v>0</v>
      </c>
    </row>
    <row r="34" spans="1:10" ht="19.95" customHeight="1" x14ac:dyDescent="0.3">
      <c r="A34" s="31"/>
      <c r="B34" s="31"/>
      <c r="C34" s="34"/>
      <c r="D34" s="34"/>
      <c r="E34" s="33"/>
      <c r="F34" s="31"/>
      <c r="G34" s="31"/>
      <c r="H34" s="32"/>
      <c r="I34" s="6"/>
      <c r="J34" s="32">
        <f t="shared" si="1"/>
        <v>0</v>
      </c>
    </row>
    <row r="35" spans="1:10" ht="19.95" customHeight="1" x14ac:dyDescent="0.3">
      <c r="A35" s="14"/>
      <c r="B35" s="14"/>
      <c r="C35" s="14"/>
      <c r="D35" s="14"/>
      <c r="E35" s="15"/>
      <c r="F35" s="14"/>
      <c r="G35" s="16"/>
      <c r="H35" s="32">
        <f>SUM(H18:H34)</f>
        <v>2000</v>
      </c>
      <c r="I35" s="6">
        <f>SUM(I18:I34)</f>
        <v>0</v>
      </c>
      <c r="J35" s="32">
        <f>SUM(J18:J34)</f>
        <v>2000</v>
      </c>
    </row>
    <row r="37" spans="1:10" ht="23.4" x14ac:dyDescent="0.3">
      <c r="A37" s="180" t="s">
        <v>62</v>
      </c>
      <c r="B37" s="180"/>
      <c r="C37" s="180"/>
      <c r="D37" s="180"/>
      <c r="E37" s="180"/>
      <c r="F37" s="180"/>
      <c r="G37" s="180"/>
      <c r="H37" s="180"/>
      <c r="I37" s="180"/>
      <c r="J37" s="180"/>
    </row>
  </sheetData>
  <mergeCells count="5">
    <mergeCell ref="I1:J1"/>
    <mergeCell ref="A2:J2"/>
    <mergeCell ref="A3:J3"/>
    <mergeCell ref="A16:J16"/>
    <mergeCell ref="A37:J3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0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J37"/>
  <sheetViews>
    <sheetView zoomScale="70" zoomScaleNormal="70" workbookViewId="0">
      <selection activeCell="I7" sqref="I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45929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1" t="s">
        <v>65</v>
      </c>
      <c r="B4" s="31" t="s">
        <v>66</v>
      </c>
      <c r="C4" s="18" t="s">
        <v>67</v>
      </c>
      <c r="D4" s="18" t="s">
        <v>68</v>
      </c>
      <c r="E4" s="31" t="s">
        <v>69</v>
      </c>
      <c r="F4" s="18" t="s">
        <v>70</v>
      </c>
      <c r="G4" s="18" t="s">
        <v>71</v>
      </c>
      <c r="H4" s="31" t="s">
        <v>72</v>
      </c>
      <c r="I4" s="31" t="s">
        <v>73</v>
      </c>
      <c r="J4" s="31" t="s">
        <v>74</v>
      </c>
    </row>
    <row r="5" spans="1:10" ht="19.95" customHeight="1" x14ac:dyDescent="0.3">
      <c r="A5" s="31">
        <v>250069</v>
      </c>
      <c r="B5" s="31">
        <v>304</v>
      </c>
      <c r="C5" s="34">
        <v>0.6</v>
      </c>
      <c r="D5" s="34" t="s">
        <v>21</v>
      </c>
      <c r="E5" s="33" t="s">
        <v>114</v>
      </c>
      <c r="F5" s="33" t="s">
        <v>113</v>
      </c>
      <c r="G5" s="31">
        <v>430</v>
      </c>
      <c r="H5" s="32">
        <v>1650</v>
      </c>
      <c r="I5" s="6">
        <v>1650</v>
      </c>
      <c r="J5" s="32">
        <f t="shared" ref="J5:J13" si="0">H5-I5</f>
        <v>0</v>
      </c>
    </row>
    <row r="6" spans="1:10" ht="19.95" customHeight="1" x14ac:dyDescent="0.3">
      <c r="A6" s="31">
        <v>250068</v>
      </c>
      <c r="B6" s="31">
        <v>304</v>
      </c>
      <c r="C6" s="34">
        <v>0.6</v>
      </c>
      <c r="D6" s="34" t="s">
        <v>21</v>
      </c>
      <c r="E6" s="33" t="s">
        <v>115</v>
      </c>
      <c r="F6" s="33" t="s">
        <v>113</v>
      </c>
      <c r="G6" s="31">
        <v>430</v>
      </c>
      <c r="H6" s="32">
        <v>1650</v>
      </c>
      <c r="I6" s="6">
        <v>1650</v>
      </c>
      <c r="J6" s="32">
        <f t="shared" si="0"/>
        <v>0</v>
      </c>
    </row>
    <row r="7" spans="1:10" ht="19.95" customHeight="1" x14ac:dyDescent="0.3">
      <c r="A7" s="31"/>
      <c r="B7" s="31"/>
      <c r="C7" s="34"/>
      <c r="D7" s="34"/>
      <c r="E7" s="33"/>
      <c r="F7" s="33"/>
      <c r="G7" s="31"/>
      <c r="H7" s="32"/>
      <c r="I7" s="6"/>
      <c r="J7" s="32">
        <f t="shared" si="0"/>
        <v>0</v>
      </c>
    </row>
    <row r="8" spans="1:10" ht="19.95" customHeight="1" x14ac:dyDescent="0.3">
      <c r="A8" s="35">
        <v>250069</v>
      </c>
      <c r="B8" s="35">
        <v>304</v>
      </c>
      <c r="C8" s="38">
        <v>0.6</v>
      </c>
      <c r="D8" s="38" t="s">
        <v>21</v>
      </c>
      <c r="E8" s="37" t="s">
        <v>121</v>
      </c>
      <c r="F8" s="37" t="s">
        <v>113</v>
      </c>
      <c r="G8" s="35">
        <v>430</v>
      </c>
      <c r="H8" s="36">
        <v>1650</v>
      </c>
      <c r="I8" s="6"/>
      <c r="J8" s="32">
        <f t="shared" si="0"/>
        <v>1650</v>
      </c>
    </row>
    <row r="9" spans="1:10" ht="19.95" customHeight="1" x14ac:dyDescent="0.3">
      <c r="A9" s="35">
        <v>250068</v>
      </c>
      <c r="B9" s="35">
        <v>304</v>
      </c>
      <c r="C9" s="38">
        <v>0.6</v>
      </c>
      <c r="D9" s="38" t="s">
        <v>21</v>
      </c>
      <c r="E9" s="37" t="s">
        <v>122</v>
      </c>
      <c r="F9" s="39" t="s">
        <v>113</v>
      </c>
      <c r="G9" s="35">
        <v>430</v>
      </c>
      <c r="H9" s="36">
        <v>1650</v>
      </c>
      <c r="I9" s="6"/>
      <c r="J9" s="32">
        <f t="shared" si="0"/>
        <v>1650</v>
      </c>
    </row>
    <row r="10" spans="1:10" ht="19.95" customHeight="1" x14ac:dyDescent="0.3">
      <c r="A10" s="31"/>
      <c r="B10" s="31"/>
      <c r="C10" s="34"/>
      <c r="D10" s="34"/>
      <c r="E10" s="33"/>
      <c r="F10" s="31"/>
      <c r="G10" s="31"/>
      <c r="H10" s="32"/>
      <c r="I10" s="6"/>
      <c r="J10" s="32">
        <f t="shared" si="0"/>
        <v>0</v>
      </c>
    </row>
    <row r="11" spans="1:10" ht="19.95" customHeight="1" x14ac:dyDescent="0.3">
      <c r="A11" s="31"/>
      <c r="B11" s="31"/>
      <c r="C11" s="34"/>
      <c r="D11" s="34"/>
      <c r="E11" s="33"/>
      <c r="F11" s="31"/>
      <c r="G11" s="31"/>
      <c r="H11" s="32"/>
      <c r="I11" s="6"/>
      <c r="J11" s="32">
        <f t="shared" si="0"/>
        <v>0</v>
      </c>
    </row>
    <row r="12" spans="1:10" ht="19.95" customHeight="1" x14ac:dyDescent="0.3">
      <c r="A12" s="31"/>
      <c r="B12" s="31"/>
      <c r="C12" s="34"/>
      <c r="D12" s="34"/>
      <c r="E12" s="33"/>
      <c r="F12" s="31"/>
      <c r="G12" s="31"/>
      <c r="H12" s="32"/>
      <c r="I12" s="6"/>
      <c r="J12" s="32">
        <f t="shared" si="0"/>
        <v>0</v>
      </c>
    </row>
    <row r="13" spans="1:10" ht="19.95" customHeight="1" x14ac:dyDescent="0.3">
      <c r="A13" s="31"/>
      <c r="B13" s="31"/>
      <c r="C13" s="34"/>
      <c r="D13" s="34"/>
      <c r="E13" s="33"/>
      <c r="F13" s="31"/>
      <c r="G13" s="31"/>
      <c r="H13" s="32"/>
      <c r="I13" s="6"/>
      <c r="J13" s="32">
        <f t="shared" si="0"/>
        <v>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6600</v>
      </c>
      <c r="I14" s="19">
        <f>SUM(I5:I13)</f>
        <v>3300</v>
      </c>
      <c r="J14" s="32">
        <f>SUM(J5:J13)</f>
        <v>3300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31" t="s">
        <v>65</v>
      </c>
      <c r="B17" s="31" t="s">
        <v>66</v>
      </c>
      <c r="C17" s="18" t="s">
        <v>67</v>
      </c>
      <c r="D17" s="18" t="s">
        <v>68</v>
      </c>
      <c r="E17" s="31" t="s">
        <v>69</v>
      </c>
      <c r="F17" s="18" t="s">
        <v>70</v>
      </c>
      <c r="G17" s="18" t="s">
        <v>71</v>
      </c>
      <c r="H17" s="31" t="s">
        <v>72</v>
      </c>
      <c r="I17" s="31" t="s">
        <v>73</v>
      </c>
      <c r="J17" s="31" t="s">
        <v>74</v>
      </c>
    </row>
    <row r="18" spans="1:10" ht="19.95" customHeight="1" x14ac:dyDescent="0.3">
      <c r="A18" s="31">
        <v>250041</v>
      </c>
      <c r="B18" s="31">
        <v>304</v>
      </c>
      <c r="C18" s="34">
        <v>0.7</v>
      </c>
      <c r="D18" s="34" t="s">
        <v>21</v>
      </c>
      <c r="E18" s="33" t="s">
        <v>117</v>
      </c>
      <c r="F18" s="33" t="s">
        <v>116</v>
      </c>
      <c r="G18" s="31">
        <v>304</v>
      </c>
      <c r="H18" s="32">
        <v>500</v>
      </c>
      <c r="I18" s="6"/>
      <c r="J18" s="32">
        <f t="shared" ref="J18:J34" si="1">H18-I18</f>
        <v>500</v>
      </c>
    </row>
    <row r="19" spans="1:10" ht="19.95" customHeight="1" x14ac:dyDescent="0.3">
      <c r="A19" s="31">
        <v>250041</v>
      </c>
      <c r="B19" s="31">
        <v>304</v>
      </c>
      <c r="C19" s="34">
        <v>0.7</v>
      </c>
      <c r="D19" s="34" t="s">
        <v>21</v>
      </c>
      <c r="E19" s="33" t="s">
        <v>118</v>
      </c>
      <c r="F19" s="33" t="s">
        <v>116</v>
      </c>
      <c r="G19" s="31">
        <v>304</v>
      </c>
      <c r="H19" s="32">
        <v>500</v>
      </c>
      <c r="I19" s="6"/>
      <c r="J19" s="32">
        <f t="shared" si="1"/>
        <v>500</v>
      </c>
    </row>
    <row r="20" spans="1:10" ht="19.95" customHeight="1" x14ac:dyDescent="0.3">
      <c r="A20" s="31">
        <v>250041</v>
      </c>
      <c r="B20" s="31">
        <v>304</v>
      </c>
      <c r="C20" s="34">
        <v>0.7</v>
      </c>
      <c r="D20" s="34" t="s">
        <v>21</v>
      </c>
      <c r="E20" s="33" t="s">
        <v>119</v>
      </c>
      <c r="F20" s="33" t="s">
        <v>116</v>
      </c>
      <c r="G20" s="31">
        <v>304</v>
      </c>
      <c r="H20" s="32">
        <v>500</v>
      </c>
      <c r="I20" s="6"/>
      <c r="J20" s="32">
        <f t="shared" si="1"/>
        <v>500</v>
      </c>
    </row>
    <row r="21" spans="1:10" ht="19.95" customHeight="1" x14ac:dyDescent="0.3">
      <c r="A21" s="31">
        <v>250041</v>
      </c>
      <c r="B21" s="31">
        <v>304</v>
      </c>
      <c r="C21" s="34">
        <v>0.7</v>
      </c>
      <c r="D21" s="34" t="s">
        <v>21</v>
      </c>
      <c r="E21" s="33" t="s">
        <v>120</v>
      </c>
      <c r="F21" s="33" t="s">
        <v>116</v>
      </c>
      <c r="G21" s="31">
        <v>304</v>
      </c>
      <c r="H21" s="32">
        <v>500</v>
      </c>
      <c r="I21" s="6"/>
      <c r="J21" s="32">
        <f t="shared" si="1"/>
        <v>500</v>
      </c>
    </row>
    <row r="22" spans="1:10" ht="19.95" customHeight="1" x14ac:dyDescent="0.3">
      <c r="A22" s="31"/>
      <c r="B22" s="31"/>
      <c r="C22" s="34"/>
      <c r="D22" s="34"/>
      <c r="E22" s="33"/>
      <c r="F22" s="31"/>
      <c r="G22" s="31"/>
      <c r="H22" s="32"/>
      <c r="I22" s="6"/>
      <c r="J22" s="32">
        <f t="shared" si="1"/>
        <v>0</v>
      </c>
    </row>
    <row r="23" spans="1:10" ht="19.95" customHeight="1" x14ac:dyDescent="0.3">
      <c r="A23" s="31"/>
      <c r="B23" s="31"/>
      <c r="C23" s="34"/>
      <c r="D23" s="34"/>
      <c r="E23" s="33"/>
      <c r="F23" s="33"/>
      <c r="G23" s="31"/>
      <c r="H23" s="32"/>
      <c r="I23" s="6"/>
      <c r="J23" s="32">
        <f t="shared" si="1"/>
        <v>0</v>
      </c>
    </row>
    <row r="24" spans="1:10" ht="19.95" customHeight="1" x14ac:dyDescent="0.3">
      <c r="A24" s="31"/>
      <c r="B24" s="31"/>
      <c r="C24" s="34"/>
      <c r="D24" s="34"/>
      <c r="E24" s="33"/>
      <c r="F24" s="33"/>
      <c r="G24" s="31"/>
      <c r="H24" s="32"/>
      <c r="I24" s="6"/>
      <c r="J24" s="32">
        <f t="shared" si="1"/>
        <v>0</v>
      </c>
    </row>
    <row r="25" spans="1:10" ht="19.95" customHeight="1" x14ac:dyDescent="0.3">
      <c r="A25" s="31"/>
      <c r="B25" s="31"/>
      <c r="C25" s="34"/>
      <c r="D25" s="34"/>
      <c r="E25" s="33"/>
      <c r="F25" s="33"/>
      <c r="G25" s="31"/>
      <c r="H25" s="32"/>
      <c r="I25" s="6"/>
      <c r="J25" s="32">
        <f t="shared" si="1"/>
        <v>0</v>
      </c>
    </row>
    <row r="26" spans="1:10" ht="19.95" customHeight="1" x14ac:dyDescent="0.3">
      <c r="A26" s="31"/>
      <c r="B26" s="31"/>
      <c r="C26" s="34"/>
      <c r="D26" s="34"/>
      <c r="E26" s="33"/>
      <c r="F26" s="33"/>
      <c r="G26" s="31"/>
      <c r="H26" s="32"/>
      <c r="I26" s="6"/>
      <c r="J26" s="32">
        <f t="shared" si="1"/>
        <v>0</v>
      </c>
    </row>
    <row r="27" spans="1:10" ht="19.95" customHeight="1" x14ac:dyDescent="0.3">
      <c r="A27" s="31"/>
      <c r="B27" s="31"/>
      <c r="C27" s="34"/>
      <c r="D27" s="34"/>
      <c r="E27" s="33"/>
      <c r="F27" s="33"/>
      <c r="G27" s="31"/>
      <c r="H27" s="32"/>
      <c r="I27" s="6"/>
      <c r="J27" s="32">
        <f t="shared" si="1"/>
        <v>0</v>
      </c>
    </row>
    <row r="28" spans="1:10" ht="19.95" customHeight="1" x14ac:dyDescent="0.3">
      <c r="A28" s="31"/>
      <c r="B28" s="31"/>
      <c r="C28" s="34"/>
      <c r="D28" s="34"/>
      <c r="E28" s="33"/>
      <c r="F28" s="33"/>
      <c r="G28" s="31"/>
      <c r="H28" s="32"/>
      <c r="I28" s="6"/>
      <c r="J28" s="32">
        <f t="shared" si="1"/>
        <v>0</v>
      </c>
    </row>
    <row r="29" spans="1:10" ht="19.95" customHeight="1" x14ac:dyDescent="0.3">
      <c r="A29" s="31"/>
      <c r="B29" s="31"/>
      <c r="C29" s="34"/>
      <c r="D29" s="34"/>
      <c r="E29" s="33"/>
      <c r="F29" s="33"/>
      <c r="G29" s="31"/>
      <c r="H29" s="32"/>
      <c r="I29" s="6"/>
      <c r="J29" s="32">
        <f t="shared" si="1"/>
        <v>0</v>
      </c>
    </row>
    <row r="30" spans="1:10" ht="19.95" customHeight="1" x14ac:dyDescent="0.3">
      <c r="A30" s="31"/>
      <c r="B30" s="31"/>
      <c r="C30" s="34"/>
      <c r="D30" s="34"/>
      <c r="E30" s="33"/>
      <c r="F30" s="31"/>
      <c r="G30" s="31"/>
      <c r="H30" s="32"/>
      <c r="I30" s="6"/>
      <c r="J30" s="32">
        <f t="shared" si="1"/>
        <v>0</v>
      </c>
    </row>
    <row r="31" spans="1:10" ht="19.95" customHeight="1" x14ac:dyDescent="0.3">
      <c r="A31" s="31"/>
      <c r="B31" s="31"/>
      <c r="C31" s="34"/>
      <c r="D31" s="34"/>
      <c r="E31" s="33"/>
      <c r="F31" s="31"/>
      <c r="G31" s="31"/>
      <c r="H31" s="32"/>
      <c r="I31" s="6"/>
      <c r="J31" s="32">
        <f t="shared" si="1"/>
        <v>0</v>
      </c>
    </row>
    <row r="32" spans="1:10" ht="19.95" customHeight="1" x14ac:dyDescent="0.3">
      <c r="A32" s="31"/>
      <c r="B32" s="31"/>
      <c r="C32" s="34"/>
      <c r="D32" s="34"/>
      <c r="E32" s="33"/>
      <c r="F32" s="31"/>
      <c r="G32" s="31"/>
      <c r="H32" s="32"/>
      <c r="I32" s="6"/>
      <c r="J32" s="32">
        <f t="shared" si="1"/>
        <v>0</v>
      </c>
    </row>
    <row r="33" spans="1:10" ht="19.95" customHeight="1" x14ac:dyDescent="0.3">
      <c r="A33" s="31"/>
      <c r="B33" s="31"/>
      <c r="C33" s="34"/>
      <c r="D33" s="34"/>
      <c r="E33" s="33"/>
      <c r="F33" s="31"/>
      <c r="G33" s="31"/>
      <c r="H33" s="32"/>
      <c r="I33" s="6"/>
      <c r="J33" s="32">
        <f t="shared" si="1"/>
        <v>0</v>
      </c>
    </row>
    <row r="34" spans="1:10" ht="19.95" customHeight="1" x14ac:dyDescent="0.3">
      <c r="A34" s="31"/>
      <c r="B34" s="31"/>
      <c r="C34" s="34"/>
      <c r="D34" s="34"/>
      <c r="E34" s="33"/>
      <c r="F34" s="31"/>
      <c r="G34" s="31"/>
      <c r="H34" s="32"/>
      <c r="I34" s="6"/>
      <c r="J34" s="32">
        <f t="shared" si="1"/>
        <v>0</v>
      </c>
    </row>
    <row r="35" spans="1:10" ht="19.95" customHeight="1" x14ac:dyDescent="0.3">
      <c r="A35" s="14"/>
      <c r="B35" s="14"/>
      <c r="C35" s="14"/>
      <c r="D35" s="14"/>
      <c r="E35" s="15"/>
      <c r="F35" s="14"/>
      <c r="G35" s="16"/>
      <c r="H35" s="32">
        <f>SUM(H18:H34)</f>
        <v>2000</v>
      </c>
      <c r="I35" s="6">
        <f>SUM(I18:I34)</f>
        <v>0</v>
      </c>
      <c r="J35" s="32">
        <f>SUM(J18:J34)</f>
        <v>2000</v>
      </c>
    </row>
    <row r="37" spans="1:10" ht="23.4" x14ac:dyDescent="0.3">
      <c r="A37" s="180" t="s">
        <v>62</v>
      </c>
      <c r="B37" s="180"/>
      <c r="C37" s="180"/>
      <c r="D37" s="180"/>
      <c r="E37" s="180"/>
      <c r="F37" s="180"/>
      <c r="G37" s="180"/>
      <c r="H37" s="180"/>
      <c r="I37" s="180"/>
      <c r="J37" s="180"/>
    </row>
  </sheetData>
  <mergeCells count="5">
    <mergeCell ref="I1:J1"/>
    <mergeCell ref="A2:J2"/>
    <mergeCell ref="A3:J3"/>
    <mergeCell ref="A16:J16"/>
    <mergeCell ref="A37:J37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0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J38"/>
  <sheetViews>
    <sheetView zoomScale="70" zoomScaleNormal="70" workbookViewId="0">
      <selection activeCell="L8" sqref="L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45930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250069</v>
      </c>
      <c r="B5" s="35">
        <v>304</v>
      </c>
      <c r="C5" s="38">
        <v>0.6</v>
      </c>
      <c r="D5" s="38" t="s">
        <v>21</v>
      </c>
      <c r="E5" s="37" t="s">
        <v>114</v>
      </c>
      <c r="F5" s="37" t="s">
        <v>113</v>
      </c>
      <c r="G5" s="35">
        <v>430</v>
      </c>
      <c r="H5" s="36">
        <v>1650</v>
      </c>
      <c r="I5" s="6">
        <f>1000+650</f>
        <v>1650</v>
      </c>
      <c r="J5" s="36">
        <f t="shared" ref="J5:J13" si="0">H5-I5</f>
        <v>0</v>
      </c>
    </row>
    <row r="6" spans="1:10" ht="19.95" customHeight="1" x14ac:dyDescent="0.3">
      <c r="A6" s="35">
        <v>250068</v>
      </c>
      <c r="B6" s="35">
        <v>304</v>
      </c>
      <c r="C6" s="38">
        <v>0.6</v>
      </c>
      <c r="D6" s="38" t="s">
        <v>21</v>
      </c>
      <c r="E6" s="37" t="s">
        <v>115</v>
      </c>
      <c r="F6" s="37" t="s">
        <v>113</v>
      </c>
      <c r="G6" s="35">
        <v>430</v>
      </c>
      <c r="H6" s="36">
        <v>1650</v>
      </c>
      <c r="I6" s="6">
        <v>1650</v>
      </c>
      <c r="J6" s="36">
        <f t="shared" si="0"/>
        <v>0</v>
      </c>
    </row>
    <row r="7" spans="1:10" ht="19.95" customHeight="1" x14ac:dyDescent="0.3">
      <c r="A7" s="35"/>
      <c r="B7" s="35"/>
      <c r="C7" s="38"/>
      <c r="D7" s="38"/>
      <c r="E7" s="37"/>
      <c r="F7" s="37"/>
      <c r="G7" s="35"/>
      <c r="H7" s="36"/>
      <c r="I7" s="6"/>
      <c r="J7" s="36">
        <f t="shared" si="0"/>
        <v>0</v>
      </c>
    </row>
    <row r="8" spans="1:10" ht="19.95" customHeight="1" x14ac:dyDescent="0.3">
      <c r="A8" s="35">
        <v>250069</v>
      </c>
      <c r="B8" s="35">
        <v>304</v>
      </c>
      <c r="C8" s="38">
        <v>0.6</v>
      </c>
      <c r="D8" s="38" t="s">
        <v>21</v>
      </c>
      <c r="E8" s="37" t="s">
        <v>123</v>
      </c>
      <c r="F8" s="37" t="s">
        <v>113</v>
      </c>
      <c r="G8" s="35">
        <v>430</v>
      </c>
      <c r="H8" s="36">
        <v>1650</v>
      </c>
      <c r="I8" s="6">
        <v>1650</v>
      </c>
      <c r="J8" s="36">
        <f t="shared" si="0"/>
        <v>0</v>
      </c>
    </row>
    <row r="9" spans="1:10" ht="19.95" customHeight="1" x14ac:dyDescent="0.3">
      <c r="A9" s="35">
        <v>250068</v>
      </c>
      <c r="B9" s="35">
        <v>304</v>
      </c>
      <c r="C9" s="38">
        <v>0.6</v>
      </c>
      <c r="D9" s="38" t="s">
        <v>21</v>
      </c>
      <c r="E9" s="37" t="s">
        <v>124</v>
      </c>
      <c r="F9" s="39" t="s">
        <v>113</v>
      </c>
      <c r="G9" s="35">
        <v>430</v>
      </c>
      <c r="H9" s="36">
        <v>1650</v>
      </c>
      <c r="I9" s="6">
        <v>510</v>
      </c>
      <c r="J9" s="36">
        <f t="shared" si="0"/>
        <v>1140</v>
      </c>
    </row>
    <row r="10" spans="1:10" ht="19.95" customHeight="1" x14ac:dyDescent="0.3">
      <c r="A10" s="35"/>
      <c r="B10" s="35"/>
      <c r="C10" s="38"/>
      <c r="D10" s="38"/>
      <c r="E10" s="37"/>
      <c r="F10" s="35"/>
      <c r="G10" s="35"/>
      <c r="H10" s="36"/>
      <c r="I10" s="6"/>
      <c r="J10" s="36">
        <f t="shared" si="0"/>
        <v>0</v>
      </c>
    </row>
    <row r="11" spans="1:10" ht="19.95" customHeight="1" x14ac:dyDescent="0.3">
      <c r="A11" s="35">
        <v>210825</v>
      </c>
      <c r="B11" s="35">
        <v>430</v>
      </c>
      <c r="C11" s="38">
        <v>0.6</v>
      </c>
      <c r="D11" s="38" t="s">
        <v>21</v>
      </c>
      <c r="E11" s="37" t="s">
        <v>125</v>
      </c>
      <c r="F11" s="37" t="s">
        <v>113</v>
      </c>
      <c r="G11" s="35">
        <v>430</v>
      </c>
      <c r="H11" s="36">
        <v>3000</v>
      </c>
      <c r="I11" s="6"/>
      <c r="J11" s="36">
        <f t="shared" si="0"/>
        <v>3000</v>
      </c>
    </row>
    <row r="12" spans="1:10" ht="19.95" customHeight="1" x14ac:dyDescent="0.3">
      <c r="A12" s="35">
        <v>210825</v>
      </c>
      <c r="B12" s="35">
        <v>430</v>
      </c>
      <c r="C12" s="38">
        <v>0.6</v>
      </c>
      <c r="D12" s="38" t="s">
        <v>21</v>
      </c>
      <c r="E12" s="37" t="s">
        <v>126</v>
      </c>
      <c r="F12" s="37" t="s">
        <v>113</v>
      </c>
      <c r="G12" s="35">
        <v>430</v>
      </c>
      <c r="H12" s="36">
        <v>3000</v>
      </c>
      <c r="I12" s="6"/>
      <c r="J12" s="36">
        <f t="shared" si="0"/>
        <v>3000</v>
      </c>
    </row>
    <row r="13" spans="1:10" ht="19.95" customHeight="1" x14ac:dyDescent="0.3">
      <c r="A13" s="35">
        <v>210825</v>
      </c>
      <c r="B13" s="35">
        <v>430</v>
      </c>
      <c r="C13" s="38">
        <v>0.6</v>
      </c>
      <c r="D13" s="38" t="s">
        <v>21</v>
      </c>
      <c r="E13" s="37" t="s">
        <v>127</v>
      </c>
      <c r="F13" s="37" t="s">
        <v>113</v>
      </c>
      <c r="G13" s="35">
        <v>430</v>
      </c>
      <c r="H13" s="36">
        <v>2600</v>
      </c>
      <c r="I13" s="6"/>
      <c r="J13" s="36">
        <f t="shared" si="0"/>
        <v>2600</v>
      </c>
    </row>
    <row r="14" spans="1:10" ht="19.95" customHeight="1" x14ac:dyDescent="0.3">
      <c r="A14" s="35"/>
      <c r="B14" s="35"/>
      <c r="C14" s="38"/>
      <c r="D14" s="38"/>
      <c r="E14" s="37"/>
      <c r="F14" s="37"/>
      <c r="G14" s="35"/>
      <c r="H14" s="36"/>
      <c r="I14" s="19"/>
      <c r="J14" s="36"/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SUM(H5:H13)</f>
        <v>15200</v>
      </c>
      <c r="I15" s="19">
        <f>SUM(I5:I13)</f>
        <v>5460</v>
      </c>
      <c r="J15" s="36">
        <f>SUM(J5:J13)</f>
        <v>9740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/>
      <c r="J19" s="36">
        <f t="shared" ref="J19:J35" si="1">H19-I19</f>
        <v>500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1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/>
      <c r="J21" s="36">
        <f t="shared" si="1"/>
        <v>500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1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7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7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7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7"/>
      <c r="G28" s="35"/>
      <c r="H28" s="36"/>
      <c r="I28" s="6"/>
      <c r="J28" s="36">
        <f t="shared" si="1"/>
        <v>0</v>
      </c>
    </row>
    <row r="29" spans="1:10" ht="19.95" customHeight="1" x14ac:dyDescent="0.3">
      <c r="A29" s="35"/>
      <c r="B29" s="35"/>
      <c r="C29" s="38"/>
      <c r="D29" s="38"/>
      <c r="E29" s="37"/>
      <c r="F29" s="37"/>
      <c r="G29" s="35"/>
      <c r="H29" s="36"/>
      <c r="I29" s="6"/>
      <c r="J29" s="36">
        <f t="shared" si="1"/>
        <v>0</v>
      </c>
    </row>
    <row r="30" spans="1:10" ht="19.95" customHeight="1" x14ac:dyDescent="0.3">
      <c r="A30" s="35"/>
      <c r="B30" s="35"/>
      <c r="C30" s="38"/>
      <c r="D30" s="38"/>
      <c r="E30" s="37"/>
      <c r="F30" s="37"/>
      <c r="G30" s="35"/>
      <c r="H30" s="36"/>
      <c r="I30" s="6"/>
      <c r="J30" s="36">
        <f t="shared" si="1"/>
        <v>0</v>
      </c>
    </row>
    <row r="31" spans="1:10" ht="19.95" customHeight="1" x14ac:dyDescent="0.3">
      <c r="A31" s="35"/>
      <c r="B31" s="35"/>
      <c r="C31" s="38"/>
      <c r="D31" s="38"/>
      <c r="E31" s="37"/>
      <c r="F31" s="35"/>
      <c r="G31" s="35"/>
      <c r="H31" s="36"/>
      <c r="I31" s="6"/>
      <c r="J31" s="36">
        <f t="shared" si="1"/>
        <v>0</v>
      </c>
    </row>
    <row r="32" spans="1:10" ht="19.95" customHeight="1" x14ac:dyDescent="0.3">
      <c r="A32" s="35"/>
      <c r="B32" s="35"/>
      <c r="C32" s="38"/>
      <c r="D32" s="38"/>
      <c r="E32" s="37"/>
      <c r="F32" s="35"/>
      <c r="G32" s="35"/>
      <c r="H32" s="36"/>
      <c r="I32" s="6"/>
      <c r="J32" s="36">
        <f t="shared" si="1"/>
        <v>0</v>
      </c>
    </row>
    <row r="33" spans="1:10" ht="19.95" customHeight="1" x14ac:dyDescent="0.3">
      <c r="A33" s="35"/>
      <c r="B33" s="35"/>
      <c r="C33" s="38"/>
      <c r="D33" s="38"/>
      <c r="E33" s="37"/>
      <c r="F33" s="35"/>
      <c r="G33" s="35"/>
      <c r="H33" s="36"/>
      <c r="I33" s="6"/>
      <c r="J33" s="36">
        <f t="shared" si="1"/>
        <v>0</v>
      </c>
    </row>
    <row r="34" spans="1:10" ht="19.95" customHeight="1" x14ac:dyDescent="0.3">
      <c r="A34" s="35"/>
      <c r="B34" s="35"/>
      <c r="C34" s="38"/>
      <c r="D34" s="38"/>
      <c r="E34" s="37"/>
      <c r="F34" s="35"/>
      <c r="G34" s="35"/>
      <c r="H34" s="36"/>
      <c r="I34" s="6"/>
      <c r="J34" s="36">
        <f t="shared" si="1"/>
        <v>0</v>
      </c>
    </row>
    <row r="35" spans="1:10" ht="19.95" customHeight="1" x14ac:dyDescent="0.3">
      <c r="A35" s="35"/>
      <c r="B35" s="35"/>
      <c r="C35" s="38"/>
      <c r="D35" s="38"/>
      <c r="E35" s="37"/>
      <c r="F35" s="35"/>
      <c r="G35" s="35"/>
      <c r="H35" s="36"/>
      <c r="I35" s="6"/>
      <c r="J35" s="36">
        <f t="shared" si="1"/>
        <v>0</v>
      </c>
    </row>
    <row r="36" spans="1:10" ht="19.95" customHeight="1" x14ac:dyDescent="0.3">
      <c r="A36" s="14"/>
      <c r="B36" s="14"/>
      <c r="C36" s="14"/>
      <c r="D36" s="14"/>
      <c r="E36" s="15"/>
      <c r="F36" s="14"/>
      <c r="G36" s="16"/>
      <c r="H36" s="36">
        <f>SUM(H19:H35)</f>
        <v>2000</v>
      </c>
      <c r="I36" s="6">
        <f>SUM(I19:I35)</f>
        <v>0</v>
      </c>
      <c r="J36" s="36">
        <f>SUM(J19:J35)</f>
        <v>2000</v>
      </c>
    </row>
    <row r="38" spans="1:10" ht="23.4" x14ac:dyDescent="0.3">
      <c r="A38" s="180" t="s">
        <v>62</v>
      </c>
      <c r="B38" s="180"/>
      <c r="C38" s="180"/>
      <c r="D38" s="180"/>
      <c r="E38" s="180"/>
      <c r="F38" s="180"/>
      <c r="G38" s="180"/>
      <c r="H38" s="180"/>
      <c r="I38" s="180"/>
      <c r="J38" s="180"/>
    </row>
  </sheetData>
  <mergeCells count="5">
    <mergeCell ref="I1:J1"/>
    <mergeCell ref="A2:J2"/>
    <mergeCell ref="A3:J3"/>
    <mergeCell ref="A17:J17"/>
    <mergeCell ref="A38:J3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9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J38"/>
  <sheetViews>
    <sheetView zoomScale="70" zoomScaleNormal="70" workbookViewId="0">
      <selection activeCell="O18" sqref="O1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45931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250069</v>
      </c>
      <c r="B5" s="35">
        <v>304</v>
      </c>
      <c r="C5" s="38">
        <v>0.6</v>
      </c>
      <c r="D5" s="38" t="s">
        <v>21</v>
      </c>
      <c r="E5" s="37" t="s">
        <v>114</v>
      </c>
      <c r="F5" s="37" t="s">
        <v>113</v>
      </c>
      <c r="G5" s="35">
        <v>430</v>
      </c>
      <c r="H5" s="36">
        <v>1650</v>
      </c>
      <c r="I5" s="6">
        <f>1000+650</f>
        <v>1650</v>
      </c>
      <c r="J5" s="36">
        <f t="shared" ref="J5:J13" si="0">H5-I5</f>
        <v>0</v>
      </c>
    </row>
    <row r="6" spans="1:10" ht="19.95" customHeight="1" x14ac:dyDescent="0.3">
      <c r="A6" s="35">
        <v>250068</v>
      </c>
      <c r="B6" s="35">
        <v>304</v>
      </c>
      <c r="C6" s="38">
        <v>0.6</v>
      </c>
      <c r="D6" s="38" t="s">
        <v>21</v>
      </c>
      <c r="E6" s="37" t="s">
        <v>115</v>
      </c>
      <c r="F6" s="37" t="s">
        <v>113</v>
      </c>
      <c r="G6" s="35">
        <v>430</v>
      </c>
      <c r="H6" s="36">
        <v>1650</v>
      </c>
      <c r="I6" s="6">
        <v>1650</v>
      </c>
      <c r="J6" s="36">
        <f t="shared" si="0"/>
        <v>0</v>
      </c>
    </row>
    <row r="7" spans="1:10" ht="19.95" customHeight="1" x14ac:dyDescent="0.3">
      <c r="A7" s="35"/>
      <c r="B7" s="35"/>
      <c r="C7" s="38"/>
      <c r="D7" s="38"/>
      <c r="E7" s="37"/>
      <c r="F7" s="37"/>
      <c r="G7" s="35"/>
      <c r="H7" s="36"/>
      <c r="I7" s="6"/>
      <c r="J7" s="36">
        <f t="shared" si="0"/>
        <v>0</v>
      </c>
    </row>
    <row r="8" spans="1:10" ht="19.95" customHeight="1" x14ac:dyDescent="0.3">
      <c r="A8" s="35">
        <v>250069</v>
      </c>
      <c r="B8" s="35">
        <v>304</v>
      </c>
      <c r="C8" s="38">
        <v>0.6</v>
      </c>
      <c r="D8" s="38" t="s">
        <v>21</v>
      </c>
      <c r="E8" s="37" t="s">
        <v>123</v>
      </c>
      <c r="F8" s="37" t="s">
        <v>113</v>
      </c>
      <c r="G8" s="35">
        <v>430</v>
      </c>
      <c r="H8" s="36">
        <v>1650</v>
      </c>
      <c r="I8" s="6">
        <v>1650</v>
      </c>
      <c r="J8" s="36">
        <f t="shared" si="0"/>
        <v>0</v>
      </c>
    </row>
    <row r="9" spans="1:10" ht="19.95" customHeight="1" x14ac:dyDescent="0.3">
      <c r="A9" s="35">
        <v>250068</v>
      </c>
      <c r="B9" s="35">
        <v>304</v>
      </c>
      <c r="C9" s="38">
        <v>0.6</v>
      </c>
      <c r="D9" s="38" t="s">
        <v>21</v>
      </c>
      <c r="E9" s="37" t="s">
        <v>124</v>
      </c>
      <c r="F9" s="39" t="s">
        <v>113</v>
      </c>
      <c r="G9" s="35">
        <v>430</v>
      </c>
      <c r="H9" s="36">
        <v>1650</v>
      </c>
      <c r="I9" s="6">
        <f>510+1160</f>
        <v>1670</v>
      </c>
      <c r="J9" s="36">
        <f t="shared" si="0"/>
        <v>-20</v>
      </c>
    </row>
    <row r="10" spans="1:10" ht="19.95" customHeight="1" x14ac:dyDescent="0.3">
      <c r="A10" s="35"/>
      <c r="B10" s="35"/>
      <c r="C10" s="38"/>
      <c r="D10" s="38"/>
      <c r="E10" s="37"/>
      <c r="F10" s="35"/>
      <c r="G10" s="35"/>
      <c r="H10" s="36"/>
      <c r="I10" s="6"/>
      <c r="J10" s="36">
        <f t="shared" si="0"/>
        <v>0</v>
      </c>
    </row>
    <row r="11" spans="1:10" ht="19.95" customHeight="1" x14ac:dyDescent="0.3">
      <c r="A11" s="35">
        <v>210825</v>
      </c>
      <c r="B11" s="35">
        <v>430</v>
      </c>
      <c r="C11" s="38">
        <v>0.6</v>
      </c>
      <c r="D11" s="38" t="s">
        <v>21</v>
      </c>
      <c r="E11" s="37" t="s">
        <v>125</v>
      </c>
      <c r="F11" s="37" t="s">
        <v>113</v>
      </c>
      <c r="G11" s="35">
        <v>430</v>
      </c>
      <c r="H11" s="36">
        <v>3000</v>
      </c>
      <c r="I11" s="6">
        <v>1300</v>
      </c>
      <c r="J11" s="36">
        <f t="shared" si="0"/>
        <v>1700</v>
      </c>
    </row>
    <row r="12" spans="1:10" ht="19.95" customHeight="1" x14ac:dyDescent="0.3">
      <c r="A12" s="35">
        <v>210825</v>
      </c>
      <c r="B12" s="35">
        <v>430</v>
      </c>
      <c r="C12" s="38">
        <v>0.6</v>
      </c>
      <c r="D12" s="38" t="s">
        <v>21</v>
      </c>
      <c r="E12" s="37" t="s">
        <v>126</v>
      </c>
      <c r="F12" s="37" t="s">
        <v>113</v>
      </c>
      <c r="G12" s="35">
        <v>430</v>
      </c>
      <c r="H12" s="36">
        <v>3000</v>
      </c>
      <c r="I12" s="6"/>
      <c r="J12" s="36">
        <f t="shared" si="0"/>
        <v>3000</v>
      </c>
    </row>
    <row r="13" spans="1:10" ht="19.95" customHeight="1" x14ac:dyDescent="0.3">
      <c r="A13" s="35">
        <v>210825</v>
      </c>
      <c r="B13" s="35">
        <v>430</v>
      </c>
      <c r="C13" s="38">
        <v>0.6</v>
      </c>
      <c r="D13" s="38" t="s">
        <v>21</v>
      </c>
      <c r="E13" s="37" t="s">
        <v>127</v>
      </c>
      <c r="F13" s="37" t="s">
        <v>113</v>
      </c>
      <c r="G13" s="35">
        <v>430</v>
      </c>
      <c r="H13" s="36">
        <v>2600</v>
      </c>
      <c r="I13" s="6"/>
      <c r="J13" s="36">
        <f t="shared" si="0"/>
        <v>2600</v>
      </c>
    </row>
    <row r="14" spans="1:10" ht="19.95" customHeight="1" x14ac:dyDescent="0.3">
      <c r="A14" s="35"/>
      <c r="B14" s="35"/>
      <c r="C14" s="38"/>
      <c r="D14" s="38"/>
      <c r="E14" s="37"/>
      <c r="F14" s="37"/>
      <c r="G14" s="35"/>
      <c r="H14" s="36"/>
      <c r="I14" s="19"/>
      <c r="J14" s="36"/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SUM(H5:H13)</f>
        <v>15200</v>
      </c>
      <c r="I15" s="19">
        <f>SUM(I5:I13)</f>
        <v>7920</v>
      </c>
      <c r="J15" s="36">
        <f>SUM(J5:J13)</f>
        <v>7280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/>
      <c r="J19" s="36">
        <f t="shared" ref="J19:J35" si="1">H19-I19</f>
        <v>500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1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/>
      <c r="J21" s="36">
        <f t="shared" si="1"/>
        <v>500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1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7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7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7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7"/>
      <c r="G28" s="35"/>
      <c r="H28" s="36"/>
      <c r="I28" s="6"/>
      <c r="J28" s="36">
        <f t="shared" si="1"/>
        <v>0</v>
      </c>
    </row>
    <row r="29" spans="1:10" ht="19.95" customHeight="1" x14ac:dyDescent="0.3">
      <c r="A29" s="35"/>
      <c r="B29" s="35"/>
      <c r="C29" s="38"/>
      <c r="D29" s="38"/>
      <c r="E29" s="37"/>
      <c r="F29" s="37"/>
      <c r="G29" s="35"/>
      <c r="H29" s="36"/>
      <c r="I29" s="6"/>
      <c r="J29" s="36">
        <f t="shared" si="1"/>
        <v>0</v>
      </c>
    </row>
    <row r="30" spans="1:10" ht="19.95" customHeight="1" x14ac:dyDescent="0.3">
      <c r="A30" s="35"/>
      <c r="B30" s="35"/>
      <c r="C30" s="38"/>
      <c r="D30" s="38"/>
      <c r="E30" s="37"/>
      <c r="F30" s="37"/>
      <c r="G30" s="35"/>
      <c r="H30" s="36"/>
      <c r="I30" s="6"/>
      <c r="J30" s="36">
        <f t="shared" si="1"/>
        <v>0</v>
      </c>
    </row>
    <row r="31" spans="1:10" ht="19.95" customHeight="1" x14ac:dyDescent="0.3">
      <c r="A31" s="35"/>
      <c r="B31" s="35"/>
      <c r="C31" s="38"/>
      <c r="D31" s="38"/>
      <c r="E31" s="37"/>
      <c r="F31" s="35"/>
      <c r="G31" s="35"/>
      <c r="H31" s="36"/>
      <c r="I31" s="6"/>
      <c r="J31" s="36">
        <f t="shared" si="1"/>
        <v>0</v>
      </c>
    </row>
    <row r="32" spans="1:10" ht="19.95" customHeight="1" x14ac:dyDescent="0.3">
      <c r="A32" s="35"/>
      <c r="B32" s="35"/>
      <c r="C32" s="38"/>
      <c r="D32" s="38"/>
      <c r="E32" s="37"/>
      <c r="F32" s="35"/>
      <c r="G32" s="35"/>
      <c r="H32" s="36"/>
      <c r="I32" s="6"/>
      <c r="J32" s="36">
        <f t="shared" si="1"/>
        <v>0</v>
      </c>
    </row>
    <row r="33" spans="1:10" ht="19.95" customHeight="1" x14ac:dyDescent="0.3">
      <c r="A33" s="35"/>
      <c r="B33" s="35"/>
      <c r="C33" s="38"/>
      <c r="D33" s="38"/>
      <c r="E33" s="37"/>
      <c r="F33" s="35"/>
      <c r="G33" s="35"/>
      <c r="H33" s="36"/>
      <c r="I33" s="6"/>
      <c r="J33" s="36">
        <f t="shared" si="1"/>
        <v>0</v>
      </c>
    </row>
    <row r="34" spans="1:10" ht="19.95" customHeight="1" x14ac:dyDescent="0.3">
      <c r="A34" s="35"/>
      <c r="B34" s="35"/>
      <c r="C34" s="38"/>
      <c r="D34" s="38"/>
      <c r="E34" s="37"/>
      <c r="F34" s="35"/>
      <c r="G34" s="35"/>
      <c r="H34" s="36"/>
      <c r="I34" s="6"/>
      <c r="J34" s="36">
        <f t="shared" si="1"/>
        <v>0</v>
      </c>
    </row>
    <row r="35" spans="1:10" ht="19.95" customHeight="1" x14ac:dyDescent="0.3">
      <c r="A35" s="35"/>
      <c r="B35" s="35"/>
      <c r="C35" s="38"/>
      <c r="D35" s="38"/>
      <c r="E35" s="37"/>
      <c r="F35" s="35"/>
      <c r="G35" s="35"/>
      <c r="H35" s="36"/>
      <c r="I35" s="6"/>
      <c r="J35" s="36">
        <f t="shared" si="1"/>
        <v>0</v>
      </c>
    </row>
    <row r="36" spans="1:10" ht="19.95" customHeight="1" x14ac:dyDescent="0.3">
      <c r="A36" s="14"/>
      <c r="B36" s="14"/>
      <c r="C36" s="14"/>
      <c r="D36" s="14"/>
      <c r="E36" s="15"/>
      <c r="F36" s="14"/>
      <c r="G36" s="16"/>
      <c r="H36" s="36">
        <f>SUM(H19:H35)</f>
        <v>2000</v>
      </c>
      <c r="I36" s="6">
        <f>SUM(I19:I35)</f>
        <v>0</v>
      </c>
      <c r="J36" s="36">
        <f>SUM(J19:J35)</f>
        <v>2000</v>
      </c>
    </row>
    <row r="38" spans="1:10" ht="23.4" x14ac:dyDescent="0.3">
      <c r="A38" s="180" t="s">
        <v>62</v>
      </c>
      <c r="B38" s="180"/>
      <c r="C38" s="180"/>
      <c r="D38" s="180"/>
      <c r="E38" s="180"/>
      <c r="F38" s="180"/>
      <c r="G38" s="180"/>
      <c r="H38" s="180"/>
      <c r="I38" s="180"/>
      <c r="J38" s="180"/>
    </row>
  </sheetData>
  <mergeCells count="5">
    <mergeCell ref="I1:J1"/>
    <mergeCell ref="A2:J2"/>
    <mergeCell ref="A3:J3"/>
    <mergeCell ref="A17:J17"/>
    <mergeCell ref="A38:J3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9" orientation="landscape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J31"/>
  <sheetViews>
    <sheetView zoomScale="70" zoomScaleNormal="70" workbookViewId="0">
      <selection activeCell="I7" sqref="I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45932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210825</v>
      </c>
      <c r="B5" s="35">
        <v>430</v>
      </c>
      <c r="C5" s="38">
        <v>0.6</v>
      </c>
      <c r="D5" s="38" t="s">
        <v>21</v>
      </c>
      <c r="E5" s="37" t="s">
        <v>125</v>
      </c>
      <c r="F5" s="37" t="s">
        <v>113</v>
      </c>
      <c r="G5" s="35">
        <v>430</v>
      </c>
      <c r="H5" s="36">
        <v>3000</v>
      </c>
      <c r="I5" s="6">
        <f>1300+1870</f>
        <v>3170</v>
      </c>
      <c r="J5" s="36">
        <f t="shared" ref="J5:J13" si="0">H5-I5</f>
        <v>-170</v>
      </c>
    </row>
    <row r="6" spans="1:10" ht="19.95" customHeight="1" x14ac:dyDescent="0.3">
      <c r="A6" s="35">
        <v>210825</v>
      </c>
      <c r="B6" s="35">
        <v>430</v>
      </c>
      <c r="C6" s="38">
        <v>0.6</v>
      </c>
      <c r="D6" s="38" t="s">
        <v>21</v>
      </c>
      <c r="E6" s="37" t="s">
        <v>126</v>
      </c>
      <c r="F6" s="37" t="s">
        <v>113</v>
      </c>
      <c r="G6" s="35">
        <v>430</v>
      </c>
      <c r="H6" s="36">
        <v>3000</v>
      </c>
      <c r="I6" s="6">
        <v>700</v>
      </c>
      <c r="J6" s="36">
        <f t="shared" si="0"/>
        <v>2300</v>
      </c>
    </row>
    <row r="7" spans="1:10" ht="19.95" customHeight="1" x14ac:dyDescent="0.3">
      <c r="A7" s="35">
        <v>210825</v>
      </c>
      <c r="B7" s="35">
        <v>430</v>
      </c>
      <c r="C7" s="38">
        <v>0.6</v>
      </c>
      <c r="D7" s="38" t="s">
        <v>21</v>
      </c>
      <c r="E7" s="37" t="s">
        <v>127</v>
      </c>
      <c r="F7" s="37" t="s">
        <v>113</v>
      </c>
      <c r="G7" s="35">
        <v>430</v>
      </c>
      <c r="H7" s="36">
        <v>2600</v>
      </c>
      <c r="I7" s="6"/>
      <c r="J7" s="36">
        <f t="shared" si="0"/>
        <v>2600</v>
      </c>
    </row>
    <row r="8" spans="1:10" ht="19.95" customHeight="1" x14ac:dyDescent="0.3">
      <c r="A8" s="35"/>
      <c r="B8" s="35"/>
      <c r="C8" s="38"/>
      <c r="D8" s="38"/>
      <c r="E8" s="37"/>
      <c r="F8" s="37"/>
      <c r="G8" s="35"/>
      <c r="H8" s="36"/>
      <c r="I8" s="6"/>
      <c r="J8" s="36">
        <f t="shared" si="0"/>
        <v>0</v>
      </c>
    </row>
    <row r="9" spans="1:10" ht="19.95" customHeight="1" x14ac:dyDescent="0.3">
      <c r="A9" s="35">
        <v>250043</v>
      </c>
      <c r="B9" s="35">
        <v>304</v>
      </c>
      <c r="C9" s="38">
        <v>0.6</v>
      </c>
      <c r="D9" s="38" t="s">
        <v>21</v>
      </c>
      <c r="E9" s="37" t="s">
        <v>128</v>
      </c>
      <c r="F9" s="37" t="s">
        <v>113</v>
      </c>
      <c r="G9" s="35">
        <v>304</v>
      </c>
      <c r="H9" s="36">
        <v>300</v>
      </c>
      <c r="I9" s="6"/>
      <c r="J9" s="36">
        <f t="shared" si="0"/>
        <v>300</v>
      </c>
    </row>
    <row r="10" spans="1:10" ht="19.95" customHeight="1" x14ac:dyDescent="0.3">
      <c r="A10" s="35">
        <v>250043</v>
      </c>
      <c r="B10" s="35">
        <v>304</v>
      </c>
      <c r="C10" s="38">
        <v>0.6</v>
      </c>
      <c r="D10" s="38" t="s">
        <v>21</v>
      </c>
      <c r="E10" s="37" t="s">
        <v>129</v>
      </c>
      <c r="F10" s="37" t="s">
        <v>113</v>
      </c>
      <c r="G10" s="35">
        <v>304</v>
      </c>
      <c r="H10" s="36">
        <v>750</v>
      </c>
      <c r="I10" s="6"/>
      <c r="J10" s="36">
        <f t="shared" si="0"/>
        <v>750</v>
      </c>
    </row>
    <row r="11" spans="1:10" ht="19.95" customHeight="1" x14ac:dyDescent="0.3">
      <c r="A11" s="35">
        <v>250043</v>
      </c>
      <c r="B11" s="35">
        <v>304</v>
      </c>
      <c r="C11" s="38">
        <v>0.6</v>
      </c>
      <c r="D11" s="38" t="s">
        <v>21</v>
      </c>
      <c r="E11" s="37" t="s">
        <v>130</v>
      </c>
      <c r="F11" s="37" t="s">
        <v>113</v>
      </c>
      <c r="G11" s="35">
        <v>304</v>
      </c>
      <c r="H11" s="36">
        <v>300</v>
      </c>
      <c r="I11" s="6"/>
      <c r="J11" s="36">
        <f t="shared" si="0"/>
        <v>300</v>
      </c>
    </row>
    <row r="12" spans="1:10" ht="19.95" customHeight="1" x14ac:dyDescent="0.3">
      <c r="A12" s="35">
        <v>250043</v>
      </c>
      <c r="B12" s="35">
        <v>304</v>
      </c>
      <c r="C12" s="38">
        <v>0.6</v>
      </c>
      <c r="D12" s="38" t="s">
        <v>21</v>
      </c>
      <c r="E12" s="37" t="s">
        <v>131</v>
      </c>
      <c r="F12" s="37" t="s">
        <v>113</v>
      </c>
      <c r="G12" s="35">
        <v>304</v>
      </c>
      <c r="H12" s="36">
        <v>750</v>
      </c>
      <c r="I12" s="6"/>
      <c r="J12" s="36">
        <f t="shared" si="0"/>
        <v>750</v>
      </c>
    </row>
    <row r="13" spans="1:10" ht="19.95" customHeight="1" x14ac:dyDescent="0.3">
      <c r="A13" s="35">
        <v>250043</v>
      </c>
      <c r="B13" s="35">
        <v>304</v>
      </c>
      <c r="C13" s="38">
        <v>0.6</v>
      </c>
      <c r="D13" s="38" t="s">
        <v>21</v>
      </c>
      <c r="E13" s="37" t="s">
        <v>132</v>
      </c>
      <c r="F13" s="37" t="s">
        <v>113</v>
      </c>
      <c r="G13" s="35">
        <v>304</v>
      </c>
      <c r="H13" s="36">
        <v>750</v>
      </c>
      <c r="I13" s="6"/>
      <c r="J13" s="36">
        <f t="shared" si="0"/>
        <v>750</v>
      </c>
    </row>
    <row r="14" spans="1:10" ht="19.95" customHeight="1" x14ac:dyDescent="0.3">
      <c r="A14" s="35">
        <v>250043</v>
      </c>
      <c r="B14" s="35">
        <v>304</v>
      </c>
      <c r="C14" s="38">
        <v>0.6</v>
      </c>
      <c r="D14" s="38" t="s">
        <v>21</v>
      </c>
      <c r="E14" s="37" t="s">
        <v>133</v>
      </c>
      <c r="F14" s="37" t="s">
        <v>113</v>
      </c>
      <c r="G14" s="35">
        <v>304</v>
      </c>
      <c r="H14" s="36">
        <v>300</v>
      </c>
      <c r="I14" s="19"/>
      <c r="J14" s="36">
        <v>300</v>
      </c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SUM(H5:H14)</f>
        <v>11750</v>
      </c>
      <c r="I15" s="19">
        <f>SUM(I5:I13)</f>
        <v>3870</v>
      </c>
      <c r="J15" s="36">
        <f>SUM(J5:J14)</f>
        <v>7880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/>
      <c r="J19" s="36">
        <f t="shared" ref="J19:J28" si="1">H19-I19</f>
        <v>500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1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/>
      <c r="J21" s="36">
        <f t="shared" si="1"/>
        <v>500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1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5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5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5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5"/>
      <c r="G28" s="35"/>
      <c r="H28" s="36"/>
      <c r="I28" s="6"/>
      <c r="J28" s="36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36">
        <f>SUM(H19:H28)</f>
        <v>2000</v>
      </c>
      <c r="I29" s="6">
        <f>SUM(I19:I28)</f>
        <v>0</v>
      </c>
      <c r="J29" s="36">
        <f>SUM(J19:J28)</f>
        <v>2000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7:J17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J31"/>
  <sheetViews>
    <sheetView zoomScale="70" zoomScaleNormal="70" workbookViewId="0">
      <selection activeCell="I6" sqref="I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45933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210825</v>
      </c>
      <c r="B5" s="35">
        <v>430</v>
      </c>
      <c r="C5" s="38">
        <v>0.6</v>
      </c>
      <c r="D5" s="38" t="s">
        <v>21</v>
      </c>
      <c r="E5" s="37" t="s">
        <v>126</v>
      </c>
      <c r="F5" s="37" t="s">
        <v>113</v>
      </c>
      <c r="G5" s="35">
        <v>430</v>
      </c>
      <c r="H5" s="36">
        <v>3000</v>
      </c>
      <c r="I5" s="6">
        <f>700+2400</f>
        <v>3100</v>
      </c>
      <c r="J5" s="36">
        <f t="shared" ref="J5:J7" si="0">H5-I5</f>
        <v>-100</v>
      </c>
    </row>
    <row r="6" spans="1:10" ht="19.95" customHeight="1" x14ac:dyDescent="0.3">
      <c r="A6" s="35">
        <v>210825</v>
      </c>
      <c r="B6" s="35">
        <v>430</v>
      </c>
      <c r="C6" s="38">
        <v>0.6</v>
      </c>
      <c r="D6" s="38" t="s">
        <v>21</v>
      </c>
      <c r="E6" s="37" t="s">
        <v>127</v>
      </c>
      <c r="F6" s="37" t="s">
        <v>113</v>
      </c>
      <c r="G6" s="35">
        <v>430</v>
      </c>
      <c r="H6" s="36">
        <v>2600</v>
      </c>
      <c r="I6" s="6">
        <v>100</v>
      </c>
      <c r="J6" s="36">
        <f t="shared" si="0"/>
        <v>2500</v>
      </c>
    </row>
    <row r="7" spans="1:10" ht="19.95" customHeight="1" x14ac:dyDescent="0.3">
      <c r="A7" s="35"/>
      <c r="B7" s="35"/>
      <c r="C7" s="38"/>
      <c r="D7" s="38"/>
      <c r="E7" s="37"/>
      <c r="F7" s="37"/>
      <c r="G7" s="35"/>
      <c r="H7" s="36"/>
      <c r="I7" s="6"/>
      <c r="J7" s="36">
        <f t="shared" si="0"/>
        <v>0</v>
      </c>
    </row>
    <row r="8" spans="1:10" ht="19.95" customHeight="1" x14ac:dyDescent="0.3">
      <c r="A8" s="35"/>
      <c r="B8" s="35"/>
      <c r="C8" s="38"/>
      <c r="D8" s="38"/>
      <c r="E8" s="37"/>
      <c r="F8" s="37"/>
      <c r="G8" s="35"/>
      <c r="H8" s="36"/>
      <c r="I8" s="6"/>
      <c r="J8" s="36">
        <f t="shared" ref="J8:J13" si="1">H8-I8</f>
        <v>0</v>
      </c>
    </row>
    <row r="9" spans="1:10" ht="19.95" customHeight="1" x14ac:dyDescent="0.3">
      <c r="A9" s="35">
        <v>250043</v>
      </c>
      <c r="B9" s="35">
        <v>304</v>
      </c>
      <c r="C9" s="38">
        <v>0.6</v>
      </c>
      <c r="D9" s="38" t="s">
        <v>21</v>
      </c>
      <c r="E9" s="37" t="s">
        <v>128</v>
      </c>
      <c r="F9" s="37" t="s">
        <v>113</v>
      </c>
      <c r="G9" s="35">
        <v>304</v>
      </c>
      <c r="H9" s="36">
        <v>300</v>
      </c>
      <c r="I9" s="6"/>
      <c r="J9" s="36">
        <f t="shared" si="1"/>
        <v>300</v>
      </c>
    </row>
    <row r="10" spans="1:10" ht="19.95" customHeight="1" x14ac:dyDescent="0.3">
      <c r="A10" s="35">
        <v>250043</v>
      </c>
      <c r="B10" s="35">
        <v>304</v>
      </c>
      <c r="C10" s="38">
        <v>0.6</v>
      </c>
      <c r="D10" s="38" t="s">
        <v>21</v>
      </c>
      <c r="E10" s="37" t="s">
        <v>129</v>
      </c>
      <c r="F10" s="37" t="s">
        <v>113</v>
      </c>
      <c r="G10" s="35">
        <v>304</v>
      </c>
      <c r="H10" s="36">
        <v>750</v>
      </c>
      <c r="I10" s="6"/>
      <c r="J10" s="36">
        <f t="shared" si="1"/>
        <v>750</v>
      </c>
    </row>
    <row r="11" spans="1:10" ht="19.95" customHeight="1" x14ac:dyDescent="0.3">
      <c r="A11" s="35">
        <v>250043</v>
      </c>
      <c r="B11" s="35">
        <v>304</v>
      </c>
      <c r="C11" s="38">
        <v>0.6</v>
      </c>
      <c r="D11" s="38" t="s">
        <v>21</v>
      </c>
      <c r="E11" s="37" t="s">
        <v>130</v>
      </c>
      <c r="F11" s="37" t="s">
        <v>113</v>
      </c>
      <c r="G11" s="35">
        <v>304</v>
      </c>
      <c r="H11" s="36">
        <v>300</v>
      </c>
      <c r="I11" s="6"/>
      <c r="J11" s="36">
        <f t="shared" si="1"/>
        <v>300</v>
      </c>
    </row>
    <row r="12" spans="1:10" ht="19.95" customHeight="1" x14ac:dyDescent="0.3">
      <c r="A12" s="35">
        <v>250043</v>
      </c>
      <c r="B12" s="35">
        <v>304</v>
      </c>
      <c r="C12" s="38">
        <v>0.6</v>
      </c>
      <c r="D12" s="38" t="s">
        <v>21</v>
      </c>
      <c r="E12" s="37" t="s">
        <v>131</v>
      </c>
      <c r="F12" s="37" t="s">
        <v>113</v>
      </c>
      <c r="G12" s="35">
        <v>304</v>
      </c>
      <c r="H12" s="36">
        <v>750</v>
      </c>
      <c r="I12" s="6"/>
      <c r="J12" s="36">
        <f t="shared" si="1"/>
        <v>750</v>
      </c>
    </row>
    <row r="13" spans="1:10" ht="19.95" customHeight="1" x14ac:dyDescent="0.3">
      <c r="A13" s="35">
        <v>250043</v>
      </c>
      <c r="B13" s="35">
        <v>304</v>
      </c>
      <c r="C13" s="38">
        <v>0.6</v>
      </c>
      <c r="D13" s="38" t="s">
        <v>21</v>
      </c>
      <c r="E13" s="37" t="s">
        <v>132</v>
      </c>
      <c r="F13" s="37" t="s">
        <v>113</v>
      </c>
      <c r="G13" s="35">
        <v>304</v>
      </c>
      <c r="H13" s="36">
        <v>750</v>
      </c>
      <c r="I13" s="6"/>
      <c r="J13" s="36">
        <f t="shared" si="1"/>
        <v>750</v>
      </c>
    </row>
    <row r="14" spans="1:10" ht="19.95" customHeight="1" x14ac:dyDescent="0.3">
      <c r="A14" s="35">
        <v>250043</v>
      </c>
      <c r="B14" s="35">
        <v>304</v>
      </c>
      <c r="C14" s="38">
        <v>0.6</v>
      </c>
      <c r="D14" s="38" t="s">
        <v>21</v>
      </c>
      <c r="E14" s="37" t="s">
        <v>133</v>
      </c>
      <c r="F14" s="37" t="s">
        <v>113</v>
      </c>
      <c r="G14" s="35">
        <v>304</v>
      </c>
      <c r="H14" s="36">
        <v>300</v>
      </c>
      <c r="I14" s="19"/>
      <c r="J14" s="36">
        <v>300</v>
      </c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SUM(H5:H14)</f>
        <v>8750</v>
      </c>
      <c r="I15" s="19">
        <f>SUM(I5:I13)</f>
        <v>3200</v>
      </c>
      <c r="J15" s="36">
        <f>SUM(J5:J14)</f>
        <v>5550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/>
      <c r="J19" s="36">
        <f t="shared" ref="J19:J28" si="2">H19-I19</f>
        <v>500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2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/>
      <c r="J21" s="36">
        <f t="shared" si="2"/>
        <v>500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2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2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2"/>
        <v>0</v>
      </c>
    </row>
    <row r="25" spans="1:10" ht="19.95" customHeight="1" x14ac:dyDescent="0.3">
      <c r="A25" s="35"/>
      <c r="B25" s="35"/>
      <c r="C25" s="38"/>
      <c r="D25" s="38"/>
      <c r="E25" s="37"/>
      <c r="F25" s="35"/>
      <c r="G25" s="35"/>
      <c r="H25" s="36"/>
      <c r="I25" s="6"/>
      <c r="J25" s="36">
        <f t="shared" si="2"/>
        <v>0</v>
      </c>
    </row>
    <row r="26" spans="1:10" ht="19.95" customHeight="1" x14ac:dyDescent="0.3">
      <c r="A26" s="35"/>
      <c r="B26" s="35"/>
      <c r="C26" s="38"/>
      <c r="D26" s="38"/>
      <c r="E26" s="37"/>
      <c r="F26" s="35"/>
      <c r="G26" s="35"/>
      <c r="H26" s="36"/>
      <c r="I26" s="6"/>
      <c r="J26" s="36">
        <f t="shared" si="2"/>
        <v>0</v>
      </c>
    </row>
    <row r="27" spans="1:10" ht="19.95" customHeight="1" x14ac:dyDescent="0.3">
      <c r="A27" s="35"/>
      <c r="B27" s="35"/>
      <c r="C27" s="38"/>
      <c r="D27" s="38"/>
      <c r="E27" s="37"/>
      <c r="F27" s="35"/>
      <c r="G27" s="35"/>
      <c r="H27" s="36"/>
      <c r="I27" s="6"/>
      <c r="J27" s="36">
        <f t="shared" si="2"/>
        <v>0</v>
      </c>
    </row>
    <row r="28" spans="1:10" ht="19.95" customHeight="1" x14ac:dyDescent="0.3">
      <c r="A28" s="35"/>
      <c r="B28" s="35"/>
      <c r="C28" s="38"/>
      <c r="D28" s="38"/>
      <c r="E28" s="37"/>
      <c r="F28" s="35"/>
      <c r="G28" s="35"/>
      <c r="H28" s="36"/>
      <c r="I28" s="6"/>
      <c r="J28" s="36">
        <f t="shared" si="2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36">
        <f>SUM(H19:H28)</f>
        <v>2000</v>
      </c>
      <c r="I29" s="6">
        <f>SUM(I19:I28)</f>
        <v>0</v>
      </c>
      <c r="J29" s="36">
        <f>SUM(J19:J28)</f>
        <v>2000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7:J17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J31"/>
  <sheetViews>
    <sheetView zoomScale="70" zoomScaleNormal="70" workbookViewId="0">
      <selection activeCell="A2" sqref="A2:J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45934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210825</v>
      </c>
      <c r="B5" s="35">
        <v>430</v>
      </c>
      <c r="C5" s="38">
        <v>0.6</v>
      </c>
      <c r="D5" s="38" t="s">
        <v>21</v>
      </c>
      <c r="E5" s="37" t="s">
        <v>126</v>
      </c>
      <c r="F5" s="37" t="s">
        <v>113</v>
      </c>
      <c r="G5" s="35">
        <v>430</v>
      </c>
      <c r="H5" s="36">
        <v>3000</v>
      </c>
      <c r="I5" s="6">
        <f>700+2400</f>
        <v>3100</v>
      </c>
      <c r="J5" s="36">
        <f t="shared" ref="J5:J13" si="0">H5-I5</f>
        <v>-100</v>
      </c>
    </row>
    <row r="6" spans="1:10" ht="19.95" customHeight="1" x14ac:dyDescent="0.3">
      <c r="A6" s="35">
        <v>210825</v>
      </c>
      <c r="B6" s="35">
        <v>430</v>
      </c>
      <c r="C6" s="38">
        <v>0.6</v>
      </c>
      <c r="D6" s="38" t="s">
        <v>21</v>
      </c>
      <c r="E6" s="37" t="s">
        <v>127</v>
      </c>
      <c r="F6" s="37" t="s">
        <v>113</v>
      </c>
      <c r="G6" s="35">
        <v>430</v>
      </c>
      <c r="H6" s="36">
        <v>2600</v>
      </c>
      <c r="I6" s="6">
        <f>100+1700</f>
        <v>1800</v>
      </c>
      <c r="J6" s="36">
        <f t="shared" si="0"/>
        <v>800</v>
      </c>
    </row>
    <row r="7" spans="1:10" ht="19.95" customHeight="1" x14ac:dyDescent="0.3">
      <c r="A7" s="35"/>
      <c r="B7" s="35"/>
      <c r="C7" s="38"/>
      <c r="D7" s="38"/>
      <c r="E7" s="37"/>
      <c r="F7" s="37"/>
      <c r="G7" s="35"/>
      <c r="H7" s="36"/>
      <c r="I7" s="6"/>
      <c r="J7" s="36">
        <f t="shared" si="0"/>
        <v>0</v>
      </c>
    </row>
    <row r="8" spans="1:10" ht="19.95" customHeight="1" x14ac:dyDescent="0.3">
      <c r="A8" s="35"/>
      <c r="B8" s="35"/>
      <c r="C8" s="38"/>
      <c r="D8" s="38"/>
      <c r="E8" s="37"/>
      <c r="F8" s="37"/>
      <c r="G8" s="35"/>
      <c r="H8" s="36"/>
      <c r="I8" s="6"/>
      <c r="J8" s="36">
        <f t="shared" si="0"/>
        <v>0</v>
      </c>
    </row>
    <row r="9" spans="1:10" ht="19.95" customHeight="1" x14ac:dyDescent="0.3">
      <c r="A9" s="35">
        <v>250043</v>
      </c>
      <c r="B9" s="35">
        <v>304</v>
      </c>
      <c r="C9" s="38">
        <v>0.6</v>
      </c>
      <c r="D9" s="38" t="s">
        <v>21</v>
      </c>
      <c r="E9" s="37" t="s">
        <v>128</v>
      </c>
      <c r="F9" s="37" t="s">
        <v>113</v>
      </c>
      <c r="G9" s="35">
        <v>304</v>
      </c>
      <c r="H9" s="36">
        <v>300</v>
      </c>
      <c r="I9" s="6"/>
      <c r="J9" s="36">
        <f t="shared" si="0"/>
        <v>300</v>
      </c>
    </row>
    <row r="10" spans="1:10" ht="19.95" customHeight="1" x14ac:dyDescent="0.3">
      <c r="A10" s="35">
        <v>250043</v>
      </c>
      <c r="B10" s="35">
        <v>304</v>
      </c>
      <c r="C10" s="38">
        <v>0.6</v>
      </c>
      <c r="D10" s="38" t="s">
        <v>21</v>
      </c>
      <c r="E10" s="37" t="s">
        <v>129</v>
      </c>
      <c r="F10" s="37" t="s">
        <v>113</v>
      </c>
      <c r="G10" s="35">
        <v>304</v>
      </c>
      <c r="H10" s="36">
        <v>750</v>
      </c>
      <c r="I10" s="6"/>
      <c r="J10" s="36">
        <f t="shared" si="0"/>
        <v>750</v>
      </c>
    </row>
    <row r="11" spans="1:10" ht="19.95" customHeight="1" x14ac:dyDescent="0.3">
      <c r="A11" s="35">
        <v>250043</v>
      </c>
      <c r="B11" s="35">
        <v>304</v>
      </c>
      <c r="C11" s="38">
        <v>0.6</v>
      </c>
      <c r="D11" s="38" t="s">
        <v>21</v>
      </c>
      <c r="E11" s="37" t="s">
        <v>130</v>
      </c>
      <c r="F11" s="37" t="s">
        <v>113</v>
      </c>
      <c r="G11" s="35">
        <v>304</v>
      </c>
      <c r="H11" s="36">
        <v>300</v>
      </c>
      <c r="I11" s="6"/>
      <c r="J11" s="36">
        <f t="shared" si="0"/>
        <v>300</v>
      </c>
    </row>
    <row r="12" spans="1:10" ht="19.95" customHeight="1" x14ac:dyDescent="0.3">
      <c r="A12" s="35">
        <v>250043</v>
      </c>
      <c r="B12" s="35">
        <v>304</v>
      </c>
      <c r="C12" s="38">
        <v>0.6</v>
      </c>
      <c r="D12" s="38" t="s">
        <v>21</v>
      </c>
      <c r="E12" s="37" t="s">
        <v>131</v>
      </c>
      <c r="F12" s="37" t="s">
        <v>113</v>
      </c>
      <c r="G12" s="35">
        <v>304</v>
      </c>
      <c r="H12" s="36">
        <v>750</v>
      </c>
      <c r="I12" s="6"/>
      <c r="J12" s="36">
        <f t="shared" si="0"/>
        <v>750</v>
      </c>
    </row>
    <row r="13" spans="1:10" ht="19.95" customHeight="1" x14ac:dyDescent="0.3">
      <c r="A13" s="35">
        <v>250043</v>
      </c>
      <c r="B13" s="35">
        <v>304</v>
      </c>
      <c r="C13" s="38">
        <v>0.6</v>
      </c>
      <c r="D13" s="38" t="s">
        <v>21</v>
      </c>
      <c r="E13" s="37" t="s">
        <v>132</v>
      </c>
      <c r="F13" s="37" t="s">
        <v>113</v>
      </c>
      <c r="G13" s="35">
        <v>304</v>
      </c>
      <c r="H13" s="36">
        <v>750</v>
      </c>
      <c r="I13" s="6"/>
      <c r="J13" s="36">
        <f t="shared" si="0"/>
        <v>750</v>
      </c>
    </row>
    <row r="14" spans="1:10" ht="19.95" customHeight="1" x14ac:dyDescent="0.3">
      <c r="A14" s="35">
        <v>250043</v>
      </c>
      <c r="B14" s="35">
        <v>304</v>
      </c>
      <c r="C14" s="38">
        <v>0.6</v>
      </c>
      <c r="D14" s="38" t="s">
        <v>21</v>
      </c>
      <c r="E14" s="37" t="s">
        <v>133</v>
      </c>
      <c r="F14" s="37" t="s">
        <v>113</v>
      </c>
      <c r="G14" s="35">
        <v>304</v>
      </c>
      <c r="H14" s="36">
        <v>300</v>
      </c>
      <c r="I14" s="19"/>
      <c r="J14" s="36">
        <v>300</v>
      </c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SUM(H5:H14)</f>
        <v>8750</v>
      </c>
      <c r="I15" s="19">
        <f>SUM(I5:I13)</f>
        <v>4900</v>
      </c>
      <c r="J15" s="36">
        <f>SUM(J5:J14)</f>
        <v>3850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/>
      <c r="J19" s="36">
        <f t="shared" ref="J19:J28" si="1">H19-I19</f>
        <v>500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1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/>
      <c r="J21" s="36">
        <f t="shared" si="1"/>
        <v>500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1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5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5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5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5"/>
      <c r="G28" s="35"/>
      <c r="H28" s="36"/>
      <c r="I28" s="6"/>
      <c r="J28" s="36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36">
        <f>SUM(H19:H28)</f>
        <v>2000</v>
      </c>
      <c r="I29" s="6">
        <f>SUM(I19:I28)</f>
        <v>0</v>
      </c>
      <c r="J29" s="36">
        <f>SUM(J19:J28)</f>
        <v>2000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7:J17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J31"/>
  <sheetViews>
    <sheetView zoomScale="70" zoomScaleNormal="70" workbookViewId="0">
      <selection activeCell="I22" sqref="I2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1.88671875" customWidth="1"/>
    <col min="6" max="6" width="10.77734375" style="13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45936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210825</v>
      </c>
      <c r="B5" s="35">
        <v>430</v>
      </c>
      <c r="C5" s="38">
        <v>0.6</v>
      </c>
      <c r="D5" s="38" t="s">
        <v>21</v>
      </c>
      <c r="E5" s="37" t="s">
        <v>127</v>
      </c>
      <c r="F5" s="37" t="s">
        <v>113</v>
      </c>
      <c r="G5" s="35">
        <v>430</v>
      </c>
      <c r="H5" s="36">
        <v>2600</v>
      </c>
      <c r="I5" s="6">
        <f>100+1700+819</f>
        <v>2619</v>
      </c>
      <c r="J5" s="36">
        <f t="shared" ref="J5:J13" si="0">H5-I5</f>
        <v>-19</v>
      </c>
    </row>
    <row r="6" spans="1:10" ht="19.95" customHeight="1" x14ac:dyDescent="0.3">
      <c r="A6" s="35"/>
      <c r="B6" s="35"/>
      <c r="C6" s="38"/>
      <c r="D6" s="38"/>
      <c r="E6" s="37"/>
      <c r="F6" s="37"/>
      <c r="G6" s="35"/>
      <c r="H6" s="36"/>
      <c r="I6" s="6"/>
      <c r="J6" s="36">
        <f t="shared" si="0"/>
        <v>0</v>
      </c>
    </row>
    <row r="7" spans="1:10" ht="19.95" customHeight="1" x14ac:dyDescent="0.3">
      <c r="A7" s="35"/>
      <c r="B7" s="35"/>
      <c r="C7" s="38"/>
      <c r="D7" s="38"/>
      <c r="E7" s="37"/>
      <c r="F7" s="37"/>
      <c r="G7" s="35"/>
      <c r="H7" s="36"/>
      <c r="I7" s="6"/>
      <c r="J7" s="36">
        <f t="shared" si="0"/>
        <v>0</v>
      </c>
    </row>
    <row r="8" spans="1:10" ht="19.95" customHeight="1" x14ac:dyDescent="0.3">
      <c r="A8" s="35">
        <v>250043</v>
      </c>
      <c r="B8" s="35">
        <v>304</v>
      </c>
      <c r="C8" s="38">
        <v>0.6</v>
      </c>
      <c r="D8" s="38" t="s">
        <v>21</v>
      </c>
      <c r="E8" s="37" t="s">
        <v>128</v>
      </c>
      <c r="F8" s="37" t="s">
        <v>113</v>
      </c>
      <c r="G8" s="35">
        <v>304</v>
      </c>
      <c r="H8" s="36">
        <v>300</v>
      </c>
      <c r="I8" s="6"/>
      <c r="J8" s="36">
        <f t="shared" si="0"/>
        <v>300</v>
      </c>
    </row>
    <row r="9" spans="1:10" ht="19.95" customHeight="1" x14ac:dyDescent="0.3">
      <c r="A9" s="35">
        <v>250043</v>
      </c>
      <c r="B9" s="35">
        <v>304</v>
      </c>
      <c r="C9" s="38">
        <v>0.6</v>
      </c>
      <c r="D9" s="38" t="s">
        <v>21</v>
      </c>
      <c r="E9" s="37" t="s">
        <v>129</v>
      </c>
      <c r="F9" s="37" t="s">
        <v>113</v>
      </c>
      <c r="G9" s="35">
        <v>304</v>
      </c>
      <c r="H9" s="36">
        <v>750</v>
      </c>
      <c r="I9" s="6"/>
      <c r="J9" s="36">
        <f t="shared" si="0"/>
        <v>750</v>
      </c>
    </row>
    <row r="10" spans="1:10" ht="19.95" customHeight="1" x14ac:dyDescent="0.3">
      <c r="A10" s="35">
        <v>250043</v>
      </c>
      <c r="B10" s="35">
        <v>304</v>
      </c>
      <c r="C10" s="38">
        <v>0.6</v>
      </c>
      <c r="D10" s="38" t="s">
        <v>21</v>
      </c>
      <c r="E10" s="37" t="s">
        <v>130</v>
      </c>
      <c r="F10" s="37" t="s">
        <v>113</v>
      </c>
      <c r="G10" s="35">
        <v>304</v>
      </c>
      <c r="H10" s="36">
        <v>300</v>
      </c>
      <c r="I10" s="6"/>
      <c r="J10" s="36">
        <f t="shared" si="0"/>
        <v>300</v>
      </c>
    </row>
    <row r="11" spans="1:10" ht="19.95" customHeight="1" x14ac:dyDescent="0.3">
      <c r="A11" s="35">
        <v>250043</v>
      </c>
      <c r="B11" s="35">
        <v>304</v>
      </c>
      <c r="C11" s="38">
        <v>0.6</v>
      </c>
      <c r="D11" s="38" t="s">
        <v>21</v>
      </c>
      <c r="E11" s="37" t="s">
        <v>131</v>
      </c>
      <c r="F11" s="37" t="s">
        <v>113</v>
      </c>
      <c r="G11" s="35">
        <v>304</v>
      </c>
      <c r="H11" s="36">
        <v>750</v>
      </c>
      <c r="I11" s="6"/>
      <c r="J11" s="36">
        <f t="shared" si="0"/>
        <v>750</v>
      </c>
    </row>
    <row r="12" spans="1:10" ht="19.95" customHeight="1" x14ac:dyDescent="0.3">
      <c r="A12" s="35">
        <v>250043</v>
      </c>
      <c r="B12" s="35">
        <v>304</v>
      </c>
      <c r="C12" s="38">
        <v>0.6</v>
      </c>
      <c r="D12" s="38" t="s">
        <v>21</v>
      </c>
      <c r="E12" s="37" t="s">
        <v>132</v>
      </c>
      <c r="F12" s="37" t="s">
        <v>113</v>
      </c>
      <c r="G12" s="35">
        <v>304</v>
      </c>
      <c r="H12" s="36">
        <v>750</v>
      </c>
      <c r="I12" s="6"/>
      <c r="J12" s="36">
        <f t="shared" si="0"/>
        <v>750</v>
      </c>
    </row>
    <row r="13" spans="1:10" ht="19.95" customHeight="1" x14ac:dyDescent="0.3">
      <c r="A13" s="35">
        <v>250043</v>
      </c>
      <c r="B13" s="35">
        <v>304</v>
      </c>
      <c r="C13" s="38">
        <v>0.6</v>
      </c>
      <c r="D13" s="38" t="s">
        <v>21</v>
      </c>
      <c r="E13" s="37" t="s">
        <v>133</v>
      </c>
      <c r="F13" s="37" t="s">
        <v>113</v>
      </c>
      <c r="G13" s="35">
        <v>304</v>
      </c>
      <c r="H13" s="36">
        <v>300</v>
      </c>
      <c r="I13" s="19"/>
      <c r="J13" s="36">
        <f t="shared" si="0"/>
        <v>300</v>
      </c>
    </row>
    <row r="14" spans="1:10" ht="19.95" customHeight="1" x14ac:dyDescent="0.3">
      <c r="A14" s="35"/>
      <c r="B14" s="35"/>
      <c r="C14" s="38"/>
      <c r="D14" s="38"/>
      <c r="E14" s="37"/>
      <c r="F14" s="37"/>
      <c r="G14" s="35"/>
      <c r="H14" s="36"/>
      <c r="I14" s="19"/>
      <c r="J14" s="36">
        <v>300</v>
      </c>
    </row>
    <row r="15" spans="1:10" ht="19.95" customHeight="1" x14ac:dyDescent="0.3">
      <c r="A15" s="14"/>
      <c r="B15" s="14"/>
      <c r="C15" s="14"/>
      <c r="D15" s="14"/>
      <c r="E15" s="15"/>
      <c r="F15" s="14"/>
      <c r="G15" s="16"/>
      <c r="H15" s="17">
        <f>SUM(H5:H14)</f>
        <v>5750</v>
      </c>
      <c r="I15" s="19">
        <f>SUM(I5:I13)</f>
        <v>2619</v>
      </c>
      <c r="J15" s="36">
        <f>SUM(J5:J14)</f>
        <v>3431</v>
      </c>
    </row>
    <row r="17" spans="1:10" ht="30" customHeight="1" x14ac:dyDescent="0.3">
      <c r="A17" s="172" t="s">
        <v>24</v>
      </c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0" ht="30" customHeight="1" x14ac:dyDescent="0.3">
      <c r="A18" s="35" t="s">
        <v>65</v>
      </c>
      <c r="B18" s="35" t="s">
        <v>66</v>
      </c>
      <c r="C18" s="18" t="s">
        <v>67</v>
      </c>
      <c r="D18" s="18" t="s">
        <v>68</v>
      </c>
      <c r="E18" s="35" t="s">
        <v>69</v>
      </c>
      <c r="F18" s="18" t="s">
        <v>70</v>
      </c>
      <c r="G18" s="18" t="s">
        <v>71</v>
      </c>
      <c r="H18" s="35" t="s">
        <v>72</v>
      </c>
      <c r="I18" s="35" t="s">
        <v>73</v>
      </c>
      <c r="J18" s="35" t="s">
        <v>74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117</v>
      </c>
      <c r="F19" s="37" t="s">
        <v>116</v>
      </c>
      <c r="G19" s="35">
        <v>304</v>
      </c>
      <c r="H19" s="36">
        <v>500</v>
      </c>
      <c r="I19" s="6">
        <v>500</v>
      </c>
      <c r="J19" s="36">
        <f t="shared" ref="J19:J28" si="1">H19-I19</f>
        <v>0</v>
      </c>
    </row>
    <row r="20" spans="1:10" ht="19.95" customHeight="1" x14ac:dyDescent="0.3">
      <c r="A20" s="35">
        <v>250041</v>
      </c>
      <c r="B20" s="35">
        <v>304</v>
      </c>
      <c r="C20" s="38">
        <v>0.7</v>
      </c>
      <c r="D20" s="38" t="s">
        <v>21</v>
      </c>
      <c r="E20" s="37" t="s">
        <v>118</v>
      </c>
      <c r="F20" s="37" t="s">
        <v>116</v>
      </c>
      <c r="G20" s="35">
        <v>304</v>
      </c>
      <c r="H20" s="36">
        <v>500</v>
      </c>
      <c r="I20" s="6"/>
      <c r="J20" s="36">
        <f t="shared" si="1"/>
        <v>500</v>
      </c>
    </row>
    <row r="21" spans="1:10" ht="19.95" customHeight="1" x14ac:dyDescent="0.3">
      <c r="A21" s="35">
        <v>250041</v>
      </c>
      <c r="B21" s="35">
        <v>304</v>
      </c>
      <c r="C21" s="38">
        <v>0.7</v>
      </c>
      <c r="D21" s="38" t="s">
        <v>21</v>
      </c>
      <c r="E21" s="37" t="s">
        <v>119</v>
      </c>
      <c r="F21" s="37" t="s">
        <v>116</v>
      </c>
      <c r="G21" s="35">
        <v>304</v>
      </c>
      <c r="H21" s="36">
        <v>500</v>
      </c>
      <c r="I21" s="6">
        <v>500</v>
      </c>
      <c r="J21" s="36">
        <f t="shared" si="1"/>
        <v>0</v>
      </c>
    </row>
    <row r="22" spans="1:10" ht="19.95" customHeight="1" x14ac:dyDescent="0.3">
      <c r="A22" s="35">
        <v>250041</v>
      </c>
      <c r="B22" s="35">
        <v>304</v>
      </c>
      <c r="C22" s="38">
        <v>0.7</v>
      </c>
      <c r="D22" s="38" t="s">
        <v>21</v>
      </c>
      <c r="E22" s="37" t="s">
        <v>120</v>
      </c>
      <c r="F22" s="37" t="s">
        <v>116</v>
      </c>
      <c r="G22" s="35">
        <v>304</v>
      </c>
      <c r="H22" s="36">
        <v>500</v>
      </c>
      <c r="I22" s="6"/>
      <c r="J22" s="36">
        <f t="shared" si="1"/>
        <v>500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5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5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5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5"/>
      <c r="G28" s="35"/>
      <c r="H28" s="36"/>
      <c r="I28" s="6"/>
      <c r="J28" s="36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36">
        <f>SUM(H19:H28)</f>
        <v>2000</v>
      </c>
      <c r="I29" s="6">
        <f>SUM(I19:I28)</f>
        <v>1000</v>
      </c>
      <c r="J29" s="36">
        <f>SUM(J19:J28)</f>
        <v>1000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7:J17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6" orientation="landscape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J28"/>
  <sheetViews>
    <sheetView zoomScale="70" zoomScaleNormal="70" workbookViewId="0">
      <selection activeCell="J9" sqref="J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6.218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45937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250043</v>
      </c>
      <c r="B5" s="35">
        <v>304</v>
      </c>
      <c r="C5" s="38">
        <v>0.6</v>
      </c>
      <c r="D5" s="38" t="s">
        <v>21</v>
      </c>
      <c r="E5" s="37" t="s">
        <v>128</v>
      </c>
      <c r="F5" s="37" t="s">
        <v>113</v>
      </c>
      <c r="G5" s="35">
        <v>304</v>
      </c>
      <c r="H5" s="36">
        <v>300</v>
      </c>
      <c r="I5" s="6"/>
      <c r="J5" s="36">
        <f t="shared" ref="J5:J12" si="0">H5-I5</f>
        <v>300</v>
      </c>
    </row>
    <row r="6" spans="1:10" ht="19.95" customHeight="1" x14ac:dyDescent="0.3">
      <c r="A6" s="35">
        <v>250043</v>
      </c>
      <c r="B6" s="35">
        <v>304</v>
      </c>
      <c r="C6" s="38">
        <v>0.6</v>
      </c>
      <c r="D6" s="38" t="s">
        <v>21</v>
      </c>
      <c r="E6" s="37" t="s">
        <v>129</v>
      </c>
      <c r="F6" s="37" t="s">
        <v>113</v>
      </c>
      <c r="G6" s="35">
        <v>304</v>
      </c>
      <c r="H6" s="36">
        <v>750</v>
      </c>
      <c r="I6" s="6"/>
      <c r="J6" s="36">
        <f t="shared" si="0"/>
        <v>750</v>
      </c>
    </row>
    <row r="7" spans="1:10" ht="19.95" customHeight="1" x14ac:dyDescent="0.3">
      <c r="A7" s="35">
        <v>250043</v>
      </c>
      <c r="B7" s="35">
        <v>304</v>
      </c>
      <c r="C7" s="38">
        <v>0.6</v>
      </c>
      <c r="D7" s="38" t="s">
        <v>21</v>
      </c>
      <c r="E7" s="37" t="s">
        <v>130</v>
      </c>
      <c r="F7" s="37" t="s">
        <v>113</v>
      </c>
      <c r="G7" s="35">
        <v>304</v>
      </c>
      <c r="H7" s="36">
        <v>300</v>
      </c>
      <c r="I7" s="6">
        <v>325</v>
      </c>
      <c r="J7" s="36">
        <f t="shared" si="0"/>
        <v>-25</v>
      </c>
    </row>
    <row r="8" spans="1:10" ht="19.95" customHeight="1" x14ac:dyDescent="0.3">
      <c r="A8" s="35">
        <v>250043</v>
      </c>
      <c r="B8" s="35">
        <v>304</v>
      </c>
      <c r="C8" s="38">
        <v>0.6</v>
      </c>
      <c r="D8" s="38" t="s">
        <v>21</v>
      </c>
      <c r="E8" s="37" t="s">
        <v>131</v>
      </c>
      <c r="F8" s="37" t="s">
        <v>113</v>
      </c>
      <c r="G8" s="35">
        <v>304</v>
      </c>
      <c r="H8" s="36">
        <v>750</v>
      </c>
      <c r="I8" s="6">
        <v>775</v>
      </c>
      <c r="J8" s="36">
        <f t="shared" si="0"/>
        <v>-25</v>
      </c>
    </row>
    <row r="9" spans="1:10" ht="19.95" customHeight="1" x14ac:dyDescent="0.3">
      <c r="A9" s="35">
        <v>250043</v>
      </c>
      <c r="B9" s="35">
        <v>304</v>
      </c>
      <c r="C9" s="38">
        <v>0.6</v>
      </c>
      <c r="D9" s="38" t="s">
        <v>21</v>
      </c>
      <c r="E9" s="37" t="s">
        <v>132</v>
      </c>
      <c r="F9" s="37" t="s">
        <v>113</v>
      </c>
      <c r="G9" s="35">
        <v>304</v>
      </c>
      <c r="H9" s="36">
        <v>750</v>
      </c>
      <c r="I9" s="6">
        <v>600</v>
      </c>
      <c r="J9" s="36">
        <f t="shared" si="0"/>
        <v>150</v>
      </c>
    </row>
    <row r="10" spans="1:10" ht="19.95" customHeight="1" x14ac:dyDescent="0.3">
      <c r="A10" s="35">
        <v>250043</v>
      </c>
      <c r="B10" s="35">
        <v>304</v>
      </c>
      <c r="C10" s="38">
        <v>0.6</v>
      </c>
      <c r="D10" s="38" t="s">
        <v>21</v>
      </c>
      <c r="E10" s="37" t="s">
        <v>133</v>
      </c>
      <c r="F10" s="37" t="s">
        <v>113</v>
      </c>
      <c r="G10" s="35">
        <v>304</v>
      </c>
      <c r="H10" s="36">
        <v>300</v>
      </c>
      <c r="I10" s="6"/>
      <c r="J10" s="36">
        <f t="shared" si="0"/>
        <v>300</v>
      </c>
    </row>
    <row r="11" spans="1:10" ht="19.95" customHeight="1" x14ac:dyDescent="0.3">
      <c r="A11" s="35"/>
      <c r="B11" s="35"/>
      <c r="C11" s="38"/>
      <c r="D11" s="38"/>
      <c r="E11" s="37"/>
      <c r="F11" s="37"/>
      <c r="G11" s="35"/>
      <c r="H11" s="36"/>
      <c r="I11" s="6"/>
      <c r="J11" s="36">
        <f t="shared" si="0"/>
        <v>0</v>
      </c>
    </row>
    <row r="12" spans="1:10" ht="19.95" customHeight="1" x14ac:dyDescent="0.3">
      <c r="A12" s="35"/>
      <c r="B12" s="35"/>
      <c r="C12" s="38"/>
      <c r="D12" s="38"/>
      <c r="E12" s="37" t="s">
        <v>135</v>
      </c>
      <c r="F12" s="37" t="s">
        <v>134</v>
      </c>
      <c r="G12" s="35">
        <v>304</v>
      </c>
      <c r="H12" s="36">
        <v>60</v>
      </c>
      <c r="I12" s="19"/>
      <c r="J12" s="36">
        <f t="shared" si="0"/>
        <v>60</v>
      </c>
    </row>
    <row r="13" spans="1:10" ht="19.95" customHeight="1" x14ac:dyDescent="0.3">
      <c r="A13" s="35"/>
      <c r="B13" s="35"/>
      <c r="C13" s="38"/>
      <c r="D13" s="38"/>
      <c r="E13" s="37"/>
      <c r="F13" s="37"/>
      <c r="G13" s="35"/>
      <c r="H13" s="36"/>
      <c r="I13" s="19"/>
      <c r="J13" s="36">
        <v>300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3210</v>
      </c>
      <c r="I14" s="19">
        <f>SUM(I5:I12)</f>
        <v>1700</v>
      </c>
      <c r="J14" s="36">
        <f>SUM(J5:J13)</f>
        <v>1810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35" t="s">
        <v>65</v>
      </c>
      <c r="B17" s="35" t="s">
        <v>66</v>
      </c>
      <c r="C17" s="18" t="s">
        <v>67</v>
      </c>
      <c r="D17" s="18" t="s">
        <v>68</v>
      </c>
      <c r="E17" s="35" t="s">
        <v>69</v>
      </c>
      <c r="F17" s="18" t="s">
        <v>70</v>
      </c>
      <c r="G17" s="18" t="s">
        <v>71</v>
      </c>
      <c r="H17" s="35" t="s">
        <v>72</v>
      </c>
      <c r="I17" s="35" t="s">
        <v>73</v>
      </c>
      <c r="J17" s="35" t="s">
        <v>74</v>
      </c>
    </row>
    <row r="18" spans="1:10" ht="19.95" customHeight="1" x14ac:dyDescent="0.3">
      <c r="A18" s="35">
        <v>250041</v>
      </c>
      <c r="B18" s="35">
        <v>304</v>
      </c>
      <c r="C18" s="38">
        <v>0.7</v>
      </c>
      <c r="D18" s="38" t="s">
        <v>21</v>
      </c>
      <c r="E18" s="37" t="s">
        <v>118</v>
      </c>
      <c r="F18" s="37" t="s">
        <v>116</v>
      </c>
      <c r="G18" s="35">
        <v>304</v>
      </c>
      <c r="H18" s="36">
        <v>500</v>
      </c>
      <c r="I18" s="6">
        <v>500</v>
      </c>
      <c r="J18" s="36">
        <f t="shared" ref="J18:J25" si="1">H18-I18</f>
        <v>0</v>
      </c>
    </row>
    <row r="19" spans="1:10" ht="19.95" customHeight="1" x14ac:dyDescent="0.3">
      <c r="A19" s="35">
        <v>250041</v>
      </c>
      <c r="B19" s="35">
        <v>304</v>
      </c>
      <c r="C19" s="38">
        <v>0.7</v>
      </c>
      <c r="D19" s="38" t="s">
        <v>21</v>
      </c>
      <c r="E19" s="37" t="s">
        <v>120</v>
      </c>
      <c r="F19" s="37" t="s">
        <v>116</v>
      </c>
      <c r="G19" s="35">
        <v>304</v>
      </c>
      <c r="H19" s="36">
        <v>500</v>
      </c>
      <c r="I19" s="6">
        <v>500</v>
      </c>
      <c r="J19" s="36">
        <f t="shared" si="1"/>
        <v>0</v>
      </c>
    </row>
    <row r="20" spans="1:10" ht="19.95" customHeight="1" x14ac:dyDescent="0.3">
      <c r="A20" s="35"/>
      <c r="B20" s="35"/>
      <c r="C20" s="38"/>
      <c r="D20" s="38"/>
      <c r="E20" s="37"/>
      <c r="F20" s="35"/>
      <c r="G20" s="35"/>
      <c r="H20" s="36"/>
      <c r="I20" s="6"/>
      <c r="J20" s="36">
        <f t="shared" si="1"/>
        <v>0</v>
      </c>
    </row>
    <row r="21" spans="1:10" ht="19.95" customHeight="1" x14ac:dyDescent="0.3">
      <c r="A21" s="35"/>
      <c r="B21" s="35"/>
      <c r="C21" s="38"/>
      <c r="D21" s="38"/>
      <c r="E21" s="37"/>
      <c r="F21" s="37"/>
      <c r="G21" s="35"/>
      <c r="H21" s="36"/>
      <c r="I21" s="6"/>
      <c r="J21" s="36">
        <f t="shared" si="1"/>
        <v>0</v>
      </c>
    </row>
    <row r="22" spans="1:10" ht="19.95" customHeight="1" x14ac:dyDescent="0.3">
      <c r="A22" s="35"/>
      <c r="B22" s="35"/>
      <c r="C22" s="38"/>
      <c r="D22" s="38"/>
      <c r="E22" s="37" t="s">
        <v>136</v>
      </c>
      <c r="F22" s="35" t="s">
        <v>116</v>
      </c>
      <c r="G22" s="35">
        <v>304</v>
      </c>
      <c r="H22" s="36">
        <v>100</v>
      </c>
      <c r="I22" s="6">
        <v>100</v>
      </c>
      <c r="J22" s="36">
        <f t="shared" si="1"/>
        <v>0</v>
      </c>
    </row>
    <row r="23" spans="1:10" ht="19.95" customHeight="1" x14ac:dyDescent="0.3">
      <c r="A23" s="35"/>
      <c r="B23" s="35"/>
      <c r="C23" s="38"/>
      <c r="D23" s="38"/>
      <c r="E23" s="37"/>
      <c r="F23" s="35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5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5"/>
      <c r="G25" s="35"/>
      <c r="H25" s="36"/>
      <c r="I25" s="6"/>
      <c r="J25" s="36">
        <f t="shared" si="1"/>
        <v>0</v>
      </c>
    </row>
    <row r="26" spans="1:10" ht="19.95" customHeight="1" x14ac:dyDescent="0.3">
      <c r="A26" s="14"/>
      <c r="B26" s="14"/>
      <c r="C26" s="14"/>
      <c r="D26" s="14"/>
      <c r="E26" s="15"/>
      <c r="F26" s="14"/>
      <c r="G26" s="16"/>
      <c r="H26" s="36">
        <f>SUM(H18:H25)</f>
        <v>1100</v>
      </c>
      <c r="I26" s="6">
        <f>SUM(I18:I25)</f>
        <v>1100</v>
      </c>
      <c r="J26" s="36">
        <f>SUM(J18:J25)</f>
        <v>0</v>
      </c>
    </row>
    <row r="28" spans="1:10" ht="23.4" x14ac:dyDescent="0.3">
      <c r="A28" s="180" t="s">
        <v>62</v>
      </c>
      <c r="B28" s="180"/>
      <c r="C28" s="180"/>
      <c r="D28" s="180"/>
      <c r="E28" s="180"/>
      <c r="F28" s="180"/>
      <c r="G28" s="180"/>
      <c r="H28" s="180"/>
      <c r="I28" s="180"/>
      <c r="J28" s="180"/>
    </row>
  </sheetData>
  <mergeCells count="5">
    <mergeCell ref="I1:J1"/>
    <mergeCell ref="A2:J2"/>
    <mergeCell ref="A3:J3"/>
    <mergeCell ref="A16:J16"/>
    <mergeCell ref="A28:J2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3" orientation="landscape" horizontalDpi="1200" verticalDpi="1200" r:id="rId1"/>
  <ignoredErrors>
    <ignoredError sqref="I14" formula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J28"/>
  <sheetViews>
    <sheetView topLeftCell="A2" zoomScale="70" zoomScaleNormal="70" workbookViewId="0">
      <selection activeCell="I10" sqref="I1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76.218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45938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250043</v>
      </c>
      <c r="B5" s="35">
        <v>304</v>
      </c>
      <c r="C5" s="38">
        <v>0.6</v>
      </c>
      <c r="D5" s="38" t="s">
        <v>21</v>
      </c>
      <c r="E5" s="37" t="s">
        <v>132</v>
      </c>
      <c r="F5" s="37" t="s">
        <v>113</v>
      </c>
      <c r="G5" s="35">
        <v>304</v>
      </c>
      <c r="H5" s="36">
        <v>750</v>
      </c>
      <c r="I5" s="6">
        <f>600+150</f>
        <v>750</v>
      </c>
      <c r="J5" s="36">
        <f t="shared" ref="J5:J12" si="0">H5-I5</f>
        <v>0</v>
      </c>
    </row>
    <row r="6" spans="1:10" ht="19.95" customHeight="1" x14ac:dyDescent="0.3">
      <c r="A6" s="35">
        <v>250043</v>
      </c>
      <c r="B6" s="35">
        <v>304</v>
      </c>
      <c r="C6" s="38">
        <v>0.6</v>
      </c>
      <c r="D6" s="38" t="s">
        <v>21</v>
      </c>
      <c r="E6" s="37" t="s">
        <v>133</v>
      </c>
      <c r="F6" s="37" t="s">
        <v>113</v>
      </c>
      <c r="G6" s="35">
        <v>304</v>
      </c>
      <c r="H6" s="36">
        <v>300</v>
      </c>
      <c r="I6" s="6">
        <v>300</v>
      </c>
      <c r="J6" s="36">
        <f t="shared" si="0"/>
        <v>0</v>
      </c>
    </row>
    <row r="7" spans="1:10" ht="19.95" customHeight="1" x14ac:dyDescent="0.3">
      <c r="A7" s="35"/>
      <c r="B7" s="35"/>
      <c r="C7" s="38"/>
      <c r="D7" s="38"/>
      <c r="E7" s="37" t="s">
        <v>135</v>
      </c>
      <c r="F7" s="37" t="s">
        <v>134</v>
      </c>
      <c r="G7" s="35">
        <v>304</v>
      </c>
      <c r="H7" s="36">
        <v>120</v>
      </c>
      <c r="I7" s="6">
        <v>150</v>
      </c>
      <c r="J7" s="36">
        <f t="shared" si="0"/>
        <v>-30</v>
      </c>
    </row>
    <row r="8" spans="1:10" ht="19.95" customHeight="1" x14ac:dyDescent="0.3">
      <c r="A8" s="35">
        <v>250077</v>
      </c>
      <c r="B8" s="35">
        <v>430</v>
      </c>
      <c r="C8" s="38">
        <v>0.5</v>
      </c>
      <c r="D8" s="38" t="s">
        <v>12</v>
      </c>
      <c r="E8" s="37" t="s">
        <v>137</v>
      </c>
      <c r="F8" s="37" t="s">
        <v>27</v>
      </c>
      <c r="G8" s="35" t="s">
        <v>139</v>
      </c>
      <c r="H8" s="36">
        <v>1400</v>
      </c>
      <c r="I8" s="6">
        <v>1450</v>
      </c>
      <c r="J8" s="36">
        <f t="shared" si="0"/>
        <v>-50</v>
      </c>
    </row>
    <row r="9" spans="1:10" ht="19.95" customHeight="1" x14ac:dyDescent="0.3">
      <c r="A9" s="35">
        <v>250077</v>
      </c>
      <c r="B9" s="35">
        <v>430</v>
      </c>
      <c r="C9" s="38">
        <v>0.5</v>
      </c>
      <c r="D9" s="38" t="s">
        <v>12</v>
      </c>
      <c r="E9" s="37" t="s">
        <v>138</v>
      </c>
      <c r="F9" s="37" t="s">
        <v>27</v>
      </c>
      <c r="G9" s="35" t="s">
        <v>139</v>
      </c>
      <c r="H9" s="36">
        <v>1400</v>
      </c>
      <c r="I9" s="6">
        <v>800</v>
      </c>
      <c r="J9" s="36">
        <f t="shared" si="0"/>
        <v>600</v>
      </c>
    </row>
    <row r="10" spans="1:10" ht="19.95" customHeight="1" x14ac:dyDescent="0.3">
      <c r="A10" s="35"/>
      <c r="B10" s="35"/>
      <c r="C10" s="38"/>
      <c r="D10" s="38"/>
      <c r="E10" s="37"/>
      <c r="F10" s="37"/>
      <c r="G10" s="35"/>
      <c r="H10" s="36"/>
      <c r="I10" s="6"/>
      <c r="J10" s="36">
        <f t="shared" si="0"/>
        <v>0</v>
      </c>
    </row>
    <row r="11" spans="1:10" ht="19.95" customHeight="1" x14ac:dyDescent="0.3">
      <c r="A11" s="35"/>
      <c r="B11" s="35"/>
      <c r="C11" s="38"/>
      <c r="D11" s="38"/>
      <c r="E11" s="37"/>
      <c r="F11" s="37"/>
      <c r="G11" s="35"/>
      <c r="H11" s="36"/>
      <c r="I11" s="6"/>
      <c r="J11" s="36">
        <f t="shared" si="0"/>
        <v>0</v>
      </c>
    </row>
    <row r="12" spans="1:10" ht="19.95" customHeight="1" x14ac:dyDescent="0.3">
      <c r="A12" s="35"/>
      <c r="B12" s="35"/>
      <c r="C12" s="38"/>
      <c r="D12" s="38"/>
      <c r="E12" s="37"/>
      <c r="F12" s="37"/>
      <c r="G12" s="35"/>
      <c r="H12" s="36"/>
      <c r="I12" s="19"/>
      <c r="J12" s="36">
        <f t="shared" si="0"/>
        <v>0</v>
      </c>
    </row>
    <row r="13" spans="1:10" ht="19.95" customHeight="1" x14ac:dyDescent="0.3">
      <c r="A13" s="35"/>
      <c r="B13" s="35"/>
      <c r="C13" s="38"/>
      <c r="D13" s="38"/>
      <c r="E13" s="37"/>
      <c r="F13" s="37"/>
      <c r="G13" s="35"/>
      <c r="H13" s="36"/>
      <c r="I13" s="19"/>
      <c r="J13" s="36">
        <v>300</v>
      </c>
    </row>
    <row r="14" spans="1:10" ht="19.95" customHeight="1" x14ac:dyDescent="0.3">
      <c r="A14" s="14"/>
      <c r="B14" s="14"/>
      <c r="C14" s="14"/>
      <c r="D14" s="14"/>
      <c r="E14" s="15"/>
      <c r="F14" s="14"/>
      <c r="G14" s="16"/>
      <c r="H14" s="17">
        <f>SUM(H5:H13)</f>
        <v>3970</v>
      </c>
      <c r="I14" s="19">
        <f>SUM(I5:I12)</f>
        <v>3450</v>
      </c>
      <c r="J14" s="36">
        <f>SUM(J5:J13)</f>
        <v>820</v>
      </c>
    </row>
    <row r="16" spans="1:10" ht="30" customHeight="1" x14ac:dyDescent="0.3">
      <c r="A16" s="172" t="s">
        <v>24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30" customHeight="1" x14ac:dyDescent="0.3">
      <c r="A17" s="35" t="s">
        <v>65</v>
      </c>
      <c r="B17" s="35" t="s">
        <v>66</v>
      </c>
      <c r="C17" s="18" t="s">
        <v>67</v>
      </c>
      <c r="D17" s="18" t="s">
        <v>68</v>
      </c>
      <c r="E17" s="35" t="s">
        <v>69</v>
      </c>
      <c r="F17" s="18" t="s">
        <v>70</v>
      </c>
      <c r="G17" s="18" t="s">
        <v>71</v>
      </c>
      <c r="H17" s="35" t="s">
        <v>72</v>
      </c>
      <c r="I17" s="35" t="s">
        <v>73</v>
      </c>
      <c r="J17" s="35" t="s">
        <v>74</v>
      </c>
    </row>
    <row r="18" spans="1:10" ht="19.95" customHeight="1" x14ac:dyDescent="0.3">
      <c r="A18" s="35">
        <v>250043</v>
      </c>
      <c r="B18" s="35">
        <v>304</v>
      </c>
      <c r="C18" s="38">
        <v>0.6</v>
      </c>
      <c r="D18" s="38" t="s">
        <v>21</v>
      </c>
      <c r="E18" s="37" t="s">
        <v>128</v>
      </c>
      <c r="F18" s="37" t="s">
        <v>113</v>
      </c>
      <c r="G18" s="35">
        <v>304</v>
      </c>
      <c r="H18" s="36">
        <v>300</v>
      </c>
      <c r="I18" s="6"/>
      <c r="J18" s="36">
        <f t="shared" ref="J18:J25" si="1">H18-I18</f>
        <v>300</v>
      </c>
    </row>
    <row r="19" spans="1:10" ht="19.95" customHeight="1" x14ac:dyDescent="0.3">
      <c r="A19" s="35">
        <v>250043</v>
      </c>
      <c r="B19" s="35">
        <v>304</v>
      </c>
      <c r="C19" s="38">
        <v>0.6</v>
      </c>
      <c r="D19" s="38" t="s">
        <v>21</v>
      </c>
      <c r="E19" s="37" t="s">
        <v>129</v>
      </c>
      <c r="F19" s="37" t="s">
        <v>113</v>
      </c>
      <c r="G19" s="35">
        <v>304</v>
      </c>
      <c r="H19" s="36">
        <v>750</v>
      </c>
      <c r="I19" s="6"/>
      <c r="J19" s="36">
        <f t="shared" si="1"/>
        <v>750</v>
      </c>
    </row>
    <row r="20" spans="1:10" ht="19.95" customHeight="1" x14ac:dyDescent="0.3">
      <c r="A20" s="35"/>
      <c r="B20" s="35"/>
      <c r="C20" s="38"/>
      <c r="D20" s="38"/>
      <c r="E20" s="37"/>
      <c r="F20" s="37"/>
      <c r="G20" s="35"/>
      <c r="H20" s="36"/>
      <c r="I20" s="6"/>
      <c r="J20" s="36">
        <f t="shared" si="1"/>
        <v>0</v>
      </c>
    </row>
    <row r="21" spans="1:10" ht="19.95" customHeight="1" x14ac:dyDescent="0.3">
      <c r="A21" s="35"/>
      <c r="B21" s="35"/>
      <c r="C21" s="38"/>
      <c r="D21" s="38"/>
      <c r="E21" s="37"/>
      <c r="F21" s="37"/>
      <c r="G21" s="35"/>
      <c r="H21" s="36"/>
      <c r="I21" s="6"/>
      <c r="J21" s="36">
        <f t="shared" si="1"/>
        <v>0</v>
      </c>
    </row>
    <row r="22" spans="1:10" ht="19.95" customHeight="1" x14ac:dyDescent="0.3">
      <c r="A22" s="35"/>
      <c r="B22" s="35"/>
      <c r="C22" s="38"/>
      <c r="D22" s="38"/>
      <c r="E22" s="37"/>
      <c r="F22" s="37"/>
      <c r="G22" s="35"/>
      <c r="H22" s="36"/>
      <c r="I22" s="6"/>
      <c r="J22" s="36">
        <f t="shared" si="1"/>
        <v>0</v>
      </c>
    </row>
    <row r="23" spans="1:10" ht="19.95" customHeight="1" x14ac:dyDescent="0.3">
      <c r="A23" s="35"/>
      <c r="B23" s="35"/>
      <c r="C23" s="38"/>
      <c r="D23" s="38"/>
      <c r="E23" s="37"/>
      <c r="F23" s="37"/>
      <c r="G23" s="35"/>
      <c r="H23" s="36"/>
      <c r="I23" s="6"/>
      <c r="J23" s="36">
        <f t="shared" si="1"/>
        <v>0</v>
      </c>
    </row>
    <row r="24" spans="1:10" ht="19.95" customHeight="1" x14ac:dyDescent="0.3">
      <c r="A24" s="35"/>
      <c r="B24" s="35"/>
      <c r="C24" s="38"/>
      <c r="D24" s="38"/>
      <c r="E24" s="37"/>
      <c r="F24" s="37"/>
      <c r="G24" s="35"/>
      <c r="H24" s="36"/>
      <c r="I24" s="6"/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7"/>
      <c r="G25" s="35"/>
      <c r="H25" s="36"/>
      <c r="I25" s="19"/>
      <c r="J25" s="36">
        <f t="shared" si="1"/>
        <v>0</v>
      </c>
    </row>
    <row r="26" spans="1:10" ht="19.95" customHeight="1" x14ac:dyDescent="0.3">
      <c r="A26" s="14"/>
      <c r="B26" s="14"/>
      <c r="C26" s="14"/>
      <c r="D26" s="14"/>
      <c r="E26" s="15"/>
      <c r="F26" s="14"/>
      <c r="G26" s="16"/>
      <c r="H26" s="36">
        <f>SUM(H18:H25)</f>
        <v>1050</v>
      </c>
      <c r="I26" s="6">
        <f>SUM(I18:I25)</f>
        <v>0</v>
      </c>
      <c r="J26" s="36">
        <f>SUM(J18:J25)</f>
        <v>1050</v>
      </c>
    </row>
    <row r="28" spans="1:10" ht="23.4" x14ac:dyDescent="0.3">
      <c r="A28" s="180" t="s">
        <v>62</v>
      </c>
      <c r="B28" s="180"/>
      <c r="C28" s="180"/>
      <c r="D28" s="180"/>
      <c r="E28" s="180"/>
      <c r="F28" s="180"/>
      <c r="G28" s="180"/>
      <c r="H28" s="180"/>
      <c r="I28" s="180"/>
      <c r="J28" s="180"/>
    </row>
  </sheetData>
  <mergeCells count="5">
    <mergeCell ref="I1:J1"/>
    <mergeCell ref="A2:J2"/>
    <mergeCell ref="A3:J3"/>
    <mergeCell ref="A16:J16"/>
    <mergeCell ref="A28:J2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3" orientation="landscape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J31"/>
  <sheetViews>
    <sheetView topLeftCell="A10" zoomScale="70" zoomScaleNormal="70" workbookViewId="0">
      <selection activeCell="N21" sqref="N2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45939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35" t="s">
        <v>65</v>
      </c>
      <c r="B4" s="35" t="s">
        <v>66</v>
      </c>
      <c r="C4" s="18" t="s">
        <v>67</v>
      </c>
      <c r="D4" s="18" t="s">
        <v>68</v>
      </c>
      <c r="E4" s="35" t="s">
        <v>69</v>
      </c>
      <c r="F4" s="18" t="s">
        <v>70</v>
      </c>
      <c r="G4" s="18" t="s">
        <v>71</v>
      </c>
      <c r="H4" s="35" t="s">
        <v>72</v>
      </c>
      <c r="I4" s="35" t="s">
        <v>73</v>
      </c>
      <c r="J4" s="35" t="s">
        <v>74</v>
      </c>
    </row>
    <row r="5" spans="1:10" ht="19.95" customHeight="1" x14ac:dyDescent="0.3">
      <c r="A5" s="35">
        <v>250077</v>
      </c>
      <c r="B5" s="35">
        <v>430</v>
      </c>
      <c r="C5" s="38">
        <v>0.5</v>
      </c>
      <c r="D5" s="38" t="s">
        <v>12</v>
      </c>
      <c r="E5" s="37" t="s">
        <v>138</v>
      </c>
      <c r="F5" s="52" t="s">
        <v>27</v>
      </c>
      <c r="G5" s="35" t="s">
        <v>148</v>
      </c>
      <c r="H5" s="36">
        <v>1400</v>
      </c>
      <c r="I5" s="6">
        <f>800+650</f>
        <v>1450</v>
      </c>
      <c r="J5" s="36">
        <f t="shared" ref="J5:J15" si="0">H5-I5</f>
        <v>-50</v>
      </c>
    </row>
    <row r="6" spans="1:10" ht="19.95" customHeight="1" x14ac:dyDescent="0.3">
      <c r="A6" s="35"/>
      <c r="B6" s="35"/>
      <c r="C6" s="38"/>
      <c r="D6" s="38"/>
      <c r="E6" s="37"/>
      <c r="F6" s="37"/>
      <c r="G6" s="35"/>
      <c r="H6" s="36"/>
      <c r="I6" s="6"/>
      <c r="J6" s="36">
        <f t="shared" si="0"/>
        <v>0</v>
      </c>
    </row>
    <row r="7" spans="1:10" ht="19.95" customHeight="1" x14ac:dyDescent="0.3">
      <c r="A7" s="41">
        <v>250073</v>
      </c>
      <c r="B7" s="41">
        <v>304</v>
      </c>
      <c r="C7" s="42">
        <v>0.6</v>
      </c>
      <c r="D7" s="42" t="s">
        <v>12</v>
      </c>
      <c r="E7" s="40" t="s">
        <v>140</v>
      </c>
      <c r="F7" s="56" t="s">
        <v>27</v>
      </c>
      <c r="G7" s="41">
        <v>430</v>
      </c>
      <c r="H7" s="43">
        <v>750</v>
      </c>
      <c r="I7" s="6"/>
      <c r="J7" s="36">
        <f t="shared" si="0"/>
        <v>750</v>
      </c>
    </row>
    <row r="8" spans="1:10" ht="19.95" customHeight="1" x14ac:dyDescent="0.3">
      <c r="A8" s="41">
        <v>250072</v>
      </c>
      <c r="B8" s="41">
        <v>304</v>
      </c>
      <c r="C8" s="42">
        <v>0.7</v>
      </c>
      <c r="D8" s="42" t="s">
        <v>12</v>
      </c>
      <c r="E8" s="40" t="s">
        <v>141</v>
      </c>
      <c r="F8" s="56" t="s">
        <v>27</v>
      </c>
      <c r="G8" s="41">
        <v>430</v>
      </c>
      <c r="H8" s="43">
        <v>750</v>
      </c>
      <c r="I8" s="6"/>
      <c r="J8" s="36">
        <f t="shared" si="0"/>
        <v>750</v>
      </c>
    </row>
    <row r="9" spans="1:10" ht="19.95" customHeight="1" x14ac:dyDescent="0.3">
      <c r="A9" s="45">
        <v>250070</v>
      </c>
      <c r="B9" s="45">
        <v>304</v>
      </c>
      <c r="C9" s="46">
        <v>0.6</v>
      </c>
      <c r="D9" s="46" t="s">
        <v>12</v>
      </c>
      <c r="E9" s="44" t="s">
        <v>142</v>
      </c>
      <c r="F9" s="56" t="s">
        <v>27</v>
      </c>
      <c r="G9" s="45">
        <v>430</v>
      </c>
      <c r="H9" s="47">
        <v>750</v>
      </c>
      <c r="I9" s="6"/>
      <c r="J9" s="36">
        <f t="shared" si="0"/>
        <v>750</v>
      </c>
    </row>
    <row r="10" spans="1:10" ht="19.95" customHeight="1" x14ac:dyDescent="0.3">
      <c r="A10" s="45">
        <v>250071</v>
      </c>
      <c r="B10" s="45">
        <v>304</v>
      </c>
      <c r="C10" s="46">
        <v>0.7</v>
      </c>
      <c r="D10" s="46" t="s">
        <v>12</v>
      </c>
      <c r="E10" s="44" t="s">
        <v>143</v>
      </c>
      <c r="F10" s="56" t="s">
        <v>27</v>
      </c>
      <c r="G10" s="45">
        <v>430</v>
      </c>
      <c r="H10" s="47">
        <v>750</v>
      </c>
      <c r="I10" s="6"/>
      <c r="J10" s="36">
        <f t="shared" si="0"/>
        <v>750</v>
      </c>
    </row>
    <row r="11" spans="1:10" ht="19.95" customHeight="1" x14ac:dyDescent="0.3">
      <c r="A11" s="35"/>
      <c r="B11" s="35"/>
      <c r="C11" s="38"/>
      <c r="D11" s="38"/>
      <c r="E11" s="37"/>
      <c r="F11" s="52"/>
      <c r="G11" s="35"/>
      <c r="H11" s="36"/>
      <c r="I11" s="6"/>
      <c r="J11" s="36">
        <f t="shared" si="0"/>
        <v>0</v>
      </c>
    </row>
    <row r="12" spans="1:10" ht="19.95" customHeight="1" x14ac:dyDescent="0.3">
      <c r="A12" s="48">
        <v>250071</v>
      </c>
      <c r="B12" s="48">
        <v>304</v>
      </c>
      <c r="C12" s="51">
        <v>0.7</v>
      </c>
      <c r="D12" s="51" t="s">
        <v>12</v>
      </c>
      <c r="E12" s="50" t="s">
        <v>144</v>
      </c>
      <c r="F12" s="52" t="s">
        <v>27</v>
      </c>
      <c r="G12" s="48">
        <v>430</v>
      </c>
      <c r="H12" s="49">
        <v>750</v>
      </c>
      <c r="I12" s="6"/>
      <c r="J12" s="36">
        <f t="shared" si="0"/>
        <v>750</v>
      </c>
    </row>
    <row r="13" spans="1:10" ht="19.95" customHeight="1" x14ac:dyDescent="0.3">
      <c r="A13" s="48">
        <v>250070</v>
      </c>
      <c r="B13" s="48">
        <v>304</v>
      </c>
      <c r="C13" s="51">
        <v>0.6</v>
      </c>
      <c r="D13" s="51" t="s">
        <v>12</v>
      </c>
      <c r="E13" s="50" t="s">
        <v>145</v>
      </c>
      <c r="F13" s="52" t="s">
        <v>27</v>
      </c>
      <c r="G13" s="48">
        <v>430</v>
      </c>
      <c r="H13" s="49">
        <v>750</v>
      </c>
      <c r="I13" s="6"/>
      <c r="J13" s="36">
        <f t="shared" si="0"/>
        <v>750</v>
      </c>
    </row>
    <row r="14" spans="1:10" ht="19.95" customHeight="1" x14ac:dyDescent="0.3">
      <c r="A14" s="52">
        <v>250072</v>
      </c>
      <c r="B14" s="52">
        <v>304</v>
      </c>
      <c r="C14" s="55">
        <v>0.7</v>
      </c>
      <c r="D14" s="55" t="s">
        <v>12</v>
      </c>
      <c r="E14" s="54" t="s">
        <v>146</v>
      </c>
      <c r="F14" s="52" t="s">
        <v>27</v>
      </c>
      <c r="G14" s="52">
        <v>430</v>
      </c>
      <c r="H14" s="53">
        <v>750</v>
      </c>
      <c r="I14" s="6"/>
      <c r="J14" s="36">
        <f t="shared" si="0"/>
        <v>750</v>
      </c>
    </row>
    <row r="15" spans="1:10" ht="19.95" customHeight="1" x14ac:dyDescent="0.3">
      <c r="A15" s="52">
        <v>250073</v>
      </c>
      <c r="B15" s="52">
        <v>304</v>
      </c>
      <c r="C15" s="55">
        <v>0.6</v>
      </c>
      <c r="D15" s="55" t="s">
        <v>12</v>
      </c>
      <c r="E15" s="54" t="s">
        <v>147</v>
      </c>
      <c r="F15" s="52" t="s">
        <v>27</v>
      </c>
      <c r="G15" s="52">
        <v>430</v>
      </c>
      <c r="H15" s="53">
        <v>750</v>
      </c>
      <c r="I15" s="19"/>
      <c r="J15" s="36">
        <f t="shared" si="0"/>
        <v>750</v>
      </c>
    </row>
    <row r="16" spans="1:10" ht="19.95" customHeight="1" x14ac:dyDescent="0.3">
      <c r="A16" s="35"/>
      <c r="B16" s="35"/>
      <c r="C16" s="38"/>
      <c r="D16" s="38"/>
      <c r="E16" s="37"/>
      <c r="F16" s="37"/>
      <c r="G16" s="35"/>
      <c r="H16" s="36"/>
      <c r="I16" s="19"/>
      <c r="J16" s="36">
        <v>300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7400</v>
      </c>
      <c r="I17" s="19">
        <f>SUM(I5:I15)</f>
        <v>1450</v>
      </c>
      <c r="J17" s="36">
        <f>SUM(J5:J16)</f>
        <v>6250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35" t="s">
        <v>65</v>
      </c>
      <c r="B20" s="35" t="s">
        <v>66</v>
      </c>
      <c r="C20" s="18" t="s">
        <v>67</v>
      </c>
      <c r="D20" s="18" t="s">
        <v>68</v>
      </c>
      <c r="E20" s="35" t="s">
        <v>69</v>
      </c>
      <c r="F20" s="18" t="s">
        <v>70</v>
      </c>
      <c r="G20" s="18" t="s">
        <v>71</v>
      </c>
      <c r="H20" s="35" t="s">
        <v>72</v>
      </c>
      <c r="I20" s="35" t="s">
        <v>73</v>
      </c>
      <c r="J20" s="35" t="s">
        <v>74</v>
      </c>
    </row>
    <row r="21" spans="1:10" ht="19.95" customHeight="1" x14ac:dyDescent="0.3">
      <c r="A21" s="35">
        <v>250043</v>
      </c>
      <c r="B21" s="35">
        <v>304</v>
      </c>
      <c r="C21" s="38">
        <v>0.6</v>
      </c>
      <c r="D21" s="38" t="s">
        <v>21</v>
      </c>
      <c r="E21" s="37" t="s">
        <v>128</v>
      </c>
      <c r="F21" s="52" t="s">
        <v>113</v>
      </c>
      <c r="G21" s="35">
        <v>304</v>
      </c>
      <c r="H21" s="36">
        <v>300</v>
      </c>
      <c r="I21" s="6">
        <v>325</v>
      </c>
      <c r="J21" s="36">
        <f t="shared" ref="J21:J28" si="1">H21-I21</f>
        <v>-25</v>
      </c>
    </row>
    <row r="22" spans="1:10" ht="19.95" customHeight="1" x14ac:dyDescent="0.3">
      <c r="A22" s="35">
        <v>250043</v>
      </c>
      <c r="B22" s="35">
        <v>304</v>
      </c>
      <c r="C22" s="38">
        <v>0.6</v>
      </c>
      <c r="D22" s="38" t="s">
        <v>21</v>
      </c>
      <c r="E22" s="37" t="s">
        <v>129</v>
      </c>
      <c r="F22" s="52" t="s">
        <v>113</v>
      </c>
      <c r="G22" s="35">
        <v>304</v>
      </c>
      <c r="H22" s="36">
        <v>750</v>
      </c>
      <c r="I22" s="6">
        <v>775</v>
      </c>
      <c r="J22" s="36">
        <f t="shared" si="1"/>
        <v>-25</v>
      </c>
    </row>
    <row r="23" spans="1:10" ht="19.95" customHeight="1" x14ac:dyDescent="0.3">
      <c r="A23" s="35"/>
      <c r="B23" s="35"/>
      <c r="C23" s="38"/>
      <c r="D23" s="38"/>
      <c r="E23" s="37"/>
      <c r="F23" s="37"/>
      <c r="G23" s="35"/>
      <c r="H23" s="36"/>
      <c r="I23" s="6"/>
      <c r="J23" s="36">
        <f t="shared" si="1"/>
        <v>0</v>
      </c>
    </row>
    <row r="24" spans="1:10" ht="19.95" customHeight="1" x14ac:dyDescent="0.3">
      <c r="A24" s="35">
        <v>250044</v>
      </c>
      <c r="B24" s="35">
        <v>304</v>
      </c>
      <c r="C24" s="38">
        <v>0.6</v>
      </c>
      <c r="D24" s="38" t="s">
        <v>21</v>
      </c>
      <c r="E24" s="37" t="s">
        <v>149</v>
      </c>
      <c r="F24" s="37" t="s">
        <v>113</v>
      </c>
      <c r="G24" s="35">
        <v>430</v>
      </c>
      <c r="H24" s="36">
        <v>100</v>
      </c>
      <c r="I24" s="6">
        <v>100</v>
      </c>
      <c r="J24" s="36">
        <f t="shared" si="1"/>
        <v>0</v>
      </c>
    </row>
    <row r="25" spans="1:10" ht="19.95" customHeight="1" x14ac:dyDescent="0.3">
      <c r="A25" s="35"/>
      <c r="B25" s="35"/>
      <c r="C25" s="38"/>
      <c r="D25" s="38"/>
      <c r="E25" s="37"/>
      <c r="F25" s="37"/>
      <c r="G25" s="35"/>
      <c r="H25" s="36"/>
      <c r="I25" s="6"/>
      <c r="J25" s="36">
        <f t="shared" si="1"/>
        <v>0</v>
      </c>
    </row>
    <row r="26" spans="1:10" ht="19.95" customHeight="1" x14ac:dyDescent="0.3">
      <c r="A26" s="35"/>
      <c r="B26" s="35"/>
      <c r="C26" s="38"/>
      <c r="D26" s="38"/>
      <c r="E26" s="37"/>
      <c r="F26" s="37"/>
      <c r="G26" s="35"/>
      <c r="H26" s="36"/>
      <c r="I26" s="6"/>
      <c r="J26" s="36">
        <f t="shared" si="1"/>
        <v>0</v>
      </c>
    </row>
    <row r="27" spans="1:10" ht="19.95" customHeight="1" x14ac:dyDescent="0.3">
      <c r="A27" s="35"/>
      <c r="B27" s="35"/>
      <c r="C27" s="38"/>
      <c r="D27" s="38"/>
      <c r="E27" s="37"/>
      <c r="F27" s="37"/>
      <c r="G27" s="35"/>
      <c r="H27" s="36"/>
      <c r="I27" s="6"/>
      <c r="J27" s="36">
        <f t="shared" si="1"/>
        <v>0</v>
      </c>
    </row>
    <row r="28" spans="1:10" ht="19.95" customHeight="1" x14ac:dyDescent="0.3">
      <c r="A28" s="35"/>
      <c r="B28" s="35"/>
      <c r="C28" s="38"/>
      <c r="D28" s="38"/>
      <c r="E28" s="37"/>
      <c r="F28" s="37"/>
      <c r="G28" s="35"/>
      <c r="H28" s="36"/>
      <c r="I28" s="19"/>
      <c r="J28" s="36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36">
        <f>SUM(H21:H28)</f>
        <v>1150</v>
      </c>
      <c r="I29" s="6">
        <f>SUM(I21:I28)</f>
        <v>1200</v>
      </c>
      <c r="J29" s="36">
        <f>SUM(J21:J28)</f>
        <v>-50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J31"/>
  <sheetViews>
    <sheetView zoomScale="70" zoomScaleNormal="70" workbookViewId="0">
      <selection activeCell="K41" sqref="K4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45940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52" t="s">
        <v>65</v>
      </c>
      <c r="B4" s="52" t="s">
        <v>66</v>
      </c>
      <c r="C4" s="18" t="s">
        <v>67</v>
      </c>
      <c r="D4" s="18" t="s">
        <v>68</v>
      </c>
      <c r="E4" s="52" t="s">
        <v>69</v>
      </c>
      <c r="F4" s="18" t="s">
        <v>70</v>
      </c>
      <c r="G4" s="18" t="s">
        <v>71</v>
      </c>
      <c r="H4" s="52" t="s">
        <v>72</v>
      </c>
      <c r="I4" s="52" t="s">
        <v>73</v>
      </c>
      <c r="J4" s="52" t="s">
        <v>74</v>
      </c>
    </row>
    <row r="5" spans="1:10" ht="19.95" customHeight="1" x14ac:dyDescent="0.3">
      <c r="A5" s="56">
        <v>250073</v>
      </c>
      <c r="B5" s="56">
        <v>304</v>
      </c>
      <c r="C5" s="46">
        <v>0.6</v>
      </c>
      <c r="D5" s="46" t="s">
        <v>12</v>
      </c>
      <c r="E5" s="44" t="s">
        <v>140</v>
      </c>
      <c r="F5" s="56" t="s">
        <v>27</v>
      </c>
      <c r="G5" s="56">
        <v>430</v>
      </c>
      <c r="H5" s="47">
        <v>750</v>
      </c>
      <c r="I5" s="6">
        <v>250</v>
      </c>
      <c r="J5" s="53">
        <f t="shared" ref="J5:J15" si="0">H5-I5</f>
        <v>500</v>
      </c>
    </row>
    <row r="6" spans="1:10" ht="19.95" customHeight="1" x14ac:dyDescent="0.3">
      <c r="A6" s="56">
        <v>250072</v>
      </c>
      <c r="B6" s="56">
        <v>304</v>
      </c>
      <c r="C6" s="46">
        <v>0.7</v>
      </c>
      <c r="D6" s="46" t="s">
        <v>12</v>
      </c>
      <c r="E6" s="44" t="s">
        <v>141</v>
      </c>
      <c r="F6" s="56" t="s">
        <v>27</v>
      </c>
      <c r="G6" s="56">
        <v>430</v>
      </c>
      <c r="H6" s="47">
        <v>750</v>
      </c>
      <c r="I6" s="6"/>
      <c r="J6" s="53">
        <f t="shared" si="0"/>
        <v>750</v>
      </c>
    </row>
    <row r="7" spans="1:10" ht="19.95" customHeight="1" x14ac:dyDescent="0.3">
      <c r="A7" s="56">
        <v>250070</v>
      </c>
      <c r="B7" s="56">
        <v>304</v>
      </c>
      <c r="C7" s="46">
        <v>0.6</v>
      </c>
      <c r="D7" s="46" t="s">
        <v>12</v>
      </c>
      <c r="E7" s="44" t="s">
        <v>142</v>
      </c>
      <c r="F7" s="56" t="s">
        <v>27</v>
      </c>
      <c r="G7" s="56">
        <v>430</v>
      </c>
      <c r="H7" s="47">
        <v>750</v>
      </c>
      <c r="I7" s="6"/>
      <c r="J7" s="53">
        <f t="shared" si="0"/>
        <v>750</v>
      </c>
    </row>
    <row r="8" spans="1:10" ht="19.95" customHeight="1" x14ac:dyDescent="0.3">
      <c r="A8" s="56">
        <v>250071</v>
      </c>
      <c r="B8" s="56">
        <v>304</v>
      </c>
      <c r="C8" s="46">
        <v>0.7</v>
      </c>
      <c r="D8" s="46" t="s">
        <v>12</v>
      </c>
      <c r="E8" s="44" t="s">
        <v>143</v>
      </c>
      <c r="F8" s="56" t="s">
        <v>27</v>
      </c>
      <c r="G8" s="56">
        <v>430</v>
      </c>
      <c r="H8" s="47">
        <v>750</v>
      </c>
      <c r="I8" s="6"/>
      <c r="J8" s="53">
        <f t="shared" si="0"/>
        <v>750</v>
      </c>
    </row>
    <row r="9" spans="1:10" ht="19.95" customHeight="1" x14ac:dyDescent="0.3">
      <c r="A9" s="52"/>
      <c r="B9" s="52"/>
      <c r="C9" s="55"/>
      <c r="D9" s="55"/>
      <c r="E9" s="54"/>
      <c r="F9" s="52"/>
      <c r="G9" s="52"/>
      <c r="H9" s="53"/>
      <c r="I9" s="6"/>
      <c r="J9" s="53">
        <f t="shared" si="0"/>
        <v>0</v>
      </c>
    </row>
    <row r="10" spans="1:10" ht="19.95" customHeight="1" x14ac:dyDescent="0.3">
      <c r="A10" s="52">
        <v>250071</v>
      </c>
      <c r="B10" s="52">
        <v>304</v>
      </c>
      <c r="C10" s="55">
        <v>0.7</v>
      </c>
      <c r="D10" s="55" t="s">
        <v>12</v>
      </c>
      <c r="E10" s="54" t="s">
        <v>144</v>
      </c>
      <c r="F10" s="52" t="s">
        <v>27</v>
      </c>
      <c r="G10" s="52">
        <v>430</v>
      </c>
      <c r="H10" s="53">
        <v>750</v>
      </c>
      <c r="I10" s="6"/>
      <c r="J10" s="53">
        <f t="shared" si="0"/>
        <v>750</v>
      </c>
    </row>
    <row r="11" spans="1:10" ht="19.95" customHeight="1" x14ac:dyDescent="0.3">
      <c r="A11" s="52">
        <v>250070</v>
      </c>
      <c r="B11" s="52">
        <v>304</v>
      </c>
      <c r="C11" s="55">
        <v>0.6</v>
      </c>
      <c r="D11" s="55" t="s">
        <v>12</v>
      </c>
      <c r="E11" s="54" t="s">
        <v>145</v>
      </c>
      <c r="F11" s="52" t="s">
        <v>27</v>
      </c>
      <c r="G11" s="52">
        <v>430</v>
      </c>
      <c r="H11" s="53">
        <v>750</v>
      </c>
      <c r="I11" s="6"/>
      <c r="J11" s="53">
        <f t="shared" si="0"/>
        <v>750</v>
      </c>
    </row>
    <row r="12" spans="1:10" ht="19.95" customHeight="1" x14ac:dyDescent="0.3">
      <c r="A12" s="52">
        <v>250072</v>
      </c>
      <c r="B12" s="52">
        <v>304</v>
      </c>
      <c r="C12" s="55">
        <v>0.7</v>
      </c>
      <c r="D12" s="55" t="s">
        <v>12</v>
      </c>
      <c r="E12" s="54" t="s">
        <v>146</v>
      </c>
      <c r="F12" s="52" t="s">
        <v>27</v>
      </c>
      <c r="G12" s="52">
        <v>430</v>
      </c>
      <c r="H12" s="53">
        <v>750</v>
      </c>
      <c r="I12" s="6"/>
      <c r="J12" s="53">
        <f t="shared" si="0"/>
        <v>750</v>
      </c>
    </row>
    <row r="13" spans="1:10" ht="19.95" customHeight="1" x14ac:dyDescent="0.3">
      <c r="A13" s="52">
        <v>250073</v>
      </c>
      <c r="B13" s="52">
        <v>304</v>
      </c>
      <c r="C13" s="55">
        <v>0.6</v>
      </c>
      <c r="D13" s="55" t="s">
        <v>12</v>
      </c>
      <c r="E13" s="54" t="s">
        <v>147</v>
      </c>
      <c r="F13" s="52" t="s">
        <v>27</v>
      </c>
      <c r="G13" s="52">
        <v>430</v>
      </c>
      <c r="H13" s="53">
        <v>750</v>
      </c>
      <c r="I13" s="6"/>
      <c r="J13" s="53">
        <f t="shared" si="0"/>
        <v>750</v>
      </c>
    </row>
    <row r="14" spans="1:10" ht="19.95" customHeight="1" x14ac:dyDescent="0.3">
      <c r="A14" s="52"/>
      <c r="B14" s="52"/>
      <c r="C14" s="55"/>
      <c r="D14" s="55"/>
      <c r="E14" s="54"/>
      <c r="F14" s="52"/>
      <c r="G14" s="52"/>
      <c r="H14" s="53"/>
      <c r="I14" s="6"/>
      <c r="J14" s="53">
        <f t="shared" si="0"/>
        <v>0</v>
      </c>
    </row>
    <row r="15" spans="1:10" ht="19.95" customHeight="1" x14ac:dyDescent="0.3">
      <c r="A15" s="52"/>
      <c r="B15" s="52"/>
      <c r="C15" s="55"/>
      <c r="D15" s="55"/>
      <c r="E15" s="54"/>
      <c r="F15" s="52"/>
      <c r="G15" s="52"/>
      <c r="H15" s="53"/>
      <c r="I15" s="19"/>
      <c r="J15" s="53">
        <f t="shared" si="0"/>
        <v>0</v>
      </c>
    </row>
    <row r="16" spans="1:10" ht="19.95" customHeight="1" x14ac:dyDescent="0.3">
      <c r="A16" s="52"/>
      <c r="B16" s="52"/>
      <c r="C16" s="55"/>
      <c r="D16" s="55"/>
      <c r="E16" s="54"/>
      <c r="F16" s="54"/>
      <c r="G16" s="52"/>
      <c r="H16" s="53"/>
      <c r="I16" s="19"/>
      <c r="J16" s="53">
        <v>300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6000</v>
      </c>
      <c r="I17" s="19">
        <f>SUM(I5:I15)</f>
        <v>250</v>
      </c>
      <c r="J17" s="53">
        <f>SUM(J5:J16)</f>
        <v>6050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52" t="s">
        <v>65</v>
      </c>
      <c r="B20" s="52" t="s">
        <v>66</v>
      </c>
      <c r="C20" s="18" t="s">
        <v>67</v>
      </c>
      <c r="D20" s="18" t="s">
        <v>68</v>
      </c>
      <c r="E20" s="52" t="s">
        <v>69</v>
      </c>
      <c r="F20" s="18" t="s">
        <v>70</v>
      </c>
      <c r="G20" s="18" t="s">
        <v>71</v>
      </c>
      <c r="H20" s="52" t="s">
        <v>72</v>
      </c>
      <c r="I20" s="52" t="s">
        <v>73</v>
      </c>
      <c r="J20" s="52" t="s">
        <v>74</v>
      </c>
    </row>
    <row r="21" spans="1:10" ht="19.95" customHeight="1" x14ac:dyDescent="0.3">
      <c r="A21" s="52"/>
      <c r="B21" s="52"/>
      <c r="C21" s="55"/>
      <c r="D21" s="55"/>
      <c r="E21" s="54"/>
      <c r="F21" s="52"/>
      <c r="G21" s="52"/>
      <c r="H21" s="53"/>
      <c r="I21" s="6"/>
      <c r="J21" s="53">
        <f t="shared" ref="J21:J28" si="1">H21-I21</f>
        <v>0</v>
      </c>
    </row>
    <row r="22" spans="1:10" ht="19.95" hidden="1" customHeight="1" x14ac:dyDescent="0.3">
      <c r="A22" s="52"/>
      <c r="B22" s="52"/>
      <c r="C22" s="55"/>
      <c r="D22" s="55"/>
      <c r="E22" s="54"/>
      <c r="F22" s="52"/>
      <c r="G22" s="52"/>
      <c r="H22" s="53"/>
      <c r="I22" s="6"/>
      <c r="J22" s="53">
        <f t="shared" si="1"/>
        <v>0</v>
      </c>
    </row>
    <row r="23" spans="1:10" ht="19.95" hidden="1" customHeight="1" x14ac:dyDescent="0.3">
      <c r="A23" s="52"/>
      <c r="B23" s="52"/>
      <c r="C23" s="55"/>
      <c r="D23" s="55"/>
      <c r="E23" s="54"/>
      <c r="F23" s="54"/>
      <c r="G23" s="52"/>
      <c r="H23" s="53"/>
      <c r="I23" s="6"/>
      <c r="J23" s="53">
        <f t="shared" si="1"/>
        <v>0</v>
      </c>
    </row>
    <row r="24" spans="1:10" ht="19.95" hidden="1" customHeight="1" x14ac:dyDescent="0.3">
      <c r="A24" s="52"/>
      <c r="B24" s="52"/>
      <c r="C24" s="55"/>
      <c r="D24" s="55"/>
      <c r="E24" s="54"/>
      <c r="F24" s="54"/>
      <c r="G24" s="52"/>
      <c r="H24" s="53"/>
      <c r="I24" s="6"/>
      <c r="J24" s="53">
        <f t="shared" si="1"/>
        <v>0</v>
      </c>
    </row>
    <row r="25" spans="1:10" ht="19.95" hidden="1" customHeight="1" x14ac:dyDescent="0.3">
      <c r="A25" s="52"/>
      <c r="B25" s="52"/>
      <c r="C25" s="55"/>
      <c r="D25" s="55"/>
      <c r="E25" s="54"/>
      <c r="F25" s="54"/>
      <c r="G25" s="52"/>
      <c r="H25" s="53"/>
      <c r="I25" s="6"/>
      <c r="J25" s="53">
        <f t="shared" si="1"/>
        <v>0</v>
      </c>
    </row>
    <row r="26" spans="1:10" ht="19.95" hidden="1" customHeight="1" x14ac:dyDescent="0.3">
      <c r="A26" s="52"/>
      <c r="B26" s="52"/>
      <c r="C26" s="55"/>
      <c r="D26" s="55"/>
      <c r="E26" s="54"/>
      <c r="F26" s="54"/>
      <c r="G26" s="52"/>
      <c r="H26" s="53"/>
      <c r="I26" s="6"/>
      <c r="J26" s="53">
        <f t="shared" si="1"/>
        <v>0</v>
      </c>
    </row>
    <row r="27" spans="1:10" ht="19.95" hidden="1" customHeight="1" x14ac:dyDescent="0.3">
      <c r="A27" s="52"/>
      <c r="B27" s="52"/>
      <c r="C27" s="55"/>
      <c r="D27" s="55"/>
      <c r="E27" s="54"/>
      <c r="F27" s="54"/>
      <c r="G27" s="52"/>
      <c r="H27" s="53"/>
      <c r="I27" s="6"/>
      <c r="J27" s="53">
        <f t="shared" si="1"/>
        <v>0</v>
      </c>
    </row>
    <row r="28" spans="1:10" ht="19.95" customHeight="1" x14ac:dyDescent="0.3">
      <c r="A28" s="52"/>
      <c r="B28" s="52"/>
      <c r="C28" s="55"/>
      <c r="D28" s="55"/>
      <c r="E28" s="54"/>
      <c r="F28" s="54"/>
      <c r="G28" s="52"/>
      <c r="H28" s="53"/>
      <c r="I28" s="19"/>
      <c r="J28" s="53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53">
        <f>SUM(H21:H28)</f>
        <v>0</v>
      </c>
      <c r="I29" s="6">
        <f>SUM(I21:I28)</f>
        <v>0</v>
      </c>
      <c r="J29" s="53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J31"/>
  <sheetViews>
    <sheetView zoomScale="70" zoomScaleNormal="70" workbookViewId="0">
      <selection activeCell="I12" sqref="I1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45941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52" t="s">
        <v>65</v>
      </c>
      <c r="B4" s="52" t="s">
        <v>66</v>
      </c>
      <c r="C4" s="18" t="s">
        <v>67</v>
      </c>
      <c r="D4" s="18" t="s">
        <v>68</v>
      </c>
      <c r="E4" s="52" t="s">
        <v>69</v>
      </c>
      <c r="F4" s="18" t="s">
        <v>70</v>
      </c>
      <c r="G4" s="18" t="s">
        <v>71</v>
      </c>
      <c r="H4" s="52" t="s">
        <v>72</v>
      </c>
      <c r="I4" s="52" t="s">
        <v>73</v>
      </c>
      <c r="J4" s="52" t="s">
        <v>74</v>
      </c>
    </row>
    <row r="5" spans="1:10" ht="19.95" customHeight="1" x14ac:dyDescent="0.3">
      <c r="A5" s="56">
        <v>250073</v>
      </c>
      <c r="B5" s="56">
        <v>304</v>
      </c>
      <c r="C5" s="46">
        <v>0.6</v>
      </c>
      <c r="D5" s="46" t="s">
        <v>12</v>
      </c>
      <c r="E5" s="44" t="s">
        <v>140</v>
      </c>
      <c r="F5" s="56" t="s">
        <v>27</v>
      </c>
      <c r="G5" s="56">
        <v>430</v>
      </c>
      <c r="H5" s="47">
        <v>750</v>
      </c>
      <c r="I5" s="6">
        <f>250+500</f>
        <v>750</v>
      </c>
      <c r="J5" s="53">
        <f t="shared" ref="J5:J15" si="0">H5-I5</f>
        <v>0</v>
      </c>
    </row>
    <row r="6" spans="1:10" ht="19.95" customHeight="1" x14ac:dyDescent="0.3">
      <c r="A6" s="56">
        <v>250072</v>
      </c>
      <c r="B6" s="56">
        <v>304</v>
      </c>
      <c r="C6" s="46">
        <v>0.7</v>
      </c>
      <c r="D6" s="46" t="s">
        <v>12</v>
      </c>
      <c r="E6" s="44" t="s">
        <v>141</v>
      </c>
      <c r="F6" s="56" t="s">
        <v>27</v>
      </c>
      <c r="G6" s="56">
        <v>430</v>
      </c>
      <c r="H6" s="47">
        <v>750</v>
      </c>
      <c r="I6" s="6">
        <v>750</v>
      </c>
      <c r="J6" s="53">
        <f t="shared" si="0"/>
        <v>0</v>
      </c>
    </row>
    <row r="7" spans="1:10" ht="19.95" customHeight="1" x14ac:dyDescent="0.3">
      <c r="A7" s="56">
        <v>250070</v>
      </c>
      <c r="B7" s="56">
        <v>304</v>
      </c>
      <c r="C7" s="46">
        <v>0.6</v>
      </c>
      <c r="D7" s="46" t="s">
        <v>12</v>
      </c>
      <c r="E7" s="44" t="s">
        <v>142</v>
      </c>
      <c r="F7" s="56" t="s">
        <v>27</v>
      </c>
      <c r="G7" s="56">
        <v>430</v>
      </c>
      <c r="H7" s="47">
        <v>750</v>
      </c>
      <c r="I7" s="6">
        <v>750</v>
      </c>
      <c r="J7" s="53">
        <f t="shared" si="0"/>
        <v>0</v>
      </c>
    </row>
    <row r="8" spans="1:10" ht="19.95" customHeight="1" x14ac:dyDescent="0.3">
      <c r="A8" s="56">
        <v>250071</v>
      </c>
      <c r="B8" s="56">
        <v>304</v>
      </c>
      <c r="C8" s="46">
        <v>0.7</v>
      </c>
      <c r="D8" s="46" t="s">
        <v>12</v>
      </c>
      <c r="E8" s="44" t="s">
        <v>143</v>
      </c>
      <c r="F8" s="56" t="s">
        <v>27</v>
      </c>
      <c r="G8" s="56">
        <v>430</v>
      </c>
      <c r="H8" s="47">
        <v>750</v>
      </c>
      <c r="I8" s="6">
        <f>400+450</f>
        <v>850</v>
      </c>
      <c r="J8" s="53">
        <f t="shared" si="0"/>
        <v>-100</v>
      </c>
    </row>
    <row r="9" spans="1:10" ht="19.95" customHeight="1" x14ac:dyDescent="0.3">
      <c r="A9" s="52"/>
      <c r="B9" s="52"/>
      <c r="C9" s="55"/>
      <c r="D9" s="55"/>
      <c r="E9" s="54"/>
      <c r="F9" s="52"/>
      <c r="G9" s="52"/>
      <c r="H9" s="53"/>
      <c r="I9" s="6"/>
      <c r="J9" s="53">
        <f t="shared" si="0"/>
        <v>0</v>
      </c>
    </row>
    <row r="10" spans="1:10" ht="19.95" customHeight="1" x14ac:dyDescent="0.3">
      <c r="A10" s="52">
        <v>250071</v>
      </c>
      <c r="B10" s="52">
        <v>304</v>
      </c>
      <c r="C10" s="55">
        <v>0.7</v>
      </c>
      <c r="D10" s="55" t="s">
        <v>12</v>
      </c>
      <c r="E10" s="54" t="s">
        <v>144</v>
      </c>
      <c r="F10" s="52" t="s">
        <v>27</v>
      </c>
      <c r="G10" s="52">
        <v>430</v>
      </c>
      <c r="H10" s="53">
        <v>750</v>
      </c>
      <c r="I10" s="6">
        <v>750</v>
      </c>
      <c r="J10" s="53">
        <f t="shared" si="0"/>
        <v>0</v>
      </c>
    </row>
    <row r="11" spans="1:10" ht="19.95" customHeight="1" x14ac:dyDescent="0.3">
      <c r="A11" s="52">
        <v>250070</v>
      </c>
      <c r="B11" s="52">
        <v>304</v>
      </c>
      <c r="C11" s="55">
        <v>0.6</v>
      </c>
      <c r="D11" s="55" t="s">
        <v>12</v>
      </c>
      <c r="E11" s="54" t="s">
        <v>145</v>
      </c>
      <c r="F11" s="52" t="s">
        <v>27</v>
      </c>
      <c r="G11" s="52">
        <v>430</v>
      </c>
      <c r="H11" s="53">
        <v>750</v>
      </c>
      <c r="I11" s="6">
        <v>50</v>
      </c>
      <c r="J11" s="53">
        <f t="shared" si="0"/>
        <v>700</v>
      </c>
    </row>
    <row r="12" spans="1:10" ht="19.95" customHeight="1" x14ac:dyDescent="0.3">
      <c r="A12" s="52">
        <v>250072</v>
      </c>
      <c r="B12" s="52">
        <v>304</v>
      </c>
      <c r="C12" s="55">
        <v>0.7</v>
      </c>
      <c r="D12" s="55" t="s">
        <v>12</v>
      </c>
      <c r="E12" s="54" t="s">
        <v>146</v>
      </c>
      <c r="F12" s="52" t="s">
        <v>27</v>
      </c>
      <c r="G12" s="52">
        <v>430</v>
      </c>
      <c r="H12" s="53">
        <v>750</v>
      </c>
      <c r="I12" s="6"/>
      <c r="J12" s="53">
        <f t="shared" si="0"/>
        <v>750</v>
      </c>
    </row>
    <row r="13" spans="1:10" ht="19.95" customHeight="1" x14ac:dyDescent="0.3">
      <c r="A13" s="52">
        <v>250073</v>
      </c>
      <c r="B13" s="52">
        <v>304</v>
      </c>
      <c r="C13" s="55">
        <v>0.6</v>
      </c>
      <c r="D13" s="55" t="s">
        <v>12</v>
      </c>
      <c r="E13" s="54" t="s">
        <v>147</v>
      </c>
      <c r="F13" s="52" t="s">
        <v>27</v>
      </c>
      <c r="G13" s="52">
        <v>430</v>
      </c>
      <c r="H13" s="53">
        <v>750</v>
      </c>
      <c r="I13" s="6"/>
      <c r="J13" s="53">
        <f t="shared" si="0"/>
        <v>750</v>
      </c>
    </row>
    <row r="14" spans="1:10" ht="19.95" customHeight="1" x14ac:dyDescent="0.3">
      <c r="A14" s="52"/>
      <c r="B14" s="52"/>
      <c r="C14" s="55"/>
      <c r="D14" s="55"/>
      <c r="E14" s="54"/>
      <c r="F14" s="52"/>
      <c r="G14" s="52"/>
      <c r="H14" s="53"/>
      <c r="I14" s="6"/>
      <c r="J14" s="53">
        <f t="shared" si="0"/>
        <v>0</v>
      </c>
    </row>
    <row r="15" spans="1:10" ht="19.95" customHeight="1" x14ac:dyDescent="0.3">
      <c r="A15" s="52"/>
      <c r="B15" s="52"/>
      <c r="C15" s="55"/>
      <c r="D15" s="55"/>
      <c r="E15" s="54"/>
      <c r="F15" s="52"/>
      <c r="G15" s="52"/>
      <c r="H15" s="53"/>
      <c r="I15" s="19"/>
      <c r="J15" s="53">
        <f t="shared" si="0"/>
        <v>0</v>
      </c>
    </row>
    <row r="16" spans="1:10" ht="19.95" customHeight="1" x14ac:dyDescent="0.3">
      <c r="A16" s="52"/>
      <c r="B16" s="52"/>
      <c r="C16" s="55"/>
      <c r="D16" s="55"/>
      <c r="E16" s="54"/>
      <c r="F16" s="54"/>
      <c r="G16" s="52"/>
      <c r="H16" s="53"/>
      <c r="I16" s="19"/>
      <c r="J16" s="53">
        <v>300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6000</v>
      </c>
      <c r="I17" s="19">
        <f>SUM(I5:I15)</f>
        <v>3900</v>
      </c>
      <c r="J17" s="53">
        <f>SUM(J5:J16)</f>
        <v>2400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52" t="s">
        <v>65</v>
      </c>
      <c r="B20" s="52" t="s">
        <v>66</v>
      </c>
      <c r="C20" s="18" t="s">
        <v>67</v>
      </c>
      <c r="D20" s="18" t="s">
        <v>68</v>
      </c>
      <c r="E20" s="52" t="s">
        <v>69</v>
      </c>
      <c r="F20" s="18" t="s">
        <v>70</v>
      </c>
      <c r="G20" s="18" t="s">
        <v>71</v>
      </c>
      <c r="H20" s="52" t="s">
        <v>72</v>
      </c>
      <c r="I20" s="52" t="s">
        <v>73</v>
      </c>
      <c r="J20" s="52" t="s">
        <v>74</v>
      </c>
    </row>
    <row r="21" spans="1:10" ht="19.95" customHeight="1" x14ac:dyDescent="0.3">
      <c r="A21" s="52"/>
      <c r="B21" s="52"/>
      <c r="C21" s="55"/>
      <c r="D21" s="55"/>
      <c r="E21" s="54"/>
      <c r="F21" s="52"/>
      <c r="G21" s="52"/>
      <c r="H21" s="53"/>
      <c r="I21" s="6"/>
      <c r="J21" s="53">
        <f t="shared" ref="J21:J28" si="1">H21-I21</f>
        <v>0</v>
      </c>
    </row>
    <row r="22" spans="1:10" ht="19.95" hidden="1" customHeight="1" x14ac:dyDescent="0.3">
      <c r="A22" s="52"/>
      <c r="B22" s="52"/>
      <c r="C22" s="55"/>
      <c r="D22" s="55"/>
      <c r="E22" s="54"/>
      <c r="F22" s="52"/>
      <c r="G22" s="52"/>
      <c r="H22" s="53"/>
      <c r="I22" s="6"/>
      <c r="J22" s="53">
        <f t="shared" si="1"/>
        <v>0</v>
      </c>
    </row>
    <row r="23" spans="1:10" ht="19.95" hidden="1" customHeight="1" x14ac:dyDescent="0.3">
      <c r="A23" s="52"/>
      <c r="B23" s="52"/>
      <c r="C23" s="55"/>
      <c r="D23" s="55"/>
      <c r="E23" s="54"/>
      <c r="F23" s="54"/>
      <c r="G23" s="52"/>
      <c r="H23" s="53"/>
      <c r="I23" s="6"/>
      <c r="J23" s="53">
        <f t="shared" si="1"/>
        <v>0</v>
      </c>
    </row>
    <row r="24" spans="1:10" ht="19.95" hidden="1" customHeight="1" x14ac:dyDescent="0.3">
      <c r="A24" s="52"/>
      <c r="B24" s="52"/>
      <c r="C24" s="55"/>
      <c r="D24" s="55"/>
      <c r="E24" s="54"/>
      <c r="F24" s="54"/>
      <c r="G24" s="52"/>
      <c r="H24" s="53"/>
      <c r="I24" s="6"/>
      <c r="J24" s="53">
        <f t="shared" si="1"/>
        <v>0</v>
      </c>
    </row>
    <row r="25" spans="1:10" ht="19.95" hidden="1" customHeight="1" x14ac:dyDescent="0.3">
      <c r="A25" s="52"/>
      <c r="B25" s="52"/>
      <c r="C25" s="55"/>
      <c r="D25" s="55"/>
      <c r="E25" s="54"/>
      <c r="F25" s="54"/>
      <c r="G25" s="52"/>
      <c r="H25" s="53"/>
      <c r="I25" s="6"/>
      <c r="J25" s="53">
        <f t="shared" si="1"/>
        <v>0</v>
      </c>
    </row>
    <row r="26" spans="1:10" ht="19.95" hidden="1" customHeight="1" x14ac:dyDescent="0.3">
      <c r="A26" s="52"/>
      <c r="B26" s="52"/>
      <c r="C26" s="55"/>
      <c r="D26" s="55"/>
      <c r="E26" s="54"/>
      <c r="F26" s="54"/>
      <c r="G26" s="52"/>
      <c r="H26" s="53"/>
      <c r="I26" s="6"/>
      <c r="J26" s="53">
        <f t="shared" si="1"/>
        <v>0</v>
      </c>
    </row>
    <row r="27" spans="1:10" ht="19.95" hidden="1" customHeight="1" x14ac:dyDescent="0.3">
      <c r="A27" s="52"/>
      <c r="B27" s="52"/>
      <c r="C27" s="55"/>
      <c r="D27" s="55"/>
      <c r="E27" s="54"/>
      <c r="F27" s="54"/>
      <c r="G27" s="52"/>
      <c r="H27" s="53"/>
      <c r="I27" s="6"/>
      <c r="J27" s="53">
        <f t="shared" si="1"/>
        <v>0</v>
      </c>
    </row>
    <row r="28" spans="1:10" ht="19.95" customHeight="1" x14ac:dyDescent="0.3">
      <c r="A28" s="52"/>
      <c r="B28" s="52"/>
      <c r="C28" s="55"/>
      <c r="D28" s="55"/>
      <c r="E28" s="54"/>
      <c r="F28" s="54"/>
      <c r="G28" s="52"/>
      <c r="H28" s="53"/>
      <c r="I28" s="19"/>
      <c r="J28" s="53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53">
        <f>SUM(H21:H28)</f>
        <v>0</v>
      </c>
      <c r="I29" s="6">
        <f>SUM(I21:I28)</f>
        <v>0</v>
      </c>
      <c r="J29" s="53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J31"/>
  <sheetViews>
    <sheetView zoomScale="70" zoomScaleNormal="70" workbookViewId="0">
      <selection activeCell="I14" sqref="I14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45943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52" t="s">
        <v>65</v>
      </c>
      <c r="B4" s="52" t="s">
        <v>66</v>
      </c>
      <c r="C4" s="18" t="s">
        <v>67</v>
      </c>
      <c r="D4" s="18" t="s">
        <v>68</v>
      </c>
      <c r="E4" s="52" t="s">
        <v>69</v>
      </c>
      <c r="F4" s="18" t="s">
        <v>70</v>
      </c>
      <c r="G4" s="18" t="s">
        <v>71</v>
      </c>
      <c r="H4" s="52" t="s">
        <v>72</v>
      </c>
      <c r="I4" s="52" t="s">
        <v>73</v>
      </c>
      <c r="J4" s="52" t="s">
        <v>74</v>
      </c>
    </row>
    <row r="5" spans="1:10" ht="19.95" customHeight="1" x14ac:dyDescent="0.3">
      <c r="A5" s="52">
        <v>250071</v>
      </c>
      <c r="B5" s="52">
        <v>304</v>
      </c>
      <c r="C5" s="55">
        <v>0.7</v>
      </c>
      <c r="D5" s="55" t="s">
        <v>12</v>
      </c>
      <c r="E5" s="54" t="s">
        <v>144</v>
      </c>
      <c r="F5" s="52" t="s">
        <v>27</v>
      </c>
      <c r="G5" s="52">
        <v>430</v>
      </c>
      <c r="H5" s="53">
        <v>750</v>
      </c>
      <c r="I5" s="6">
        <v>750</v>
      </c>
      <c r="J5" s="53">
        <f t="shared" ref="J5:J15" si="0">H5-I5</f>
        <v>0</v>
      </c>
    </row>
    <row r="6" spans="1:10" ht="19.95" customHeight="1" x14ac:dyDescent="0.3">
      <c r="A6" s="52">
        <v>250070</v>
      </c>
      <c r="B6" s="52">
        <v>304</v>
      </c>
      <c r="C6" s="55">
        <v>0.6</v>
      </c>
      <c r="D6" s="55" t="s">
        <v>12</v>
      </c>
      <c r="E6" s="54" t="s">
        <v>145</v>
      </c>
      <c r="F6" s="52" t="s">
        <v>27</v>
      </c>
      <c r="G6" s="52">
        <v>430</v>
      </c>
      <c r="H6" s="53">
        <v>750</v>
      </c>
      <c r="I6" s="6">
        <v>750</v>
      </c>
      <c r="J6" s="53">
        <f t="shared" si="0"/>
        <v>0</v>
      </c>
    </row>
    <row r="7" spans="1:10" ht="19.95" customHeight="1" x14ac:dyDescent="0.3">
      <c r="A7" s="52">
        <v>250072</v>
      </c>
      <c r="B7" s="52">
        <v>304</v>
      </c>
      <c r="C7" s="55">
        <v>0.7</v>
      </c>
      <c r="D7" s="55" t="s">
        <v>12</v>
      </c>
      <c r="E7" s="54" t="s">
        <v>146</v>
      </c>
      <c r="F7" s="52" t="s">
        <v>27</v>
      </c>
      <c r="G7" s="52">
        <v>430</v>
      </c>
      <c r="H7" s="53">
        <v>750</v>
      </c>
      <c r="I7" s="6">
        <v>800</v>
      </c>
      <c r="J7" s="53">
        <f t="shared" si="0"/>
        <v>-50</v>
      </c>
    </row>
    <row r="8" spans="1:10" ht="19.95" customHeight="1" x14ac:dyDescent="0.3">
      <c r="A8" s="52">
        <v>250073</v>
      </c>
      <c r="B8" s="52">
        <v>304</v>
      </c>
      <c r="C8" s="55">
        <v>0.6</v>
      </c>
      <c r="D8" s="55" t="s">
        <v>12</v>
      </c>
      <c r="E8" s="54" t="s">
        <v>147</v>
      </c>
      <c r="F8" s="52" t="s">
        <v>27</v>
      </c>
      <c r="G8" s="52">
        <v>430</v>
      </c>
      <c r="H8" s="53">
        <v>750</v>
      </c>
      <c r="I8" s="6">
        <v>800</v>
      </c>
      <c r="J8" s="53">
        <f t="shared" si="0"/>
        <v>-50</v>
      </c>
    </row>
    <row r="9" spans="1:10" ht="19.95" customHeight="1" x14ac:dyDescent="0.3">
      <c r="A9" s="52"/>
      <c r="B9" s="52"/>
      <c r="C9" s="55"/>
      <c r="D9" s="55"/>
      <c r="E9" s="54"/>
      <c r="F9" s="52"/>
      <c r="G9" s="52"/>
      <c r="H9" s="53"/>
      <c r="I9" s="6"/>
      <c r="J9" s="53">
        <f t="shared" si="0"/>
        <v>0</v>
      </c>
    </row>
    <row r="10" spans="1:10" ht="19.95" customHeight="1" x14ac:dyDescent="0.3">
      <c r="A10" s="57">
        <v>250072</v>
      </c>
      <c r="B10" s="57">
        <v>304</v>
      </c>
      <c r="C10" s="60">
        <v>0.7</v>
      </c>
      <c r="D10" s="60" t="s">
        <v>12</v>
      </c>
      <c r="E10" s="59" t="s">
        <v>150</v>
      </c>
      <c r="F10" s="61" t="s">
        <v>27</v>
      </c>
      <c r="G10" s="57">
        <v>430</v>
      </c>
      <c r="H10" s="58">
        <v>750</v>
      </c>
      <c r="I10" s="6"/>
      <c r="J10" s="53">
        <f t="shared" si="0"/>
        <v>750</v>
      </c>
    </row>
    <row r="11" spans="1:10" ht="19.95" customHeight="1" x14ac:dyDescent="0.3">
      <c r="A11" s="57">
        <v>250070</v>
      </c>
      <c r="B11" s="57">
        <v>304</v>
      </c>
      <c r="C11" s="60">
        <v>0.6</v>
      </c>
      <c r="D11" s="60" t="s">
        <v>12</v>
      </c>
      <c r="E11" s="59" t="s">
        <v>151</v>
      </c>
      <c r="F11" s="61" t="s">
        <v>27</v>
      </c>
      <c r="G11" s="57">
        <v>430</v>
      </c>
      <c r="H11" s="58">
        <v>750</v>
      </c>
      <c r="I11" s="6"/>
      <c r="J11" s="53">
        <f t="shared" si="0"/>
        <v>750</v>
      </c>
    </row>
    <row r="12" spans="1:10" ht="19.95" customHeight="1" x14ac:dyDescent="0.3">
      <c r="A12" s="57">
        <v>250071</v>
      </c>
      <c r="B12" s="57">
        <v>304</v>
      </c>
      <c r="C12" s="60">
        <v>0.7</v>
      </c>
      <c r="D12" s="60" t="s">
        <v>12</v>
      </c>
      <c r="E12" s="59" t="s">
        <v>152</v>
      </c>
      <c r="F12" s="61" t="s">
        <v>27</v>
      </c>
      <c r="G12" s="57">
        <v>430</v>
      </c>
      <c r="H12" s="58">
        <v>750</v>
      </c>
      <c r="I12" s="6"/>
      <c r="J12" s="53">
        <f t="shared" si="0"/>
        <v>750</v>
      </c>
    </row>
    <row r="13" spans="1:10" ht="19.95" customHeight="1" x14ac:dyDescent="0.3">
      <c r="A13" s="61">
        <v>250073</v>
      </c>
      <c r="B13" s="61">
        <v>304</v>
      </c>
      <c r="C13" s="64">
        <v>0.6</v>
      </c>
      <c r="D13" s="64" t="s">
        <v>12</v>
      </c>
      <c r="E13" s="63" t="s">
        <v>153</v>
      </c>
      <c r="F13" s="61" t="s">
        <v>27</v>
      </c>
      <c r="G13" s="61">
        <v>430</v>
      </c>
      <c r="H13" s="62">
        <v>750</v>
      </c>
      <c r="I13" s="6">
        <v>200</v>
      </c>
      <c r="J13" s="53">
        <f t="shared" si="0"/>
        <v>550</v>
      </c>
    </row>
    <row r="14" spans="1:10" ht="19.95" customHeight="1" x14ac:dyDescent="0.3">
      <c r="A14" s="52"/>
      <c r="B14" s="52"/>
      <c r="C14" s="55"/>
      <c r="D14" s="55"/>
      <c r="E14" s="54"/>
      <c r="F14" s="52"/>
      <c r="G14" s="52"/>
      <c r="H14" s="53"/>
      <c r="I14" s="6"/>
      <c r="J14" s="53">
        <f t="shared" si="0"/>
        <v>0</v>
      </c>
    </row>
    <row r="15" spans="1:10" ht="19.95" customHeight="1" x14ac:dyDescent="0.3">
      <c r="A15" s="52"/>
      <c r="B15" s="52"/>
      <c r="C15" s="55"/>
      <c r="D15" s="55"/>
      <c r="E15" s="54"/>
      <c r="F15" s="52"/>
      <c r="G15" s="52"/>
      <c r="H15" s="53"/>
      <c r="I15" s="19"/>
      <c r="J15" s="53">
        <f t="shared" si="0"/>
        <v>0</v>
      </c>
    </row>
    <row r="16" spans="1:10" ht="19.95" customHeight="1" x14ac:dyDescent="0.3">
      <c r="A16" s="52"/>
      <c r="B16" s="52"/>
      <c r="C16" s="55"/>
      <c r="D16" s="55"/>
      <c r="E16" s="54"/>
      <c r="F16" s="54"/>
      <c r="G16" s="52"/>
      <c r="H16" s="53"/>
      <c r="I16" s="19"/>
      <c r="J16" s="53">
        <v>300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6000</v>
      </c>
      <c r="I17" s="19">
        <f>SUM(I5:I15)</f>
        <v>3300</v>
      </c>
      <c r="J17" s="53">
        <f>SUM(J5:J16)</f>
        <v>3000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52" t="s">
        <v>65</v>
      </c>
      <c r="B20" s="52" t="s">
        <v>66</v>
      </c>
      <c r="C20" s="18" t="s">
        <v>67</v>
      </c>
      <c r="D20" s="18" t="s">
        <v>68</v>
      </c>
      <c r="E20" s="52" t="s">
        <v>69</v>
      </c>
      <c r="F20" s="18" t="s">
        <v>70</v>
      </c>
      <c r="G20" s="18" t="s">
        <v>71</v>
      </c>
      <c r="H20" s="52" t="s">
        <v>72</v>
      </c>
      <c r="I20" s="52" t="s">
        <v>73</v>
      </c>
      <c r="J20" s="52" t="s">
        <v>74</v>
      </c>
    </row>
    <row r="21" spans="1:10" ht="19.95" customHeight="1" x14ac:dyDescent="0.3">
      <c r="A21" s="52"/>
      <c r="B21" s="52"/>
      <c r="C21" s="55"/>
      <c r="D21" s="55"/>
      <c r="E21" s="54"/>
      <c r="F21" s="52"/>
      <c r="G21" s="52"/>
      <c r="H21" s="53"/>
      <c r="I21" s="6"/>
      <c r="J21" s="53">
        <f t="shared" ref="J21:J28" si="1">H21-I21</f>
        <v>0</v>
      </c>
    </row>
    <row r="22" spans="1:10" ht="19.95" hidden="1" customHeight="1" x14ac:dyDescent="0.3">
      <c r="A22" s="52"/>
      <c r="B22" s="52"/>
      <c r="C22" s="55"/>
      <c r="D22" s="55"/>
      <c r="E22" s="54"/>
      <c r="F22" s="52"/>
      <c r="G22" s="52"/>
      <c r="H22" s="53"/>
      <c r="I22" s="6"/>
      <c r="J22" s="53">
        <f t="shared" si="1"/>
        <v>0</v>
      </c>
    </row>
    <row r="23" spans="1:10" ht="19.95" hidden="1" customHeight="1" x14ac:dyDescent="0.3">
      <c r="A23" s="52"/>
      <c r="B23" s="52"/>
      <c r="C23" s="55"/>
      <c r="D23" s="55"/>
      <c r="E23" s="54"/>
      <c r="F23" s="54"/>
      <c r="G23" s="52"/>
      <c r="H23" s="53"/>
      <c r="I23" s="6"/>
      <c r="J23" s="53">
        <f t="shared" si="1"/>
        <v>0</v>
      </c>
    </row>
    <row r="24" spans="1:10" ht="19.95" hidden="1" customHeight="1" x14ac:dyDescent="0.3">
      <c r="A24" s="52"/>
      <c r="B24" s="52"/>
      <c r="C24" s="55"/>
      <c r="D24" s="55"/>
      <c r="E24" s="54"/>
      <c r="F24" s="54"/>
      <c r="G24" s="52"/>
      <c r="H24" s="53"/>
      <c r="I24" s="6"/>
      <c r="J24" s="53">
        <f t="shared" si="1"/>
        <v>0</v>
      </c>
    </row>
    <row r="25" spans="1:10" ht="19.95" hidden="1" customHeight="1" x14ac:dyDescent="0.3">
      <c r="A25" s="52"/>
      <c r="B25" s="52"/>
      <c r="C25" s="55"/>
      <c r="D25" s="55"/>
      <c r="E25" s="54"/>
      <c r="F25" s="54"/>
      <c r="G25" s="52"/>
      <c r="H25" s="53"/>
      <c r="I25" s="6"/>
      <c r="J25" s="53">
        <f t="shared" si="1"/>
        <v>0</v>
      </c>
    </row>
    <row r="26" spans="1:10" ht="19.95" hidden="1" customHeight="1" x14ac:dyDescent="0.3">
      <c r="A26" s="52"/>
      <c r="B26" s="52"/>
      <c r="C26" s="55"/>
      <c r="D26" s="55"/>
      <c r="E26" s="54"/>
      <c r="F26" s="54"/>
      <c r="G26" s="52"/>
      <c r="H26" s="53"/>
      <c r="I26" s="6"/>
      <c r="J26" s="53">
        <f t="shared" si="1"/>
        <v>0</v>
      </c>
    </row>
    <row r="27" spans="1:10" ht="19.95" hidden="1" customHeight="1" x14ac:dyDescent="0.3">
      <c r="A27" s="52"/>
      <c r="B27" s="52"/>
      <c r="C27" s="55"/>
      <c r="D27" s="55"/>
      <c r="E27" s="54"/>
      <c r="F27" s="54"/>
      <c r="G27" s="52"/>
      <c r="H27" s="53"/>
      <c r="I27" s="6"/>
      <c r="J27" s="53">
        <f t="shared" si="1"/>
        <v>0</v>
      </c>
    </row>
    <row r="28" spans="1:10" ht="19.95" customHeight="1" x14ac:dyDescent="0.3">
      <c r="A28" s="52"/>
      <c r="B28" s="52"/>
      <c r="C28" s="55"/>
      <c r="D28" s="55"/>
      <c r="E28" s="54"/>
      <c r="F28" s="54"/>
      <c r="G28" s="52"/>
      <c r="H28" s="53"/>
      <c r="I28" s="19"/>
      <c r="J28" s="53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53">
        <f>SUM(H21:H28)</f>
        <v>0</v>
      </c>
      <c r="I29" s="6">
        <f>SUM(I21:I28)</f>
        <v>0</v>
      </c>
      <c r="J29" s="53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9" sqref="I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45944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1" t="s">
        <v>65</v>
      </c>
      <c r="B4" s="61" t="s">
        <v>66</v>
      </c>
      <c r="C4" s="18" t="s">
        <v>67</v>
      </c>
      <c r="D4" s="18" t="s">
        <v>68</v>
      </c>
      <c r="E4" s="61" t="s">
        <v>69</v>
      </c>
      <c r="F4" s="18" t="s">
        <v>70</v>
      </c>
      <c r="G4" s="18" t="s">
        <v>71</v>
      </c>
      <c r="H4" s="61" t="s">
        <v>72</v>
      </c>
      <c r="I4" s="61" t="s">
        <v>73</v>
      </c>
      <c r="J4" s="61" t="s">
        <v>74</v>
      </c>
    </row>
    <row r="5" spans="1:10" ht="19.95" customHeight="1" x14ac:dyDescent="0.3">
      <c r="A5" s="61">
        <v>250072</v>
      </c>
      <c r="B5" s="61">
        <v>304</v>
      </c>
      <c r="C5" s="64">
        <v>0.7</v>
      </c>
      <c r="D5" s="64" t="s">
        <v>12</v>
      </c>
      <c r="E5" s="63" t="s">
        <v>150</v>
      </c>
      <c r="F5" s="61" t="s">
        <v>27</v>
      </c>
      <c r="G5" s="61">
        <v>430</v>
      </c>
      <c r="H5" s="62">
        <v>750</v>
      </c>
      <c r="I5" s="6">
        <v>750</v>
      </c>
      <c r="J5" s="62">
        <f t="shared" ref="J5:J15" si="0">H5-I5</f>
        <v>0</v>
      </c>
    </row>
    <row r="6" spans="1:10" ht="19.95" customHeight="1" x14ac:dyDescent="0.3">
      <c r="A6" s="61">
        <v>250070</v>
      </c>
      <c r="B6" s="61">
        <v>304</v>
      </c>
      <c r="C6" s="64">
        <v>0.6</v>
      </c>
      <c r="D6" s="64" t="s">
        <v>12</v>
      </c>
      <c r="E6" s="63" t="s">
        <v>151</v>
      </c>
      <c r="F6" s="61" t="s">
        <v>27</v>
      </c>
      <c r="G6" s="61">
        <v>430</v>
      </c>
      <c r="H6" s="62">
        <v>750</v>
      </c>
      <c r="I6" s="6">
        <v>750</v>
      </c>
      <c r="J6" s="62">
        <f t="shared" si="0"/>
        <v>0</v>
      </c>
    </row>
    <row r="7" spans="1:10" ht="19.95" customHeight="1" x14ac:dyDescent="0.3">
      <c r="A7" s="61">
        <v>250071</v>
      </c>
      <c r="B7" s="61">
        <v>304</v>
      </c>
      <c r="C7" s="64">
        <v>0.7</v>
      </c>
      <c r="D7" s="64" t="s">
        <v>12</v>
      </c>
      <c r="E7" s="63" t="s">
        <v>152</v>
      </c>
      <c r="F7" s="61" t="s">
        <v>27</v>
      </c>
      <c r="G7" s="61">
        <v>430</v>
      </c>
      <c r="H7" s="62">
        <v>750</v>
      </c>
      <c r="I7" s="6">
        <v>750</v>
      </c>
      <c r="J7" s="62">
        <f t="shared" si="0"/>
        <v>0</v>
      </c>
    </row>
    <row r="8" spans="1:10" ht="19.95" customHeight="1" x14ac:dyDescent="0.3">
      <c r="A8" s="61">
        <v>250073</v>
      </c>
      <c r="B8" s="61">
        <v>304</v>
      </c>
      <c r="C8" s="64">
        <v>0.6</v>
      </c>
      <c r="D8" s="64" t="s">
        <v>12</v>
      </c>
      <c r="E8" s="63" t="s">
        <v>153</v>
      </c>
      <c r="F8" s="61" t="s">
        <v>27</v>
      </c>
      <c r="G8" s="61">
        <v>430</v>
      </c>
      <c r="H8" s="62">
        <v>750</v>
      </c>
      <c r="I8" s="6">
        <f>200+650</f>
        <v>850</v>
      </c>
      <c r="J8" s="62">
        <f t="shared" si="0"/>
        <v>-100</v>
      </c>
    </row>
    <row r="9" spans="1:10" ht="19.95" customHeight="1" x14ac:dyDescent="0.3">
      <c r="A9" s="61"/>
      <c r="B9" s="61"/>
      <c r="C9" s="64"/>
      <c r="D9" s="64"/>
      <c r="E9" s="63"/>
      <c r="F9" s="61"/>
      <c r="G9" s="61"/>
      <c r="H9" s="62"/>
      <c r="I9" s="6"/>
      <c r="J9" s="62">
        <f t="shared" si="0"/>
        <v>0</v>
      </c>
    </row>
    <row r="10" spans="1:10" ht="19.95" customHeight="1" x14ac:dyDescent="0.3">
      <c r="A10" s="61">
        <v>250071</v>
      </c>
      <c r="B10" s="61">
        <v>304</v>
      </c>
      <c r="C10" s="64">
        <v>0.7</v>
      </c>
      <c r="D10" s="64" t="s">
        <v>12</v>
      </c>
      <c r="E10" s="63" t="s">
        <v>155</v>
      </c>
      <c r="F10" s="61" t="s">
        <v>27</v>
      </c>
      <c r="G10" s="61">
        <v>430</v>
      </c>
      <c r="H10" s="62">
        <v>750</v>
      </c>
      <c r="I10" s="6"/>
      <c r="J10" s="62">
        <f t="shared" si="0"/>
        <v>750</v>
      </c>
    </row>
    <row r="11" spans="1:10" ht="19.95" customHeight="1" x14ac:dyDescent="0.3">
      <c r="A11" s="61">
        <v>250070</v>
      </c>
      <c r="B11" s="61">
        <v>304</v>
      </c>
      <c r="C11" s="64">
        <v>0.6</v>
      </c>
      <c r="D11" s="64" t="s">
        <v>12</v>
      </c>
      <c r="E11" s="63" t="s">
        <v>156</v>
      </c>
      <c r="F11" s="61" t="s">
        <v>27</v>
      </c>
      <c r="G11" s="61">
        <v>430</v>
      </c>
      <c r="H11" s="62">
        <v>750</v>
      </c>
      <c r="I11" s="6"/>
      <c r="J11" s="62">
        <f t="shared" si="0"/>
        <v>750</v>
      </c>
    </row>
    <row r="12" spans="1:10" ht="19.95" customHeight="1" x14ac:dyDescent="0.3">
      <c r="A12" s="61">
        <v>250073</v>
      </c>
      <c r="B12" s="61">
        <v>304</v>
      </c>
      <c r="C12" s="64">
        <v>0.6</v>
      </c>
      <c r="D12" s="64" t="s">
        <v>12</v>
      </c>
      <c r="E12" s="63" t="s">
        <v>157</v>
      </c>
      <c r="F12" s="63" t="s">
        <v>27</v>
      </c>
      <c r="G12" s="61">
        <v>430</v>
      </c>
      <c r="H12" s="62">
        <v>750</v>
      </c>
      <c r="I12" s="6"/>
      <c r="J12" s="62">
        <f t="shared" si="0"/>
        <v>750</v>
      </c>
    </row>
    <row r="13" spans="1:10" ht="19.95" customHeight="1" x14ac:dyDescent="0.3">
      <c r="A13" s="61">
        <v>250072</v>
      </c>
      <c r="B13" s="61">
        <v>304</v>
      </c>
      <c r="C13" s="64">
        <v>0.7</v>
      </c>
      <c r="D13" s="64" t="s">
        <v>12</v>
      </c>
      <c r="E13" s="63" t="s">
        <v>157</v>
      </c>
      <c r="F13" s="63" t="s">
        <v>154</v>
      </c>
      <c r="G13" s="61">
        <v>430</v>
      </c>
      <c r="H13" s="62">
        <v>750</v>
      </c>
      <c r="I13" s="6"/>
      <c r="J13" s="62">
        <f t="shared" si="0"/>
        <v>750</v>
      </c>
    </row>
    <row r="14" spans="1:10" ht="19.95" customHeight="1" x14ac:dyDescent="0.3">
      <c r="A14" s="61"/>
      <c r="B14" s="61"/>
      <c r="C14" s="64"/>
      <c r="D14" s="64"/>
      <c r="E14" s="63"/>
      <c r="F14" s="61"/>
      <c r="G14" s="61"/>
      <c r="H14" s="62"/>
      <c r="I14" s="6"/>
      <c r="J14" s="62">
        <f t="shared" si="0"/>
        <v>0</v>
      </c>
    </row>
    <row r="15" spans="1:10" ht="19.95" customHeight="1" x14ac:dyDescent="0.3">
      <c r="A15" s="61"/>
      <c r="B15" s="61"/>
      <c r="C15" s="64"/>
      <c r="D15" s="64"/>
      <c r="E15" s="63"/>
      <c r="F15" s="61"/>
      <c r="G15" s="61"/>
      <c r="H15" s="62"/>
      <c r="I15" s="19"/>
      <c r="J15" s="62">
        <f t="shared" si="0"/>
        <v>0</v>
      </c>
    </row>
    <row r="16" spans="1:10" ht="19.95" customHeight="1" x14ac:dyDescent="0.3">
      <c r="A16" s="61"/>
      <c r="B16" s="61"/>
      <c r="C16" s="64"/>
      <c r="D16" s="64"/>
      <c r="E16" s="63"/>
      <c r="F16" s="63"/>
      <c r="G16" s="61"/>
      <c r="H16" s="62"/>
      <c r="I16" s="19"/>
      <c r="J16" s="62">
        <v>300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6000</v>
      </c>
      <c r="I17" s="19">
        <f>SUM(I5:I15)</f>
        <v>3100</v>
      </c>
      <c r="J17" s="62">
        <f>SUM(J5:J16)</f>
        <v>3200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1" t="s">
        <v>65</v>
      </c>
      <c r="B20" s="61" t="s">
        <v>66</v>
      </c>
      <c r="C20" s="18" t="s">
        <v>67</v>
      </c>
      <c r="D20" s="18" t="s">
        <v>68</v>
      </c>
      <c r="E20" s="61" t="s">
        <v>69</v>
      </c>
      <c r="F20" s="18" t="s">
        <v>70</v>
      </c>
      <c r="G20" s="18" t="s">
        <v>71</v>
      </c>
      <c r="H20" s="61" t="s">
        <v>72</v>
      </c>
      <c r="I20" s="61" t="s">
        <v>73</v>
      </c>
      <c r="J20" s="61" t="s">
        <v>74</v>
      </c>
    </row>
    <row r="21" spans="1:10" ht="19.95" customHeight="1" x14ac:dyDescent="0.3">
      <c r="A21" s="61"/>
      <c r="B21" s="61"/>
      <c r="C21" s="64"/>
      <c r="D21" s="64"/>
      <c r="E21" s="63"/>
      <c r="F21" s="61"/>
      <c r="G21" s="61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1"/>
      <c r="B22" s="61"/>
      <c r="C22" s="64"/>
      <c r="D22" s="64"/>
      <c r="E22" s="63"/>
      <c r="F22" s="61"/>
      <c r="G22" s="61"/>
      <c r="H22" s="62"/>
      <c r="I22" s="6"/>
      <c r="J22" s="62">
        <f t="shared" si="1"/>
        <v>0</v>
      </c>
    </row>
    <row r="23" spans="1:10" ht="19.95" hidden="1" customHeight="1" x14ac:dyDescent="0.3">
      <c r="A23" s="61"/>
      <c r="B23" s="61"/>
      <c r="C23" s="64"/>
      <c r="D23" s="64"/>
      <c r="E23" s="63"/>
      <c r="F23" s="63"/>
      <c r="G23" s="61"/>
      <c r="H23" s="62"/>
      <c r="I23" s="6"/>
      <c r="J23" s="62">
        <f t="shared" si="1"/>
        <v>0</v>
      </c>
    </row>
    <row r="24" spans="1:10" ht="19.95" hidden="1" customHeight="1" x14ac:dyDescent="0.3">
      <c r="A24" s="61"/>
      <c r="B24" s="61"/>
      <c r="C24" s="64"/>
      <c r="D24" s="64"/>
      <c r="E24" s="63"/>
      <c r="F24" s="63"/>
      <c r="G24" s="61"/>
      <c r="H24" s="62"/>
      <c r="I24" s="6"/>
      <c r="J24" s="62">
        <f t="shared" si="1"/>
        <v>0</v>
      </c>
    </row>
    <row r="25" spans="1:10" ht="19.95" hidden="1" customHeight="1" x14ac:dyDescent="0.3">
      <c r="A25" s="61"/>
      <c r="B25" s="61"/>
      <c r="C25" s="64"/>
      <c r="D25" s="64"/>
      <c r="E25" s="63"/>
      <c r="F25" s="63"/>
      <c r="G25" s="61"/>
      <c r="H25" s="62"/>
      <c r="I25" s="6"/>
      <c r="J25" s="62">
        <f t="shared" si="1"/>
        <v>0</v>
      </c>
    </row>
    <row r="26" spans="1:10" ht="19.95" hidden="1" customHeight="1" x14ac:dyDescent="0.3">
      <c r="A26" s="61"/>
      <c r="B26" s="61"/>
      <c r="C26" s="64"/>
      <c r="D26" s="64"/>
      <c r="E26" s="63"/>
      <c r="F26" s="63"/>
      <c r="G26" s="61"/>
      <c r="H26" s="62"/>
      <c r="I26" s="6"/>
      <c r="J26" s="62">
        <f t="shared" si="1"/>
        <v>0</v>
      </c>
    </row>
    <row r="27" spans="1:10" ht="19.95" hidden="1" customHeight="1" x14ac:dyDescent="0.3">
      <c r="A27" s="61"/>
      <c r="B27" s="61"/>
      <c r="C27" s="64"/>
      <c r="D27" s="64"/>
      <c r="E27" s="63"/>
      <c r="F27" s="63"/>
      <c r="G27" s="61"/>
      <c r="H27" s="62"/>
      <c r="I27" s="6"/>
      <c r="J27" s="62">
        <f t="shared" si="1"/>
        <v>0</v>
      </c>
    </row>
    <row r="28" spans="1:10" ht="19.95" customHeight="1" x14ac:dyDescent="0.3">
      <c r="A28" s="61"/>
      <c r="B28" s="61"/>
      <c r="C28" s="64"/>
      <c r="D28" s="64"/>
      <c r="E28" s="63"/>
      <c r="F28" s="63"/>
      <c r="G28" s="61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9" sqref="I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45945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1" t="s">
        <v>65</v>
      </c>
      <c r="B4" s="61" t="s">
        <v>66</v>
      </c>
      <c r="C4" s="18" t="s">
        <v>67</v>
      </c>
      <c r="D4" s="18" t="s">
        <v>68</v>
      </c>
      <c r="E4" s="61" t="s">
        <v>69</v>
      </c>
      <c r="F4" s="18" t="s">
        <v>70</v>
      </c>
      <c r="G4" s="18" t="s">
        <v>71</v>
      </c>
      <c r="H4" s="61" t="s">
        <v>72</v>
      </c>
      <c r="I4" s="61" t="s">
        <v>73</v>
      </c>
      <c r="J4" s="61" t="s">
        <v>74</v>
      </c>
    </row>
    <row r="5" spans="1:10" ht="19.95" customHeight="1" x14ac:dyDescent="0.3">
      <c r="A5" s="61">
        <v>250071</v>
      </c>
      <c r="B5" s="61">
        <v>304</v>
      </c>
      <c r="C5" s="64">
        <v>0.7</v>
      </c>
      <c r="D5" s="64" t="s">
        <v>12</v>
      </c>
      <c r="E5" s="63" t="s">
        <v>155</v>
      </c>
      <c r="F5" s="65" t="s">
        <v>27</v>
      </c>
      <c r="G5" s="61">
        <v>430</v>
      </c>
      <c r="H5" s="62">
        <v>750</v>
      </c>
      <c r="I5" s="6">
        <v>770</v>
      </c>
      <c r="J5" s="62">
        <f t="shared" ref="J5:J8" si="0">H5-I5</f>
        <v>-20</v>
      </c>
    </row>
    <row r="6" spans="1:10" ht="19.95" customHeight="1" x14ac:dyDescent="0.3">
      <c r="A6" s="61">
        <v>250070</v>
      </c>
      <c r="B6" s="61">
        <v>304</v>
      </c>
      <c r="C6" s="64">
        <v>0.6</v>
      </c>
      <c r="D6" s="64" t="s">
        <v>12</v>
      </c>
      <c r="E6" s="63" t="s">
        <v>156</v>
      </c>
      <c r="F6" s="65" t="s">
        <v>27</v>
      </c>
      <c r="G6" s="61">
        <v>430</v>
      </c>
      <c r="H6" s="62">
        <v>750</v>
      </c>
      <c r="I6" s="6">
        <v>770</v>
      </c>
      <c r="J6" s="62">
        <f t="shared" si="0"/>
        <v>-20</v>
      </c>
    </row>
    <row r="7" spans="1:10" ht="19.95" customHeight="1" x14ac:dyDescent="0.3">
      <c r="A7" s="61">
        <v>250073</v>
      </c>
      <c r="B7" s="61">
        <v>304</v>
      </c>
      <c r="C7" s="64">
        <v>0.6</v>
      </c>
      <c r="D7" s="64" t="s">
        <v>12</v>
      </c>
      <c r="E7" s="63" t="s">
        <v>157</v>
      </c>
      <c r="F7" s="65" t="s">
        <v>27</v>
      </c>
      <c r="G7" s="61">
        <v>430</v>
      </c>
      <c r="H7" s="62">
        <v>750</v>
      </c>
      <c r="I7" s="6">
        <v>770</v>
      </c>
      <c r="J7" s="62">
        <f t="shared" si="0"/>
        <v>-20</v>
      </c>
    </row>
    <row r="8" spans="1:10" ht="19.95" customHeight="1" x14ac:dyDescent="0.3">
      <c r="A8" s="61">
        <v>250072</v>
      </c>
      <c r="B8" s="61">
        <v>304</v>
      </c>
      <c r="C8" s="64">
        <v>0.7</v>
      </c>
      <c r="D8" s="64" t="s">
        <v>12</v>
      </c>
      <c r="E8" s="63" t="s">
        <v>157</v>
      </c>
      <c r="F8" s="65" t="s">
        <v>154</v>
      </c>
      <c r="G8" s="61">
        <v>430</v>
      </c>
      <c r="H8" s="62">
        <v>750</v>
      </c>
      <c r="I8" s="6">
        <v>775</v>
      </c>
      <c r="J8" s="62">
        <f t="shared" si="0"/>
        <v>-25</v>
      </c>
    </row>
    <row r="9" spans="1:10" ht="19.95" customHeight="1" x14ac:dyDescent="0.3">
      <c r="A9" s="61"/>
      <c r="B9" s="61"/>
      <c r="C9" s="64"/>
      <c r="D9" s="64"/>
      <c r="E9" s="63"/>
      <c r="F9" s="65"/>
      <c r="G9" s="61"/>
      <c r="H9" s="62"/>
      <c r="I9" s="6"/>
      <c r="J9" s="62">
        <f t="shared" ref="J9:J16" si="1">H9-I9</f>
        <v>0</v>
      </c>
    </row>
    <row r="10" spans="1:10" ht="19.95" customHeight="1" x14ac:dyDescent="0.3">
      <c r="A10" s="67">
        <v>250077</v>
      </c>
      <c r="B10" s="67">
        <v>430</v>
      </c>
      <c r="C10" s="68">
        <v>0.5</v>
      </c>
      <c r="D10" s="68" t="s">
        <v>12</v>
      </c>
      <c r="E10" s="66" t="s">
        <v>159</v>
      </c>
      <c r="F10" s="67" t="s">
        <v>27</v>
      </c>
      <c r="G10" s="67">
        <v>430</v>
      </c>
      <c r="H10" s="69">
        <v>1400</v>
      </c>
      <c r="I10" s="6"/>
      <c r="J10" s="62">
        <f t="shared" si="1"/>
        <v>1400</v>
      </c>
    </row>
    <row r="11" spans="1:10" ht="19.95" customHeight="1" x14ac:dyDescent="0.3">
      <c r="A11" s="71">
        <v>250077</v>
      </c>
      <c r="B11" s="71">
        <v>430</v>
      </c>
      <c r="C11" s="72">
        <v>0.5</v>
      </c>
      <c r="D11" s="72" t="s">
        <v>12</v>
      </c>
      <c r="E11" s="70" t="s">
        <v>158</v>
      </c>
      <c r="F11" s="71" t="s">
        <v>27</v>
      </c>
      <c r="G11" s="71">
        <v>430</v>
      </c>
      <c r="H11" s="73">
        <v>1400</v>
      </c>
      <c r="I11" s="6"/>
      <c r="J11" s="62">
        <f t="shared" si="1"/>
        <v>1400</v>
      </c>
    </row>
    <row r="12" spans="1:10" ht="19.95" customHeight="1" x14ac:dyDescent="0.3">
      <c r="A12" s="61"/>
      <c r="B12" s="61"/>
      <c r="C12" s="64"/>
      <c r="D12" s="64"/>
      <c r="E12" s="63"/>
      <c r="F12" s="63"/>
      <c r="G12" s="61"/>
      <c r="H12" s="62"/>
      <c r="I12" s="6"/>
      <c r="J12" s="62">
        <f t="shared" si="1"/>
        <v>0</v>
      </c>
    </row>
    <row r="13" spans="1:10" ht="19.95" customHeight="1" x14ac:dyDescent="0.3">
      <c r="A13" s="61"/>
      <c r="B13" s="61"/>
      <c r="C13" s="64"/>
      <c r="D13" s="64"/>
      <c r="E13" s="63"/>
      <c r="F13" s="63"/>
      <c r="G13" s="61"/>
      <c r="H13" s="62"/>
      <c r="I13" s="6"/>
      <c r="J13" s="62">
        <f t="shared" si="1"/>
        <v>0</v>
      </c>
    </row>
    <row r="14" spans="1:10" ht="19.95" customHeight="1" x14ac:dyDescent="0.3">
      <c r="A14" s="61"/>
      <c r="B14" s="61"/>
      <c r="C14" s="64"/>
      <c r="D14" s="64"/>
      <c r="E14" s="63"/>
      <c r="F14" s="61"/>
      <c r="G14" s="61"/>
      <c r="H14" s="62"/>
      <c r="I14" s="6"/>
      <c r="J14" s="62">
        <f t="shared" si="1"/>
        <v>0</v>
      </c>
    </row>
    <row r="15" spans="1:10" ht="19.95" customHeight="1" x14ac:dyDescent="0.3">
      <c r="A15" s="61"/>
      <c r="B15" s="61"/>
      <c r="C15" s="64"/>
      <c r="D15" s="64"/>
      <c r="E15" s="63"/>
      <c r="F15" s="61"/>
      <c r="G15" s="61"/>
      <c r="H15" s="62"/>
      <c r="I15" s="19"/>
      <c r="J15" s="62">
        <f t="shared" si="1"/>
        <v>0</v>
      </c>
    </row>
    <row r="16" spans="1:10" ht="19.95" customHeight="1" x14ac:dyDescent="0.3">
      <c r="A16" s="61"/>
      <c r="B16" s="61"/>
      <c r="C16" s="64"/>
      <c r="D16" s="64"/>
      <c r="E16" s="63"/>
      <c r="F16" s="63"/>
      <c r="G16" s="61"/>
      <c r="H16" s="62"/>
      <c r="I16" s="19"/>
      <c r="J16" s="62">
        <f t="shared" si="1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5800</v>
      </c>
      <c r="I17" s="19">
        <f>SUM(I5:I15)</f>
        <v>3085</v>
      </c>
      <c r="J17" s="62">
        <f>SUM(J5:J16)</f>
        <v>2715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1" t="s">
        <v>65</v>
      </c>
      <c r="B20" s="61" t="s">
        <v>66</v>
      </c>
      <c r="C20" s="18" t="s">
        <v>67</v>
      </c>
      <c r="D20" s="18" t="s">
        <v>68</v>
      </c>
      <c r="E20" s="61" t="s">
        <v>69</v>
      </c>
      <c r="F20" s="18" t="s">
        <v>70</v>
      </c>
      <c r="G20" s="18" t="s">
        <v>71</v>
      </c>
      <c r="H20" s="61" t="s">
        <v>72</v>
      </c>
      <c r="I20" s="61" t="s">
        <v>73</v>
      </c>
      <c r="J20" s="61" t="s">
        <v>74</v>
      </c>
    </row>
    <row r="21" spans="1:10" ht="19.95" customHeight="1" x14ac:dyDescent="0.3">
      <c r="A21" s="61"/>
      <c r="B21" s="61"/>
      <c r="C21" s="64"/>
      <c r="D21" s="64"/>
      <c r="E21" s="63"/>
      <c r="F21" s="61"/>
      <c r="G21" s="61"/>
      <c r="H21" s="62"/>
      <c r="I21" s="6"/>
      <c r="J21" s="62">
        <f t="shared" ref="J21:J28" si="2">H21-I21</f>
        <v>0</v>
      </c>
    </row>
    <row r="22" spans="1:10" ht="19.95" hidden="1" customHeight="1" x14ac:dyDescent="0.3">
      <c r="A22" s="61"/>
      <c r="B22" s="61"/>
      <c r="C22" s="64"/>
      <c r="D22" s="64"/>
      <c r="E22" s="63"/>
      <c r="F22" s="61"/>
      <c r="G22" s="61"/>
      <c r="H22" s="62"/>
      <c r="I22" s="6"/>
      <c r="J22" s="62">
        <f t="shared" si="2"/>
        <v>0</v>
      </c>
    </row>
    <row r="23" spans="1:10" ht="19.95" hidden="1" customHeight="1" x14ac:dyDescent="0.3">
      <c r="A23" s="61"/>
      <c r="B23" s="61"/>
      <c r="C23" s="64"/>
      <c r="D23" s="64"/>
      <c r="E23" s="63"/>
      <c r="F23" s="63"/>
      <c r="G23" s="61"/>
      <c r="H23" s="62"/>
      <c r="I23" s="6"/>
      <c r="J23" s="62">
        <f t="shared" si="2"/>
        <v>0</v>
      </c>
    </row>
    <row r="24" spans="1:10" ht="19.95" hidden="1" customHeight="1" x14ac:dyDescent="0.3">
      <c r="A24" s="61"/>
      <c r="B24" s="61"/>
      <c r="C24" s="64"/>
      <c r="D24" s="64"/>
      <c r="E24" s="63"/>
      <c r="F24" s="63"/>
      <c r="G24" s="61"/>
      <c r="H24" s="62"/>
      <c r="I24" s="6"/>
      <c r="J24" s="62">
        <f t="shared" si="2"/>
        <v>0</v>
      </c>
    </row>
    <row r="25" spans="1:10" ht="19.95" hidden="1" customHeight="1" x14ac:dyDescent="0.3">
      <c r="A25" s="61"/>
      <c r="B25" s="61"/>
      <c r="C25" s="64"/>
      <c r="D25" s="64"/>
      <c r="E25" s="63"/>
      <c r="F25" s="63"/>
      <c r="G25" s="61"/>
      <c r="H25" s="62"/>
      <c r="I25" s="6"/>
      <c r="J25" s="62">
        <f t="shared" si="2"/>
        <v>0</v>
      </c>
    </row>
    <row r="26" spans="1:10" ht="19.95" hidden="1" customHeight="1" x14ac:dyDescent="0.3">
      <c r="A26" s="61"/>
      <c r="B26" s="61"/>
      <c r="C26" s="64"/>
      <c r="D26" s="64"/>
      <c r="E26" s="63"/>
      <c r="F26" s="63"/>
      <c r="G26" s="61"/>
      <c r="H26" s="62"/>
      <c r="I26" s="6"/>
      <c r="J26" s="62">
        <f t="shared" si="2"/>
        <v>0</v>
      </c>
    </row>
    <row r="27" spans="1:10" ht="19.95" hidden="1" customHeight="1" x14ac:dyDescent="0.3">
      <c r="A27" s="61"/>
      <c r="B27" s="61"/>
      <c r="C27" s="64"/>
      <c r="D27" s="64"/>
      <c r="E27" s="63"/>
      <c r="F27" s="63"/>
      <c r="G27" s="61"/>
      <c r="H27" s="62"/>
      <c r="I27" s="6"/>
      <c r="J27" s="62">
        <f t="shared" si="2"/>
        <v>0</v>
      </c>
    </row>
    <row r="28" spans="1:10" ht="19.95" customHeight="1" x14ac:dyDescent="0.3">
      <c r="A28" s="61"/>
      <c r="B28" s="61"/>
      <c r="C28" s="64"/>
      <c r="D28" s="64"/>
      <c r="E28" s="63"/>
      <c r="F28" s="63"/>
      <c r="G28" s="61"/>
      <c r="H28" s="62"/>
      <c r="I28" s="19"/>
      <c r="J28" s="62">
        <f t="shared" si="2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L14" sqref="L14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45946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71">
        <v>250077</v>
      </c>
      <c r="B5" s="71">
        <v>430</v>
      </c>
      <c r="C5" s="72">
        <v>0.5</v>
      </c>
      <c r="D5" s="72" t="s">
        <v>12</v>
      </c>
      <c r="E5" s="70" t="s">
        <v>159</v>
      </c>
      <c r="F5" s="71" t="s">
        <v>27</v>
      </c>
      <c r="G5" s="71">
        <v>430</v>
      </c>
      <c r="H5" s="73">
        <v>1400</v>
      </c>
      <c r="I5" s="6">
        <v>1470</v>
      </c>
      <c r="J5" s="62">
        <f t="shared" ref="J5:J16" si="0">H5-I5</f>
        <v>-70</v>
      </c>
    </row>
    <row r="6" spans="1:10" ht="19.95" customHeight="1" x14ac:dyDescent="0.3">
      <c r="A6" s="71">
        <v>250077</v>
      </c>
      <c r="B6" s="71">
        <v>430</v>
      </c>
      <c r="C6" s="72">
        <v>0.5</v>
      </c>
      <c r="D6" s="72" t="s">
        <v>12</v>
      </c>
      <c r="E6" s="70" t="s">
        <v>158</v>
      </c>
      <c r="F6" s="71" t="s">
        <v>27</v>
      </c>
      <c r="G6" s="71">
        <v>430</v>
      </c>
      <c r="H6" s="73">
        <v>1400</v>
      </c>
      <c r="I6" s="6">
        <v>700</v>
      </c>
      <c r="J6" s="62">
        <f t="shared" si="0"/>
        <v>700</v>
      </c>
    </row>
    <row r="7" spans="1:10" ht="19.95" customHeight="1" x14ac:dyDescent="0.3">
      <c r="A7" s="65"/>
      <c r="B7" s="65"/>
      <c r="C7" s="64"/>
      <c r="D7" s="64"/>
      <c r="E7" s="63"/>
      <c r="F7" s="65"/>
      <c r="G7" s="65"/>
      <c r="H7" s="62"/>
      <c r="I7" s="6"/>
      <c r="J7" s="62">
        <f t="shared" si="0"/>
        <v>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75">
        <v>160925</v>
      </c>
      <c r="B9" s="75">
        <v>304</v>
      </c>
      <c r="C9" s="76">
        <v>0.7</v>
      </c>
      <c r="D9" s="76" t="s">
        <v>21</v>
      </c>
      <c r="E9" s="74" t="s">
        <v>160</v>
      </c>
      <c r="F9" s="74" t="s">
        <v>27</v>
      </c>
      <c r="G9" s="75">
        <v>430</v>
      </c>
      <c r="H9" s="77">
        <v>1100</v>
      </c>
      <c r="I9" s="6"/>
      <c r="J9" s="62">
        <f t="shared" si="0"/>
        <v>1100</v>
      </c>
    </row>
    <row r="10" spans="1:10" ht="19.95" customHeight="1" x14ac:dyDescent="0.3">
      <c r="A10" s="79">
        <v>160925</v>
      </c>
      <c r="B10" s="79">
        <v>304</v>
      </c>
      <c r="C10" s="80">
        <v>0.7</v>
      </c>
      <c r="D10" s="80" t="s">
        <v>21</v>
      </c>
      <c r="E10" s="78" t="s">
        <v>161</v>
      </c>
      <c r="F10" s="78" t="s">
        <v>27</v>
      </c>
      <c r="G10" s="79">
        <v>430</v>
      </c>
      <c r="H10" s="81">
        <v>1100</v>
      </c>
      <c r="I10" s="6"/>
      <c r="J10" s="62">
        <f t="shared" si="0"/>
        <v>1100</v>
      </c>
    </row>
    <row r="11" spans="1:10" ht="19.95" customHeight="1" x14ac:dyDescent="0.3">
      <c r="A11" s="71"/>
      <c r="B11" s="71"/>
      <c r="C11" s="72"/>
      <c r="D11" s="72"/>
      <c r="E11" s="70"/>
      <c r="F11" s="71"/>
      <c r="G11" s="71"/>
      <c r="H11" s="73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5000</v>
      </c>
      <c r="I17" s="19">
        <f>SUM(I5:I15)</f>
        <v>2170</v>
      </c>
      <c r="J17" s="62">
        <f>SUM(J5:J16)</f>
        <v>2830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11" sqref="I1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45947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79">
        <v>250077</v>
      </c>
      <c r="B5" s="79">
        <v>430</v>
      </c>
      <c r="C5" s="80">
        <v>0.5</v>
      </c>
      <c r="D5" s="80" t="s">
        <v>12</v>
      </c>
      <c r="E5" s="78" t="s">
        <v>159</v>
      </c>
      <c r="F5" s="79" t="s">
        <v>27</v>
      </c>
      <c r="G5" s="79">
        <v>430</v>
      </c>
      <c r="H5" s="81">
        <v>1400</v>
      </c>
      <c r="I5" s="6">
        <v>1470</v>
      </c>
      <c r="J5" s="62">
        <f t="shared" ref="J5:J16" si="0">H5-I5</f>
        <v>-70</v>
      </c>
    </row>
    <row r="6" spans="1:10" ht="19.95" customHeight="1" x14ac:dyDescent="0.3">
      <c r="A6" s="79">
        <v>250077</v>
      </c>
      <c r="B6" s="79">
        <v>430</v>
      </c>
      <c r="C6" s="80">
        <v>0.5</v>
      </c>
      <c r="D6" s="80" t="s">
        <v>12</v>
      </c>
      <c r="E6" s="78" t="s">
        <v>158</v>
      </c>
      <c r="F6" s="79" t="s">
        <v>27</v>
      </c>
      <c r="G6" s="79">
        <v>430</v>
      </c>
      <c r="H6" s="81">
        <v>1400</v>
      </c>
      <c r="I6" s="6">
        <f>700+750</f>
        <v>1450</v>
      </c>
      <c r="J6" s="62">
        <f t="shared" si="0"/>
        <v>-50</v>
      </c>
    </row>
    <row r="7" spans="1:10" ht="19.95" customHeight="1" x14ac:dyDescent="0.3">
      <c r="A7" s="65"/>
      <c r="B7" s="65"/>
      <c r="C7" s="64"/>
      <c r="D7" s="64"/>
      <c r="E7" s="63"/>
      <c r="F7" s="65"/>
      <c r="G7" s="65"/>
      <c r="H7" s="62"/>
      <c r="I7" s="6"/>
      <c r="J7" s="62">
        <f t="shared" si="0"/>
        <v>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79">
        <v>160925</v>
      </c>
      <c r="B9" s="79">
        <v>304</v>
      </c>
      <c r="C9" s="80">
        <v>0.7</v>
      </c>
      <c r="D9" s="80" t="s">
        <v>21</v>
      </c>
      <c r="E9" s="78" t="s">
        <v>160</v>
      </c>
      <c r="F9" s="79" t="s">
        <v>27</v>
      </c>
      <c r="G9" s="79">
        <v>430</v>
      </c>
      <c r="H9" s="81">
        <v>1100</v>
      </c>
      <c r="I9" s="6">
        <v>1120</v>
      </c>
      <c r="J9" s="62">
        <f t="shared" si="0"/>
        <v>-20</v>
      </c>
    </row>
    <row r="10" spans="1:10" ht="19.95" customHeight="1" x14ac:dyDescent="0.3">
      <c r="A10" s="79">
        <v>160925</v>
      </c>
      <c r="B10" s="79">
        <v>304</v>
      </c>
      <c r="C10" s="80">
        <v>0.7</v>
      </c>
      <c r="D10" s="80" t="s">
        <v>21</v>
      </c>
      <c r="E10" s="78" t="s">
        <v>161</v>
      </c>
      <c r="F10" s="79" t="s">
        <v>27</v>
      </c>
      <c r="G10" s="79">
        <v>430</v>
      </c>
      <c r="H10" s="81">
        <v>1100</v>
      </c>
      <c r="I10" s="6">
        <v>150</v>
      </c>
      <c r="J10" s="62">
        <f t="shared" si="0"/>
        <v>950</v>
      </c>
    </row>
    <row r="11" spans="1:10" ht="19.95" customHeight="1" x14ac:dyDescent="0.3">
      <c r="A11" s="79"/>
      <c r="B11" s="79"/>
      <c r="C11" s="80"/>
      <c r="D11" s="80"/>
      <c r="E11" s="78"/>
      <c r="F11" s="79"/>
      <c r="G11" s="79"/>
      <c r="H11" s="81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5000</v>
      </c>
      <c r="I17" s="19">
        <f>SUM(I5:I15)</f>
        <v>4190</v>
      </c>
      <c r="J17" s="62">
        <f>SUM(J5:J16)</f>
        <v>810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5" sqref="I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45948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79">
        <v>160925</v>
      </c>
      <c r="B5" s="79">
        <v>304</v>
      </c>
      <c r="C5" s="80">
        <v>0.7</v>
      </c>
      <c r="D5" s="80" t="s">
        <v>21</v>
      </c>
      <c r="E5" s="78" t="s">
        <v>161</v>
      </c>
      <c r="F5" s="79" t="s">
        <v>27</v>
      </c>
      <c r="G5" s="79">
        <v>430</v>
      </c>
      <c r="H5" s="81">
        <v>1100</v>
      </c>
      <c r="I5" s="6">
        <f>150+960</f>
        <v>1110</v>
      </c>
      <c r="J5" s="62">
        <f t="shared" ref="J5:J16" si="0">H5-I5</f>
        <v>-10</v>
      </c>
    </row>
    <row r="6" spans="1:10" ht="19.95" customHeight="1" x14ac:dyDescent="0.3">
      <c r="A6" s="79">
        <v>160925</v>
      </c>
      <c r="B6" s="79">
        <v>304</v>
      </c>
      <c r="C6" s="80">
        <v>0.7</v>
      </c>
      <c r="D6" s="80" t="s">
        <v>21</v>
      </c>
      <c r="E6" s="78" t="s">
        <v>162</v>
      </c>
      <c r="F6" s="79" t="s">
        <v>27</v>
      </c>
      <c r="G6" s="79">
        <v>430</v>
      </c>
      <c r="H6" s="81">
        <v>1100</v>
      </c>
      <c r="I6" s="6"/>
      <c r="J6" s="62">
        <f t="shared" si="0"/>
        <v>1100</v>
      </c>
    </row>
    <row r="7" spans="1:10" ht="19.95" customHeight="1" x14ac:dyDescent="0.3">
      <c r="A7" s="79">
        <v>160925</v>
      </c>
      <c r="B7" s="79">
        <v>304</v>
      </c>
      <c r="C7" s="80">
        <v>0.7</v>
      </c>
      <c r="D7" s="80" t="s">
        <v>21</v>
      </c>
      <c r="E7" s="78" t="s">
        <v>163</v>
      </c>
      <c r="F7" s="79" t="s">
        <v>27</v>
      </c>
      <c r="G7" s="79">
        <v>430</v>
      </c>
      <c r="H7" s="81">
        <v>1100</v>
      </c>
      <c r="I7" s="6"/>
      <c r="J7" s="62">
        <f t="shared" si="0"/>
        <v>1100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79">
        <v>180925</v>
      </c>
      <c r="B9" s="79">
        <v>304</v>
      </c>
      <c r="C9" s="80">
        <v>0.7</v>
      </c>
      <c r="D9" s="80" t="s">
        <v>21</v>
      </c>
      <c r="E9" s="78" t="s">
        <v>164</v>
      </c>
      <c r="F9" s="79" t="s">
        <v>27</v>
      </c>
      <c r="G9" s="79">
        <v>430</v>
      </c>
      <c r="H9" s="81">
        <v>2100</v>
      </c>
      <c r="I9" s="6"/>
      <c r="J9" s="62">
        <f t="shared" si="0"/>
        <v>2100</v>
      </c>
    </row>
    <row r="10" spans="1:10" ht="19.95" customHeight="1" x14ac:dyDescent="0.3">
      <c r="A10" s="79">
        <v>180925</v>
      </c>
      <c r="B10" s="79">
        <v>304</v>
      </c>
      <c r="C10" s="80">
        <v>0.7</v>
      </c>
      <c r="D10" s="80" t="s">
        <v>21</v>
      </c>
      <c r="E10" s="78" t="s">
        <v>165</v>
      </c>
      <c r="F10" s="79" t="s">
        <v>27</v>
      </c>
      <c r="G10" s="79">
        <v>430</v>
      </c>
      <c r="H10" s="81">
        <v>2100</v>
      </c>
      <c r="I10" s="6"/>
      <c r="J10" s="62">
        <f t="shared" si="0"/>
        <v>2100</v>
      </c>
    </row>
    <row r="11" spans="1:10" ht="19.95" customHeight="1" x14ac:dyDescent="0.3">
      <c r="A11" s="79"/>
      <c r="B11" s="79"/>
      <c r="C11" s="80"/>
      <c r="D11" s="80"/>
      <c r="E11" s="78"/>
      <c r="F11" s="79"/>
      <c r="G11" s="79"/>
      <c r="H11" s="81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7500</v>
      </c>
      <c r="I17" s="19">
        <f>SUM(I5:I15)</f>
        <v>1110</v>
      </c>
      <c r="J17" s="62">
        <f>SUM(J5:J16)</f>
        <v>6390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10" sqref="I1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45950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79">
        <v>160925</v>
      </c>
      <c r="B5" s="79">
        <v>304</v>
      </c>
      <c r="C5" s="80">
        <v>0.7</v>
      </c>
      <c r="D5" s="80" t="s">
        <v>21</v>
      </c>
      <c r="E5" s="78" t="s">
        <v>162</v>
      </c>
      <c r="F5" s="79" t="s">
        <v>27</v>
      </c>
      <c r="G5" s="79">
        <v>430</v>
      </c>
      <c r="H5" s="81">
        <v>1100</v>
      </c>
      <c r="I5" s="6">
        <f>250+900</f>
        <v>1150</v>
      </c>
      <c r="J5" s="62">
        <f t="shared" ref="J5:J16" si="0">H5-I5</f>
        <v>-50</v>
      </c>
    </row>
    <row r="6" spans="1:10" ht="19.95" customHeight="1" x14ac:dyDescent="0.3">
      <c r="A6" s="79">
        <v>160925</v>
      </c>
      <c r="B6" s="79">
        <v>304</v>
      </c>
      <c r="C6" s="80">
        <v>0.7</v>
      </c>
      <c r="D6" s="80" t="s">
        <v>21</v>
      </c>
      <c r="E6" s="78" t="s">
        <v>163</v>
      </c>
      <c r="F6" s="79" t="s">
        <v>27</v>
      </c>
      <c r="G6" s="79">
        <v>430</v>
      </c>
      <c r="H6" s="81">
        <v>1100</v>
      </c>
      <c r="I6" s="6">
        <v>1130</v>
      </c>
      <c r="J6" s="62">
        <f t="shared" si="0"/>
        <v>-30</v>
      </c>
    </row>
    <row r="7" spans="1:10" ht="19.95" customHeight="1" x14ac:dyDescent="0.3">
      <c r="A7" s="79"/>
      <c r="B7" s="79"/>
      <c r="C7" s="80"/>
      <c r="D7" s="80"/>
      <c r="E7" s="78"/>
      <c r="F7" s="79"/>
      <c r="G7" s="79"/>
      <c r="H7" s="81"/>
      <c r="I7" s="6"/>
      <c r="J7" s="62">
        <f t="shared" si="0"/>
        <v>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79">
        <v>180925</v>
      </c>
      <c r="B9" s="79">
        <v>304</v>
      </c>
      <c r="C9" s="80">
        <v>0.7</v>
      </c>
      <c r="D9" s="80" t="s">
        <v>21</v>
      </c>
      <c r="E9" s="78" t="s">
        <v>166</v>
      </c>
      <c r="F9" s="79" t="s">
        <v>27</v>
      </c>
      <c r="G9" s="79">
        <v>430</v>
      </c>
      <c r="H9" s="81">
        <v>2100</v>
      </c>
      <c r="I9" s="6">
        <v>800</v>
      </c>
      <c r="J9" s="62">
        <f t="shared" si="0"/>
        <v>1300</v>
      </c>
    </row>
    <row r="10" spans="1:10" ht="19.95" customHeight="1" x14ac:dyDescent="0.3">
      <c r="A10" s="79">
        <v>180925</v>
      </c>
      <c r="B10" s="79">
        <v>304</v>
      </c>
      <c r="C10" s="80">
        <v>0.7</v>
      </c>
      <c r="D10" s="80" t="s">
        <v>21</v>
      </c>
      <c r="E10" s="78" t="s">
        <v>165</v>
      </c>
      <c r="F10" s="79" t="s">
        <v>27</v>
      </c>
      <c r="G10" s="79">
        <v>430</v>
      </c>
      <c r="H10" s="81">
        <v>2100</v>
      </c>
      <c r="I10" s="6"/>
      <c r="J10" s="62">
        <f t="shared" si="0"/>
        <v>2100</v>
      </c>
    </row>
    <row r="11" spans="1:10" ht="19.95" customHeight="1" x14ac:dyDescent="0.3">
      <c r="A11" s="79"/>
      <c r="B11" s="79"/>
      <c r="C11" s="80"/>
      <c r="D11" s="80"/>
      <c r="E11" s="78"/>
      <c r="F11" s="79"/>
      <c r="G11" s="79"/>
      <c r="H11" s="81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6400</v>
      </c>
      <c r="I17" s="19">
        <f>SUM(I5:I15)</f>
        <v>3080</v>
      </c>
      <c r="J17" s="62">
        <f>SUM(J5:J16)</f>
        <v>3320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I7" sqref="I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45951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79">
        <v>180925</v>
      </c>
      <c r="B5" s="79">
        <v>304</v>
      </c>
      <c r="C5" s="80">
        <v>0.7</v>
      </c>
      <c r="D5" s="80" t="s">
        <v>21</v>
      </c>
      <c r="E5" s="78" t="s">
        <v>167</v>
      </c>
      <c r="F5" s="79" t="s">
        <v>27</v>
      </c>
      <c r="G5" s="79">
        <v>430</v>
      </c>
      <c r="H5" s="81">
        <v>2100</v>
      </c>
      <c r="I5" s="6">
        <f>800+1400</f>
        <v>2200</v>
      </c>
      <c r="J5" s="62">
        <f t="shared" ref="J5:J16" si="0">H5-I5</f>
        <v>-100</v>
      </c>
    </row>
    <row r="6" spans="1:10" ht="19.95" customHeight="1" x14ac:dyDescent="0.3">
      <c r="A6" s="79">
        <v>180925</v>
      </c>
      <c r="B6" s="79">
        <v>304</v>
      </c>
      <c r="C6" s="80">
        <v>0.7</v>
      </c>
      <c r="D6" s="80" t="s">
        <v>21</v>
      </c>
      <c r="E6" s="78" t="s">
        <v>170</v>
      </c>
      <c r="F6" s="79" t="s">
        <v>27</v>
      </c>
      <c r="G6" s="79">
        <v>430</v>
      </c>
      <c r="H6" s="81">
        <v>2100</v>
      </c>
      <c r="I6" s="6">
        <v>1000</v>
      </c>
      <c r="J6" s="62">
        <f t="shared" si="0"/>
        <v>1100</v>
      </c>
    </row>
    <row r="7" spans="1:10" ht="19.95" customHeight="1" x14ac:dyDescent="0.3">
      <c r="A7" s="79"/>
      <c r="B7" s="79"/>
      <c r="C7" s="80"/>
      <c r="D7" s="80"/>
      <c r="E7" s="78"/>
      <c r="F7" s="79"/>
      <c r="G7" s="79"/>
      <c r="H7" s="81"/>
      <c r="I7" s="6"/>
      <c r="J7" s="62">
        <f t="shared" si="0"/>
        <v>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83">
        <v>180925</v>
      </c>
      <c r="B9" s="83">
        <v>304</v>
      </c>
      <c r="C9" s="84">
        <v>0.7</v>
      </c>
      <c r="D9" s="84" t="s">
        <v>21</v>
      </c>
      <c r="E9" s="82" t="s">
        <v>168</v>
      </c>
      <c r="F9" s="83" t="s">
        <v>27</v>
      </c>
      <c r="G9" s="83">
        <v>430</v>
      </c>
      <c r="H9" s="85">
        <v>2100</v>
      </c>
      <c r="I9" s="6"/>
      <c r="J9" s="62">
        <f t="shared" si="0"/>
        <v>2100</v>
      </c>
    </row>
    <row r="10" spans="1:10" ht="19.95" customHeight="1" x14ac:dyDescent="0.3">
      <c r="A10" s="87">
        <v>180925</v>
      </c>
      <c r="B10" s="87">
        <v>304</v>
      </c>
      <c r="C10" s="88">
        <v>0.7</v>
      </c>
      <c r="D10" s="88" t="s">
        <v>21</v>
      </c>
      <c r="E10" s="86" t="s">
        <v>169</v>
      </c>
      <c r="F10" s="87" t="s">
        <v>27</v>
      </c>
      <c r="G10" s="87">
        <v>430</v>
      </c>
      <c r="H10" s="89">
        <v>2100</v>
      </c>
      <c r="I10" s="6"/>
      <c r="J10" s="62">
        <f t="shared" si="0"/>
        <v>2100</v>
      </c>
    </row>
    <row r="11" spans="1:10" ht="19.95" customHeight="1" x14ac:dyDescent="0.3">
      <c r="A11" s="79"/>
      <c r="B11" s="79"/>
      <c r="C11" s="80"/>
      <c r="D11" s="80"/>
      <c r="E11" s="78"/>
      <c r="F11" s="79"/>
      <c r="G11" s="79"/>
      <c r="H11" s="81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8400</v>
      </c>
      <c r="I17" s="19">
        <f>SUM(I5:I15)</f>
        <v>3200</v>
      </c>
      <c r="J17" s="62">
        <f>SUM(J5:J16)</f>
        <v>5200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zoomScale="70" zoomScaleNormal="70" workbookViewId="0">
      <selection activeCell="A5" sqref="A5:I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45952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87">
        <v>180925</v>
      </c>
      <c r="B5" s="87">
        <v>304</v>
      </c>
      <c r="C5" s="88">
        <v>0.7</v>
      </c>
      <c r="D5" s="88" t="s">
        <v>21</v>
      </c>
      <c r="E5" s="86" t="s">
        <v>170</v>
      </c>
      <c r="F5" s="87" t="s">
        <v>27</v>
      </c>
      <c r="G5" s="87">
        <v>430</v>
      </c>
      <c r="H5" s="89">
        <v>2100</v>
      </c>
      <c r="I5" s="6">
        <f>1000+1150</f>
        <v>2150</v>
      </c>
      <c r="J5" s="62">
        <f t="shared" ref="J5:J16" si="0">H5-I5</f>
        <v>-50</v>
      </c>
    </row>
    <row r="6" spans="1:10" ht="19.95" customHeight="1" x14ac:dyDescent="0.3">
      <c r="A6" s="87"/>
      <c r="B6" s="87"/>
      <c r="C6" s="88"/>
      <c r="D6" s="88"/>
      <c r="E6" s="86"/>
      <c r="F6" s="87"/>
      <c r="G6" s="87"/>
      <c r="H6" s="89"/>
      <c r="I6" s="6"/>
      <c r="J6" s="62">
        <f t="shared" si="0"/>
        <v>0</v>
      </c>
    </row>
    <row r="7" spans="1:10" ht="19.95" customHeight="1" x14ac:dyDescent="0.3">
      <c r="A7" s="87"/>
      <c r="B7" s="87"/>
      <c r="C7" s="88"/>
      <c r="D7" s="88"/>
      <c r="E7" s="86"/>
      <c r="F7" s="87"/>
      <c r="G7" s="87"/>
      <c r="H7" s="89"/>
      <c r="I7" s="6"/>
      <c r="J7" s="62">
        <f t="shared" si="0"/>
        <v>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87">
        <v>180925</v>
      </c>
      <c r="B9" s="87">
        <v>304</v>
      </c>
      <c r="C9" s="88">
        <v>0.7</v>
      </c>
      <c r="D9" s="88" t="s">
        <v>21</v>
      </c>
      <c r="E9" s="86" t="s">
        <v>168</v>
      </c>
      <c r="F9" s="87" t="s">
        <v>27</v>
      </c>
      <c r="G9" s="87">
        <v>430</v>
      </c>
      <c r="H9" s="89">
        <v>2100</v>
      </c>
      <c r="I9" s="6">
        <v>1400</v>
      </c>
      <c r="J9" s="62">
        <f t="shared" si="0"/>
        <v>700</v>
      </c>
    </row>
    <row r="10" spans="1:10" ht="19.95" customHeight="1" x14ac:dyDescent="0.3">
      <c r="A10" s="87">
        <v>180925</v>
      </c>
      <c r="B10" s="87">
        <v>304</v>
      </c>
      <c r="C10" s="88">
        <v>0.7</v>
      </c>
      <c r="D10" s="88" t="s">
        <v>21</v>
      </c>
      <c r="E10" s="86" t="s">
        <v>169</v>
      </c>
      <c r="F10" s="87" t="s">
        <v>27</v>
      </c>
      <c r="G10" s="87">
        <v>430</v>
      </c>
      <c r="H10" s="89">
        <v>2100</v>
      </c>
      <c r="I10" s="6"/>
      <c r="J10" s="62">
        <f t="shared" si="0"/>
        <v>2100</v>
      </c>
    </row>
    <row r="11" spans="1:10" ht="19.95" customHeight="1" x14ac:dyDescent="0.3">
      <c r="A11" s="87"/>
      <c r="B11" s="87"/>
      <c r="C11" s="88"/>
      <c r="D11" s="88"/>
      <c r="E11" s="86"/>
      <c r="F11" s="87"/>
      <c r="G11" s="87"/>
      <c r="H11" s="89"/>
      <c r="I11" s="6"/>
      <c r="J11" s="62">
        <f t="shared" si="0"/>
        <v>0</v>
      </c>
    </row>
    <row r="12" spans="1:10" ht="19.95" customHeight="1" x14ac:dyDescent="0.3">
      <c r="A12" s="65"/>
      <c r="B12" s="65"/>
      <c r="C12" s="64"/>
      <c r="D12" s="64"/>
      <c r="E12" s="63"/>
      <c r="F12" s="63"/>
      <c r="G12" s="65"/>
      <c r="H12" s="62"/>
      <c r="I12" s="6"/>
      <c r="J12" s="62">
        <f t="shared" si="0"/>
        <v>0</v>
      </c>
    </row>
    <row r="13" spans="1:10" ht="19.95" customHeight="1" x14ac:dyDescent="0.3">
      <c r="A13" s="65"/>
      <c r="B13" s="65"/>
      <c r="C13" s="64"/>
      <c r="D13" s="64"/>
      <c r="E13" s="63"/>
      <c r="F13" s="63"/>
      <c r="G13" s="65"/>
      <c r="H13" s="62"/>
      <c r="I13" s="6"/>
      <c r="J13" s="62">
        <f t="shared" si="0"/>
        <v>0</v>
      </c>
    </row>
    <row r="14" spans="1:10" ht="19.95" customHeight="1" x14ac:dyDescent="0.3">
      <c r="A14" s="65"/>
      <c r="B14" s="65"/>
      <c r="C14" s="64"/>
      <c r="D14" s="64"/>
      <c r="E14" s="63"/>
      <c r="F14" s="65"/>
      <c r="G14" s="65"/>
      <c r="H14" s="62"/>
      <c r="I14" s="6"/>
      <c r="J14" s="62">
        <f t="shared" si="0"/>
        <v>0</v>
      </c>
    </row>
    <row r="15" spans="1:10" ht="19.95" customHeight="1" x14ac:dyDescent="0.3">
      <c r="A15" s="65"/>
      <c r="B15" s="65"/>
      <c r="C15" s="64"/>
      <c r="D15" s="64"/>
      <c r="E15" s="63"/>
      <c r="F15" s="65"/>
      <c r="G15" s="65"/>
      <c r="H15" s="62"/>
      <c r="I15" s="19"/>
      <c r="J15" s="62">
        <f t="shared" si="0"/>
        <v>0</v>
      </c>
    </row>
    <row r="16" spans="1:10" ht="19.95" customHeight="1" x14ac:dyDescent="0.3">
      <c r="A16" s="65"/>
      <c r="B16" s="65"/>
      <c r="C16" s="64"/>
      <c r="D16" s="64"/>
      <c r="E16" s="63"/>
      <c r="F16" s="63"/>
      <c r="G16" s="65"/>
      <c r="H16" s="62"/>
      <c r="I16" s="19"/>
      <c r="J16" s="62">
        <f t="shared" si="0"/>
        <v>0</v>
      </c>
    </row>
    <row r="17" spans="1:10" ht="19.95" customHeight="1" x14ac:dyDescent="0.3">
      <c r="A17" s="14"/>
      <c r="B17" s="14"/>
      <c r="C17" s="14"/>
      <c r="D17" s="14"/>
      <c r="E17" s="15"/>
      <c r="F17" s="14"/>
      <c r="G17" s="16"/>
      <c r="H17" s="17">
        <f>SUM(H5:H16)</f>
        <v>6300</v>
      </c>
      <c r="I17" s="19">
        <f>SUM(I5:I15)</f>
        <v>3550</v>
      </c>
      <c r="J17" s="62">
        <f>SUM(J5:J16)</f>
        <v>2750</v>
      </c>
    </row>
    <row r="19" spans="1:10" ht="30" customHeight="1" x14ac:dyDescent="0.3">
      <c r="A19" s="172" t="s">
        <v>24</v>
      </c>
      <c r="B19" s="172"/>
      <c r="C19" s="172"/>
      <c r="D19" s="172"/>
      <c r="E19" s="172"/>
      <c r="F19" s="172"/>
      <c r="G19" s="172"/>
      <c r="H19" s="172"/>
      <c r="I19" s="172"/>
      <c r="J19" s="172"/>
    </row>
    <row r="20" spans="1:10" ht="30" customHeight="1" x14ac:dyDescent="0.3">
      <c r="A20" s="65" t="s">
        <v>65</v>
      </c>
      <c r="B20" s="65" t="s">
        <v>66</v>
      </c>
      <c r="C20" s="18" t="s">
        <v>67</v>
      </c>
      <c r="D20" s="18" t="s">
        <v>68</v>
      </c>
      <c r="E20" s="65" t="s">
        <v>69</v>
      </c>
      <c r="F20" s="18" t="s">
        <v>70</v>
      </c>
      <c r="G20" s="18" t="s">
        <v>71</v>
      </c>
      <c r="H20" s="65" t="s">
        <v>72</v>
      </c>
      <c r="I20" s="65" t="s">
        <v>73</v>
      </c>
      <c r="J20" s="65" t="s">
        <v>74</v>
      </c>
    </row>
    <row r="21" spans="1:10" ht="19.95" customHeight="1" x14ac:dyDescent="0.3">
      <c r="A21" s="65"/>
      <c r="B21" s="65"/>
      <c r="C21" s="64"/>
      <c r="D21" s="64"/>
      <c r="E21" s="63"/>
      <c r="F21" s="65"/>
      <c r="G21" s="65"/>
      <c r="H21" s="62"/>
      <c r="I21" s="6"/>
      <c r="J21" s="62">
        <f t="shared" ref="J21:J28" si="1">H21-I21</f>
        <v>0</v>
      </c>
    </row>
    <row r="22" spans="1:10" ht="19.95" hidden="1" customHeight="1" x14ac:dyDescent="0.3">
      <c r="A22" s="65"/>
      <c r="B22" s="65"/>
      <c r="C22" s="64"/>
      <c r="D22" s="64"/>
      <c r="E22" s="63"/>
      <c r="F22" s="65"/>
      <c r="G22" s="65"/>
      <c r="H22" s="62"/>
      <c r="I22" s="6"/>
      <c r="J22" s="62">
        <f t="shared" si="1"/>
        <v>0</v>
      </c>
    </row>
    <row r="23" spans="1:10" ht="19.95" hidden="1" customHeight="1" x14ac:dyDescent="0.3">
      <c r="A23" s="65"/>
      <c r="B23" s="65"/>
      <c r="C23" s="64"/>
      <c r="D23" s="64"/>
      <c r="E23" s="63"/>
      <c r="F23" s="63"/>
      <c r="G23" s="65"/>
      <c r="H23" s="62"/>
      <c r="I23" s="6"/>
      <c r="J23" s="62">
        <f t="shared" si="1"/>
        <v>0</v>
      </c>
    </row>
    <row r="24" spans="1:10" ht="19.95" hidden="1" customHeight="1" x14ac:dyDescent="0.3">
      <c r="A24" s="65"/>
      <c r="B24" s="65"/>
      <c r="C24" s="64"/>
      <c r="D24" s="64"/>
      <c r="E24" s="63"/>
      <c r="F24" s="63"/>
      <c r="G24" s="65"/>
      <c r="H24" s="62"/>
      <c r="I24" s="6"/>
      <c r="J24" s="62">
        <f t="shared" si="1"/>
        <v>0</v>
      </c>
    </row>
    <row r="25" spans="1:10" ht="19.95" hidden="1" customHeight="1" x14ac:dyDescent="0.3">
      <c r="A25" s="65"/>
      <c r="B25" s="65"/>
      <c r="C25" s="64"/>
      <c r="D25" s="64"/>
      <c r="E25" s="63"/>
      <c r="F25" s="63"/>
      <c r="G25" s="65"/>
      <c r="H25" s="62"/>
      <c r="I25" s="6"/>
      <c r="J25" s="62">
        <f t="shared" si="1"/>
        <v>0</v>
      </c>
    </row>
    <row r="26" spans="1:10" ht="19.95" hidden="1" customHeight="1" x14ac:dyDescent="0.3">
      <c r="A26" s="65"/>
      <c r="B26" s="65"/>
      <c r="C26" s="64"/>
      <c r="D26" s="64"/>
      <c r="E26" s="63"/>
      <c r="F26" s="63"/>
      <c r="G26" s="65"/>
      <c r="H26" s="62"/>
      <c r="I26" s="6"/>
      <c r="J26" s="62">
        <f t="shared" si="1"/>
        <v>0</v>
      </c>
    </row>
    <row r="27" spans="1:10" ht="19.95" hidden="1" customHeight="1" x14ac:dyDescent="0.3">
      <c r="A27" s="65"/>
      <c r="B27" s="65"/>
      <c r="C27" s="64"/>
      <c r="D27" s="64"/>
      <c r="E27" s="63"/>
      <c r="F27" s="63"/>
      <c r="G27" s="65"/>
      <c r="H27" s="62"/>
      <c r="I27" s="6"/>
      <c r="J27" s="62">
        <f t="shared" si="1"/>
        <v>0</v>
      </c>
    </row>
    <row r="28" spans="1:10" ht="19.95" customHeight="1" x14ac:dyDescent="0.3">
      <c r="A28" s="65"/>
      <c r="B28" s="65"/>
      <c r="C28" s="64"/>
      <c r="D28" s="64"/>
      <c r="E28" s="63"/>
      <c r="F28" s="63"/>
      <c r="G28" s="65"/>
      <c r="H28" s="62"/>
      <c r="I28" s="19"/>
      <c r="J28" s="62">
        <f t="shared" si="1"/>
        <v>0</v>
      </c>
    </row>
    <row r="29" spans="1:10" ht="19.95" customHeight="1" x14ac:dyDescent="0.3">
      <c r="A29" s="14"/>
      <c r="B29" s="14"/>
      <c r="C29" s="14"/>
      <c r="D29" s="14"/>
      <c r="E29" s="15"/>
      <c r="F29" s="14"/>
      <c r="G29" s="16"/>
      <c r="H29" s="62">
        <f>SUM(H21:H28)</f>
        <v>0</v>
      </c>
      <c r="I29" s="6">
        <f>SUM(I21:I28)</f>
        <v>0</v>
      </c>
      <c r="J29" s="62">
        <f>SUM(J21:J28)</f>
        <v>0</v>
      </c>
    </row>
    <row r="31" spans="1:10" ht="23.4" x14ac:dyDescent="0.3">
      <c r="A31" s="180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</row>
  </sheetData>
  <mergeCells count="5">
    <mergeCell ref="I1:J1"/>
    <mergeCell ref="A2:J2"/>
    <mergeCell ref="A3:J3"/>
    <mergeCell ref="A19:J19"/>
    <mergeCell ref="A31:J3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71" orientation="landscape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zoomScale="70" zoomScaleNormal="70" workbookViewId="0">
      <selection activeCell="I8" sqref="I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80.109375" bestFit="1" customWidth="1"/>
    <col min="6" max="6" width="15.6640625" style="13" bestFit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0" customFormat="1" ht="30" customHeight="1" x14ac:dyDescent="0.3">
      <c r="F1" s="21"/>
      <c r="G1" s="21"/>
      <c r="H1" s="22" t="s">
        <v>64</v>
      </c>
      <c r="I1" s="168">
        <v>45953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65" t="s">
        <v>65</v>
      </c>
      <c r="B4" s="65" t="s">
        <v>66</v>
      </c>
      <c r="C4" s="18" t="s">
        <v>67</v>
      </c>
      <c r="D4" s="18" t="s">
        <v>68</v>
      </c>
      <c r="E4" s="65" t="s">
        <v>69</v>
      </c>
      <c r="F4" s="18" t="s">
        <v>70</v>
      </c>
      <c r="G4" s="18" t="s">
        <v>71</v>
      </c>
      <c r="H4" s="65" t="s">
        <v>72</v>
      </c>
      <c r="I4" s="65" t="s">
        <v>73</v>
      </c>
      <c r="J4" s="65" t="s">
        <v>74</v>
      </c>
    </row>
    <row r="5" spans="1:10" ht="19.95" customHeight="1" x14ac:dyDescent="0.3">
      <c r="A5" s="87">
        <v>180925</v>
      </c>
      <c r="B5" s="87">
        <v>304</v>
      </c>
      <c r="C5" s="88">
        <v>0.7</v>
      </c>
      <c r="D5" s="88" t="s">
        <v>21</v>
      </c>
      <c r="E5" s="86" t="s">
        <v>168</v>
      </c>
      <c r="F5" s="87" t="s">
        <v>27</v>
      </c>
      <c r="G5" s="87">
        <v>430</v>
      </c>
      <c r="H5" s="89">
        <v>2100</v>
      </c>
      <c r="I5" s="6">
        <f>1400+750</f>
        <v>2150</v>
      </c>
      <c r="J5" s="62">
        <f t="shared" ref="J5:J17" si="0">H5-I5</f>
        <v>-50</v>
      </c>
    </row>
    <row r="6" spans="1:10" ht="19.95" customHeight="1" x14ac:dyDescent="0.3">
      <c r="A6" s="87"/>
      <c r="B6" s="87"/>
      <c r="C6" s="88"/>
      <c r="D6" s="88"/>
      <c r="E6" s="86"/>
      <c r="F6" s="87"/>
      <c r="G6" s="87"/>
      <c r="H6" s="89"/>
      <c r="I6" s="6"/>
      <c r="J6" s="62">
        <f t="shared" si="0"/>
        <v>0</v>
      </c>
    </row>
    <row r="7" spans="1:10" ht="19.95" customHeight="1" x14ac:dyDescent="0.3">
      <c r="A7" s="87">
        <v>180925</v>
      </c>
      <c r="B7" s="87">
        <v>304</v>
      </c>
      <c r="C7" s="88">
        <v>0.7</v>
      </c>
      <c r="D7" s="88" t="s">
        <v>21</v>
      </c>
      <c r="E7" s="86" t="s">
        <v>169</v>
      </c>
      <c r="F7" s="87" t="s">
        <v>27</v>
      </c>
      <c r="G7" s="87">
        <v>430</v>
      </c>
      <c r="H7" s="89">
        <v>2100</v>
      </c>
      <c r="I7" s="6">
        <v>1800</v>
      </c>
      <c r="J7" s="62">
        <f t="shared" si="0"/>
        <v>300</v>
      </c>
    </row>
    <row r="8" spans="1:10" ht="19.95" customHeight="1" x14ac:dyDescent="0.3">
      <c r="A8" s="65"/>
      <c r="B8" s="65"/>
      <c r="C8" s="64"/>
      <c r="D8" s="64"/>
      <c r="E8" s="63"/>
      <c r="F8" s="65"/>
      <c r="G8" s="65"/>
      <c r="H8" s="62"/>
      <c r="I8" s="6"/>
      <c r="J8" s="62">
        <f t="shared" si="0"/>
        <v>0</v>
      </c>
    </row>
    <row r="9" spans="1:10" ht="19.95" customHeight="1" x14ac:dyDescent="0.3">
      <c r="A9" s="111">
        <v>250048</v>
      </c>
      <c r="B9" s="111">
        <v>304</v>
      </c>
      <c r="C9" s="112">
        <v>0.7</v>
      </c>
      <c r="D9" s="112" t="s">
        <v>9</v>
      </c>
      <c r="E9" s="110" t="s">
        <v>172</v>
      </c>
      <c r="F9" s="111" t="s">
        <v>27</v>
      </c>
      <c r="G9" s="111">
        <v>304</v>
      </c>
      <c r="H9" s="113">
        <v>570</v>
      </c>
      <c r="I9" s="6"/>
      <c r="J9" s="62">
        <f t="shared" si="0"/>
        <v>570</v>
      </c>
    </row>
    <row r="10" spans="1:10" ht="19.95" customHeight="1" x14ac:dyDescent="0.3">
      <c r="A10" s="111">
        <v>250046</v>
      </c>
      <c r="B10" s="111">
        <v>304</v>
      </c>
      <c r="C10" s="112">
        <v>0.7</v>
      </c>
      <c r="D10" s="112" t="s">
        <v>9</v>
      </c>
      <c r="E10" s="110" t="s">
        <v>176</v>
      </c>
      <c r="F10" s="111" t="s">
        <v>27</v>
      </c>
      <c r="G10" s="111">
        <v>304</v>
      </c>
      <c r="H10" s="113">
        <v>950</v>
      </c>
      <c r="I10" s="6"/>
      <c r="J10" s="62">
        <f t="shared" si="0"/>
        <v>950</v>
      </c>
    </row>
    <row r="11" spans="1:10" s="105" customFormat="1" ht="19.95" customHeight="1" x14ac:dyDescent="0.3">
      <c r="A11" s="111"/>
      <c r="B11" s="111"/>
      <c r="C11" s="112"/>
      <c r="D11" s="112"/>
      <c r="E11" s="110"/>
      <c r="F11" s="111"/>
      <c r="G11" s="111"/>
      <c r="H11" s="113"/>
      <c r="I11" s="108"/>
      <c r="J11" s="107"/>
    </row>
    <row r="12" spans="1:10" ht="19.95" customHeight="1" x14ac:dyDescent="0.3">
      <c r="A12" s="90"/>
      <c r="B12" s="90"/>
      <c r="C12" s="93"/>
      <c r="D12" s="104" t="s">
        <v>180</v>
      </c>
      <c r="E12" s="92" t="s">
        <v>178</v>
      </c>
      <c r="F12" s="92"/>
      <c r="G12" s="90"/>
      <c r="H12" s="91"/>
      <c r="I12" s="6"/>
      <c r="J12" s="62">
        <f t="shared" si="0"/>
        <v>0</v>
      </c>
    </row>
    <row r="13" spans="1:10" ht="19.95" customHeight="1" x14ac:dyDescent="0.3">
      <c r="A13" s="95"/>
      <c r="B13" s="95"/>
      <c r="C13" s="99"/>
      <c r="D13" s="99"/>
      <c r="E13" s="98"/>
      <c r="F13" s="98"/>
      <c r="G13" s="95"/>
      <c r="H13" s="97"/>
      <c r="I13" s="6"/>
      <c r="J13" s="62">
        <f t="shared" si="0"/>
        <v>0</v>
      </c>
    </row>
    <row r="14" spans="1:10" ht="19.95" customHeight="1" x14ac:dyDescent="0.3">
      <c r="A14" s="111">
        <v>250046</v>
      </c>
      <c r="B14" s="111">
        <v>304</v>
      </c>
      <c r="C14" s="112" t="s">
        <v>174</v>
      </c>
      <c r="D14" s="112" t="s">
        <v>9</v>
      </c>
      <c r="E14" s="110" t="s">
        <v>175</v>
      </c>
      <c r="F14" s="106" t="s">
        <v>27</v>
      </c>
      <c r="G14" s="95">
        <v>304</v>
      </c>
      <c r="H14" s="97">
        <v>20</v>
      </c>
      <c r="I14" s="6"/>
      <c r="J14" s="62">
        <f t="shared" si="0"/>
        <v>20</v>
      </c>
    </row>
    <row r="15" spans="1:10" ht="19.95" customHeight="1" x14ac:dyDescent="0.3">
      <c r="A15" s="111">
        <v>250048</v>
      </c>
      <c r="B15" s="111">
        <v>304</v>
      </c>
      <c r="C15" s="112" t="s">
        <v>174</v>
      </c>
      <c r="D15" s="112" t="s">
        <v>9</v>
      </c>
      <c r="E15" s="110" t="s">
        <v>173</v>
      </c>
      <c r="F15" s="111" t="s">
        <v>27</v>
      </c>
      <c r="G15" s="111">
        <v>304</v>
      </c>
      <c r="H15" s="113">
        <v>15</v>
      </c>
      <c r="I15" s="6"/>
      <c r="J15" s="62">
        <f t="shared" si="0"/>
        <v>15</v>
      </c>
    </row>
    <row r="16" spans="1:10" ht="19.95" customHeight="1" x14ac:dyDescent="0.3">
      <c r="A16" s="65"/>
      <c r="B16" s="65"/>
      <c r="C16" s="64"/>
      <c r="D16" s="64"/>
      <c r="E16" s="98"/>
      <c r="F16" s="65"/>
      <c r="G16" s="65"/>
      <c r="H16" s="62"/>
      <c r="I16" s="19"/>
      <c r="J16" s="62">
        <f t="shared" si="0"/>
        <v>0</v>
      </c>
    </row>
    <row r="17" spans="1:10" ht="19.95" customHeight="1" x14ac:dyDescent="0.3">
      <c r="A17" s="65"/>
      <c r="B17" s="65"/>
      <c r="C17" s="64"/>
      <c r="D17" s="64"/>
      <c r="E17" s="63"/>
      <c r="F17" s="63"/>
      <c r="G17" s="65"/>
      <c r="H17" s="62"/>
      <c r="I17" s="19"/>
      <c r="J17" s="62">
        <f t="shared" si="0"/>
        <v>0</v>
      </c>
    </row>
    <row r="18" spans="1:10" ht="19.95" customHeight="1" x14ac:dyDescent="0.3">
      <c r="A18" s="14"/>
      <c r="B18" s="14"/>
      <c r="C18" s="14"/>
      <c r="D18" s="14"/>
      <c r="E18" s="15"/>
      <c r="F18" s="14"/>
      <c r="G18" s="16"/>
      <c r="H18" s="17">
        <f>SUM(H5:H17)</f>
        <v>5755</v>
      </c>
      <c r="I18" s="19">
        <f>SUM(I5:I16)</f>
        <v>3950</v>
      </c>
      <c r="J18" s="62">
        <f>SUM(J5:J17)</f>
        <v>1805</v>
      </c>
    </row>
    <row r="20" spans="1:10" ht="30" customHeight="1" x14ac:dyDescent="0.3">
      <c r="A20" s="172" t="s">
        <v>24</v>
      </c>
      <c r="B20" s="172"/>
      <c r="C20" s="172"/>
      <c r="D20" s="172"/>
      <c r="E20" s="172"/>
      <c r="F20" s="172"/>
      <c r="G20" s="172"/>
      <c r="H20" s="172"/>
      <c r="I20" s="172"/>
      <c r="J20" s="172"/>
    </row>
    <row r="21" spans="1:10" ht="30" customHeight="1" x14ac:dyDescent="0.3">
      <c r="A21" s="65" t="s">
        <v>65</v>
      </c>
      <c r="B21" s="65" t="s">
        <v>66</v>
      </c>
      <c r="C21" s="18" t="s">
        <v>67</v>
      </c>
      <c r="D21" s="18" t="s">
        <v>68</v>
      </c>
      <c r="E21" s="65" t="s">
        <v>69</v>
      </c>
      <c r="F21" s="18" t="s">
        <v>70</v>
      </c>
      <c r="G21" s="18" t="s">
        <v>71</v>
      </c>
      <c r="H21" s="65" t="s">
        <v>72</v>
      </c>
      <c r="I21" s="65" t="s">
        <v>73</v>
      </c>
      <c r="J21" s="65" t="s">
        <v>74</v>
      </c>
    </row>
    <row r="22" spans="1:10" s="94" customFormat="1" ht="30" customHeight="1" x14ac:dyDescent="0.3">
      <c r="A22" s="95">
        <v>250042</v>
      </c>
      <c r="B22" s="95">
        <v>304</v>
      </c>
      <c r="C22" s="99">
        <v>0.9</v>
      </c>
      <c r="D22" s="99" t="s">
        <v>21</v>
      </c>
      <c r="E22" s="98" t="s">
        <v>181</v>
      </c>
      <c r="F22" s="106" t="s">
        <v>185</v>
      </c>
      <c r="G22" s="95">
        <v>304</v>
      </c>
      <c r="H22" s="97">
        <v>750</v>
      </c>
      <c r="I22" s="95"/>
      <c r="J22" s="107">
        <f>H22-I22</f>
        <v>750</v>
      </c>
    </row>
    <row r="23" spans="1:10" s="94" customFormat="1" ht="30" customHeight="1" x14ac:dyDescent="0.3">
      <c r="A23" s="101">
        <v>160925</v>
      </c>
      <c r="B23" s="101">
        <v>304</v>
      </c>
      <c r="C23" s="102">
        <v>0.9</v>
      </c>
      <c r="D23" s="102" t="s">
        <v>21</v>
      </c>
      <c r="E23" s="100" t="s">
        <v>182</v>
      </c>
      <c r="F23" s="106" t="s">
        <v>185</v>
      </c>
      <c r="G23" s="101">
        <v>430</v>
      </c>
      <c r="H23" s="103">
        <v>1100</v>
      </c>
      <c r="I23" s="95"/>
      <c r="J23" s="107">
        <f t="shared" ref="J23:J37" si="1">H23-I23</f>
        <v>1100</v>
      </c>
    </row>
    <row r="24" spans="1:10" s="94" customFormat="1" ht="30" customHeight="1" x14ac:dyDescent="0.3">
      <c r="A24" s="95">
        <v>250042</v>
      </c>
      <c r="B24" s="95">
        <v>304</v>
      </c>
      <c r="C24" s="99">
        <v>0.9</v>
      </c>
      <c r="D24" s="99" t="s">
        <v>21</v>
      </c>
      <c r="E24" s="98" t="s">
        <v>183</v>
      </c>
      <c r="F24" s="106" t="s">
        <v>185</v>
      </c>
      <c r="G24" s="95">
        <v>304</v>
      </c>
      <c r="H24" s="97">
        <v>750</v>
      </c>
      <c r="I24" s="95"/>
      <c r="J24" s="107">
        <f t="shared" si="1"/>
        <v>750</v>
      </c>
    </row>
    <row r="25" spans="1:10" s="94" customFormat="1" ht="30" customHeight="1" x14ac:dyDescent="0.3">
      <c r="A25" s="95">
        <v>250049</v>
      </c>
      <c r="B25" s="95">
        <v>304</v>
      </c>
      <c r="C25" s="99">
        <v>0.9</v>
      </c>
      <c r="D25" s="99" t="s">
        <v>21</v>
      </c>
      <c r="E25" s="98" t="s">
        <v>184</v>
      </c>
      <c r="F25" s="106" t="s">
        <v>185</v>
      </c>
      <c r="G25" s="95">
        <v>430</v>
      </c>
      <c r="H25" s="97">
        <v>450</v>
      </c>
      <c r="I25" s="95"/>
      <c r="J25" s="107">
        <f t="shared" si="1"/>
        <v>450</v>
      </c>
    </row>
    <row r="26" spans="1:10" s="94" customFormat="1" ht="30" customHeight="1" x14ac:dyDescent="0.3">
      <c r="A26" s="95">
        <v>250042</v>
      </c>
      <c r="B26" s="95">
        <v>304</v>
      </c>
      <c r="C26" s="99">
        <v>0.9</v>
      </c>
      <c r="D26" s="99" t="s">
        <v>21</v>
      </c>
      <c r="E26" s="98" t="s">
        <v>186</v>
      </c>
      <c r="F26" s="106" t="s">
        <v>185</v>
      </c>
      <c r="G26" s="95">
        <v>304</v>
      </c>
      <c r="H26" s="97">
        <v>750</v>
      </c>
      <c r="I26" s="95"/>
      <c r="J26" s="107">
        <f t="shared" si="1"/>
        <v>750</v>
      </c>
    </row>
    <row r="27" spans="1:10" s="94" customFormat="1" ht="30" customHeight="1" x14ac:dyDescent="0.3">
      <c r="A27" s="95"/>
      <c r="B27" s="95"/>
      <c r="C27" s="96"/>
      <c r="D27" s="96"/>
      <c r="E27" s="98"/>
      <c r="F27" s="96"/>
      <c r="G27" s="96"/>
      <c r="H27" s="95"/>
      <c r="I27" s="95"/>
      <c r="J27" s="107">
        <f t="shared" si="1"/>
        <v>0</v>
      </c>
    </row>
    <row r="28" spans="1:10" s="94" customFormat="1" ht="30" customHeight="1" x14ac:dyDescent="0.3">
      <c r="A28" s="95"/>
      <c r="B28" s="95"/>
      <c r="C28" s="96"/>
      <c r="D28" s="114" t="s">
        <v>180</v>
      </c>
      <c r="E28" s="98" t="s">
        <v>171</v>
      </c>
      <c r="F28" s="96"/>
      <c r="G28" s="96"/>
      <c r="H28" s="95"/>
      <c r="I28" s="95"/>
      <c r="J28" s="107">
        <f t="shared" si="1"/>
        <v>0</v>
      </c>
    </row>
    <row r="29" spans="1:10" s="94" customFormat="1" ht="30" customHeight="1" x14ac:dyDescent="0.3">
      <c r="A29" s="95"/>
      <c r="B29" s="95"/>
      <c r="C29" s="96"/>
      <c r="D29" s="114" t="s">
        <v>180</v>
      </c>
      <c r="E29" s="109" t="s">
        <v>179</v>
      </c>
      <c r="F29" s="96"/>
      <c r="G29" s="96"/>
      <c r="H29" s="95"/>
      <c r="I29" s="95"/>
      <c r="J29" s="107">
        <f t="shared" si="1"/>
        <v>0</v>
      </c>
    </row>
    <row r="30" spans="1:10" ht="24" customHeight="1" x14ac:dyDescent="0.3">
      <c r="A30" s="65"/>
      <c r="B30" s="65"/>
      <c r="C30" s="64"/>
      <c r="D30" s="104" t="s">
        <v>180</v>
      </c>
      <c r="E30" s="63" t="s">
        <v>177</v>
      </c>
      <c r="F30" s="65"/>
      <c r="G30" s="65"/>
      <c r="H30" s="62"/>
      <c r="I30" s="6"/>
      <c r="J30" s="107">
        <f t="shared" si="1"/>
        <v>0</v>
      </c>
    </row>
    <row r="31" spans="1:10" ht="19.95" hidden="1" customHeight="1" x14ac:dyDescent="0.3">
      <c r="A31" s="65"/>
      <c r="B31" s="65"/>
      <c r="C31" s="64"/>
      <c r="D31" s="64"/>
      <c r="E31" s="63"/>
      <c r="F31" s="65"/>
      <c r="G31" s="65"/>
      <c r="H31" s="62"/>
      <c r="I31" s="6"/>
      <c r="J31" s="107">
        <f t="shared" si="1"/>
        <v>0</v>
      </c>
    </row>
    <row r="32" spans="1:10" ht="19.95" hidden="1" customHeight="1" x14ac:dyDescent="0.3">
      <c r="A32" s="65"/>
      <c r="B32" s="65"/>
      <c r="C32" s="64"/>
      <c r="D32" s="64"/>
      <c r="E32" s="63"/>
      <c r="F32" s="63"/>
      <c r="G32" s="65"/>
      <c r="H32" s="62"/>
      <c r="I32" s="6"/>
      <c r="J32" s="107">
        <f t="shared" si="1"/>
        <v>0</v>
      </c>
    </row>
    <row r="33" spans="1:10" ht="19.95" hidden="1" customHeight="1" x14ac:dyDescent="0.3">
      <c r="A33" s="65"/>
      <c r="B33" s="65"/>
      <c r="C33" s="64"/>
      <c r="D33" s="64"/>
      <c r="E33" s="63"/>
      <c r="F33" s="63"/>
      <c r="G33" s="65"/>
      <c r="H33" s="62"/>
      <c r="I33" s="6"/>
      <c r="J33" s="107">
        <f t="shared" si="1"/>
        <v>0</v>
      </c>
    </row>
    <row r="34" spans="1:10" ht="19.95" hidden="1" customHeight="1" x14ac:dyDescent="0.3">
      <c r="A34" s="65"/>
      <c r="B34" s="65"/>
      <c r="C34" s="64"/>
      <c r="D34" s="64"/>
      <c r="E34" s="63"/>
      <c r="F34" s="63"/>
      <c r="G34" s="65"/>
      <c r="H34" s="62"/>
      <c r="I34" s="6"/>
      <c r="J34" s="107">
        <f t="shared" si="1"/>
        <v>0</v>
      </c>
    </row>
    <row r="35" spans="1:10" ht="19.95" hidden="1" customHeight="1" x14ac:dyDescent="0.3">
      <c r="A35" s="65"/>
      <c r="B35" s="65"/>
      <c r="C35" s="64"/>
      <c r="D35" s="64"/>
      <c r="E35" s="63"/>
      <c r="F35" s="63"/>
      <c r="G35" s="65"/>
      <c r="H35" s="62"/>
      <c r="I35" s="6"/>
      <c r="J35" s="107">
        <f t="shared" si="1"/>
        <v>0</v>
      </c>
    </row>
    <row r="36" spans="1:10" ht="19.95" hidden="1" customHeight="1" x14ac:dyDescent="0.3">
      <c r="A36" s="65"/>
      <c r="B36" s="65"/>
      <c r="C36" s="64"/>
      <c r="D36" s="64"/>
      <c r="E36" s="63"/>
      <c r="F36" s="63"/>
      <c r="G36" s="65"/>
      <c r="H36" s="62"/>
      <c r="I36" s="6"/>
      <c r="J36" s="107">
        <f t="shared" si="1"/>
        <v>0</v>
      </c>
    </row>
    <row r="37" spans="1:10" ht="19.95" customHeight="1" x14ac:dyDescent="0.3">
      <c r="A37" s="65"/>
      <c r="B37" s="65"/>
      <c r="C37" s="64"/>
      <c r="D37" s="64"/>
      <c r="E37" s="63"/>
      <c r="F37" s="63"/>
      <c r="G37" s="65"/>
      <c r="H37" s="62"/>
      <c r="I37" s="19"/>
      <c r="J37" s="107">
        <f t="shared" si="1"/>
        <v>0</v>
      </c>
    </row>
    <row r="38" spans="1:10" ht="19.95" customHeight="1" x14ac:dyDescent="0.3">
      <c r="A38" s="14"/>
      <c r="B38" s="14"/>
      <c r="C38" s="14"/>
      <c r="D38" s="14"/>
      <c r="E38" s="15"/>
      <c r="F38" s="14"/>
      <c r="G38" s="16"/>
      <c r="H38" s="62">
        <f>SUM(H30:H37)</f>
        <v>0</v>
      </c>
      <c r="I38" s="6">
        <f>SUM(I30:I37)</f>
        <v>0</v>
      </c>
      <c r="J38" s="62">
        <f>SUM(J22:J37)</f>
        <v>3800</v>
      </c>
    </row>
    <row r="40" spans="1:10" ht="23.4" x14ac:dyDescent="0.3">
      <c r="A40" s="180" t="s">
        <v>62</v>
      </c>
      <c r="B40" s="180"/>
      <c r="C40" s="180"/>
      <c r="D40" s="180"/>
      <c r="E40" s="180"/>
      <c r="F40" s="180"/>
      <c r="G40" s="180"/>
      <c r="H40" s="180"/>
      <c r="I40" s="180"/>
      <c r="J40" s="180"/>
    </row>
  </sheetData>
  <mergeCells count="5">
    <mergeCell ref="I1:J1"/>
    <mergeCell ref="A2:J2"/>
    <mergeCell ref="A3:J3"/>
    <mergeCell ref="A20:J20"/>
    <mergeCell ref="A40:J40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8" orientation="landscape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zoomScale="70" zoomScaleNormal="70" workbookViewId="0">
      <selection activeCell="H14" sqref="H14"/>
    </sheetView>
  </sheetViews>
  <sheetFormatPr defaultColWidth="8.88671875" defaultRowHeight="14.4" x14ac:dyDescent="0.3"/>
  <cols>
    <col min="1" max="1" width="14.33203125" style="105" customWidth="1"/>
    <col min="2" max="2" width="10.6640625" style="105" customWidth="1"/>
    <col min="3" max="3" width="11.44140625" style="105" customWidth="1"/>
    <col min="4" max="4" width="15.5546875" style="105" customWidth="1"/>
    <col min="5" max="5" width="88.33203125" style="105" bestFit="1" customWidth="1"/>
    <col min="6" max="6" width="15.6640625" style="13" bestFit="1" customWidth="1"/>
    <col min="7" max="7" width="12.33203125" style="105" customWidth="1"/>
    <col min="8" max="8" width="13.44140625" style="105" customWidth="1"/>
    <col min="9" max="9" width="10.77734375" style="105" customWidth="1"/>
    <col min="10" max="10" width="18.6640625" style="105" customWidth="1"/>
    <col min="11" max="16384" width="8.88671875" style="105"/>
  </cols>
  <sheetData>
    <row r="1" spans="1:10" s="20" customFormat="1" ht="30" customHeight="1" x14ac:dyDescent="0.3">
      <c r="F1" s="21"/>
      <c r="G1" s="21"/>
      <c r="H1" s="22" t="s">
        <v>64</v>
      </c>
      <c r="I1" s="168">
        <v>45954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11">
        <v>180925</v>
      </c>
      <c r="B5" s="111">
        <v>304</v>
      </c>
      <c r="C5" s="112">
        <v>0.7</v>
      </c>
      <c r="D5" s="112" t="s">
        <v>21</v>
      </c>
      <c r="E5" s="110" t="s">
        <v>169</v>
      </c>
      <c r="F5" s="111" t="s">
        <v>27</v>
      </c>
      <c r="G5" s="111">
        <v>430</v>
      </c>
      <c r="H5" s="113">
        <v>2100</v>
      </c>
      <c r="I5" s="108">
        <f>1800+300</f>
        <v>2100</v>
      </c>
      <c r="J5" s="107">
        <f t="shared" ref="J5:J20" si="0">H5-I5</f>
        <v>0</v>
      </c>
    </row>
    <row r="6" spans="1:10" ht="19.95" customHeight="1" x14ac:dyDescent="0.3">
      <c r="A6" s="111"/>
      <c r="B6" s="111"/>
      <c r="C6" s="112"/>
      <c r="D6" s="112"/>
      <c r="E6" s="110"/>
      <c r="F6" s="111"/>
      <c r="G6" s="111"/>
      <c r="H6" s="113"/>
      <c r="I6" s="108"/>
      <c r="J6" s="107">
        <f t="shared" si="0"/>
        <v>0</v>
      </c>
    </row>
    <row r="7" spans="1:10" ht="19.95" customHeight="1" x14ac:dyDescent="0.3">
      <c r="A7" s="111">
        <v>250048</v>
      </c>
      <c r="B7" s="111">
        <v>304</v>
      </c>
      <c r="C7" s="112">
        <v>0.7</v>
      </c>
      <c r="D7" s="112" t="s">
        <v>9</v>
      </c>
      <c r="E7" s="110" t="s">
        <v>172</v>
      </c>
      <c r="F7" s="111" t="s">
        <v>27</v>
      </c>
      <c r="G7" s="111">
        <v>304</v>
      </c>
      <c r="H7" s="113">
        <v>570</v>
      </c>
      <c r="I7" s="108">
        <v>570</v>
      </c>
      <c r="J7" s="107">
        <f t="shared" si="0"/>
        <v>0</v>
      </c>
    </row>
    <row r="8" spans="1:10" ht="19.95" customHeight="1" x14ac:dyDescent="0.3">
      <c r="A8" s="111">
        <v>250046</v>
      </c>
      <c r="B8" s="111">
        <v>304</v>
      </c>
      <c r="C8" s="112">
        <v>0.7</v>
      </c>
      <c r="D8" s="112" t="s">
        <v>9</v>
      </c>
      <c r="E8" s="110" t="s">
        <v>176</v>
      </c>
      <c r="F8" s="111" t="s">
        <v>27</v>
      </c>
      <c r="G8" s="111">
        <v>304</v>
      </c>
      <c r="H8" s="113">
        <v>950</v>
      </c>
      <c r="I8" s="108">
        <v>950</v>
      </c>
      <c r="J8" s="107">
        <f t="shared" si="0"/>
        <v>0</v>
      </c>
    </row>
    <row r="9" spans="1:10" ht="19.95" customHeight="1" x14ac:dyDescent="0.3">
      <c r="A9" s="111"/>
      <c r="B9" s="111"/>
      <c r="C9" s="112"/>
      <c r="D9" s="104" t="s">
        <v>180</v>
      </c>
      <c r="E9" s="109" t="s">
        <v>178</v>
      </c>
      <c r="F9" s="111"/>
      <c r="G9" s="111"/>
      <c r="H9" s="113"/>
      <c r="I9" s="108"/>
      <c r="J9" s="107">
        <f t="shared" si="0"/>
        <v>0</v>
      </c>
    </row>
    <row r="10" spans="1:10" ht="19.95" customHeight="1" x14ac:dyDescent="0.3">
      <c r="A10" s="111">
        <v>250046</v>
      </c>
      <c r="B10" s="111">
        <v>304</v>
      </c>
      <c r="C10" s="112" t="s">
        <v>174</v>
      </c>
      <c r="D10" s="112" t="s">
        <v>9</v>
      </c>
      <c r="E10" s="110" t="s">
        <v>175</v>
      </c>
      <c r="F10" s="106" t="s">
        <v>27</v>
      </c>
      <c r="G10" s="106">
        <v>304</v>
      </c>
      <c r="H10" s="107">
        <v>20</v>
      </c>
      <c r="I10" s="108">
        <v>20</v>
      </c>
      <c r="J10" s="107">
        <f t="shared" si="0"/>
        <v>0</v>
      </c>
    </row>
    <row r="11" spans="1:10" ht="19.95" customHeight="1" x14ac:dyDescent="0.3">
      <c r="A11" s="111">
        <v>250048</v>
      </c>
      <c r="B11" s="111">
        <v>304</v>
      </c>
      <c r="C11" s="112" t="s">
        <v>174</v>
      </c>
      <c r="D11" s="112" t="s">
        <v>9</v>
      </c>
      <c r="E11" s="110" t="s">
        <v>173</v>
      </c>
      <c r="F11" s="111" t="s">
        <v>27</v>
      </c>
      <c r="G11" s="111">
        <v>304</v>
      </c>
      <c r="H11" s="113">
        <v>15</v>
      </c>
      <c r="I11" s="108">
        <v>15</v>
      </c>
      <c r="J11" s="124">
        <f t="shared" si="0"/>
        <v>0</v>
      </c>
    </row>
    <row r="12" spans="1:10" ht="19.95" customHeight="1" x14ac:dyDescent="0.3">
      <c r="A12" s="106"/>
      <c r="B12" s="106"/>
      <c r="C12" s="99"/>
      <c r="D12" s="104"/>
      <c r="E12" s="109"/>
      <c r="F12" s="109"/>
      <c r="G12" s="106"/>
      <c r="H12" s="107"/>
      <c r="I12" s="108"/>
      <c r="J12" s="107">
        <f t="shared" si="0"/>
        <v>0</v>
      </c>
    </row>
    <row r="13" spans="1:10" ht="19.95" customHeight="1" x14ac:dyDescent="0.3">
      <c r="A13" s="116">
        <v>250046</v>
      </c>
      <c r="B13" s="116">
        <v>304</v>
      </c>
      <c r="C13" s="117">
        <v>0.7</v>
      </c>
      <c r="D13" s="117" t="s">
        <v>9</v>
      </c>
      <c r="E13" s="115" t="s">
        <v>187</v>
      </c>
      <c r="F13" s="126" t="s">
        <v>27</v>
      </c>
      <c r="G13" s="116">
        <v>304</v>
      </c>
      <c r="H13" s="118">
        <v>950</v>
      </c>
      <c r="I13" s="108"/>
      <c r="J13" s="107">
        <v>950</v>
      </c>
    </row>
    <row r="14" spans="1:10" ht="19.95" customHeight="1" x14ac:dyDescent="0.3">
      <c r="A14" s="120">
        <v>250048</v>
      </c>
      <c r="B14" s="120">
        <v>304</v>
      </c>
      <c r="C14" s="121">
        <v>0.7</v>
      </c>
      <c r="D14" s="121" t="s">
        <v>9</v>
      </c>
      <c r="E14" s="119" t="s">
        <v>188</v>
      </c>
      <c r="F14" s="126" t="s">
        <v>27</v>
      </c>
      <c r="G14" s="120">
        <v>304</v>
      </c>
      <c r="H14" s="122">
        <v>570</v>
      </c>
      <c r="I14" s="108"/>
      <c r="J14" s="107">
        <f t="shared" si="0"/>
        <v>570</v>
      </c>
    </row>
    <row r="15" spans="1:10" ht="19.95" customHeight="1" x14ac:dyDescent="0.3">
      <c r="A15" s="126">
        <v>250046</v>
      </c>
      <c r="B15" s="126">
        <v>304</v>
      </c>
      <c r="C15" s="127">
        <v>0.7</v>
      </c>
      <c r="D15" s="127" t="s">
        <v>9</v>
      </c>
      <c r="E15" s="125" t="s">
        <v>189</v>
      </c>
      <c r="F15" s="126" t="s">
        <v>27</v>
      </c>
      <c r="G15" s="126">
        <v>304</v>
      </c>
      <c r="H15" s="128">
        <v>50</v>
      </c>
      <c r="I15" s="108"/>
      <c r="J15" s="107">
        <f t="shared" si="0"/>
        <v>50</v>
      </c>
    </row>
    <row r="16" spans="1:10" ht="19.95" customHeight="1" x14ac:dyDescent="0.3">
      <c r="A16" s="106"/>
      <c r="B16" s="106"/>
      <c r="C16" s="99"/>
      <c r="D16" s="130" t="s">
        <v>180</v>
      </c>
      <c r="E16" s="129" t="s">
        <v>193</v>
      </c>
      <c r="F16" s="106"/>
      <c r="G16" s="106"/>
      <c r="H16" s="107"/>
      <c r="I16" s="19"/>
      <c r="J16" s="107">
        <f t="shared" si="0"/>
        <v>0</v>
      </c>
    </row>
    <row r="17" spans="1:10" s="123" customFormat="1" ht="19.95" customHeight="1" x14ac:dyDescent="0.3">
      <c r="A17" s="126">
        <v>250046</v>
      </c>
      <c r="B17" s="126">
        <v>304</v>
      </c>
      <c r="C17" s="127" t="s">
        <v>174</v>
      </c>
      <c r="D17" s="127" t="s">
        <v>9</v>
      </c>
      <c r="E17" s="125" t="s">
        <v>190</v>
      </c>
      <c r="F17" s="126" t="s">
        <v>27</v>
      </c>
      <c r="G17" s="126">
        <v>304</v>
      </c>
      <c r="H17" s="128">
        <v>20</v>
      </c>
      <c r="I17" s="19"/>
      <c r="J17" s="124">
        <f t="shared" si="0"/>
        <v>20</v>
      </c>
    </row>
    <row r="18" spans="1:10" s="123" customFormat="1" ht="19.95" customHeight="1" x14ac:dyDescent="0.3">
      <c r="A18" s="126">
        <v>250048</v>
      </c>
      <c r="B18" s="126">
        <v>304</v>
      </c>
      <c r="C18" s="127" t="s">
        <v>174</v>
      </c>
      <c r="D18" s="127" t="s">
        <v>9</v>
      </c>
      <c r="E18" s="125" t="s">
        <v>191</v>
      </c>
      <c r="F18" s="126" t="s">
        <v>27</v>
      </c>
      <c r="G18" s="126">
        <v>304</v>
      </c>
      <c r="H18" s="128">
        <v>15</v>
      </c>
      <c r="I18" s="19"/>
      <c r="J18" s="124">
        <f t="shared" si="0"/>
        <v>15</v>
      </c>
    </row>
    <row r="19" spans="1:10" s="123" customFormat="1" ht="19.95" customHeight="1" x14ac:dyDescent="0.3">
      <c r="A19" s="126">
        <v>250046</v>
      </c>
      <c r="B19" s="126">
        <v>304</v>
      </c>
      <c r="C19" s="127" t="s">
        <v>174</v>
      </c>
      <c r="D19" s="127" t="s">
        <v>9</v>
      </c>
      <c r="E19" s="125" t="s">
        <v>192</v>
      </c>
      <c r="F19" s="126" t="s">
        <v>27</v>
      </c>
      <c r="G19" s="126">
        <v>304</v>
      </c>
      <c r="H19" s="128">
        <v>15</v>
      </c>
      <c r="I19" s="19"/>
      <c r="J19" s="124">
        <f t="shared" si="0"/>
        <v>15</v>
      </c>
    </row>
    <row r="20" spans="1:10" ht="19.95" customHeight="1" x14ac:dyDescent="0.3">
      <c r="A20" s="106"/>
      <c r="B20" s="106"/>
      <c r="C20" s="99"/>
      <c r="D20" s="99"/>
      <c r="E20" s="109"/>
      <c r="F20" s="109"/>
      <c r="G20" s="106"/>
      <c r="H20" s="107"/>
      <c r="I20" s="19"/>
      <c r="J20" s="107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5275</v>
      </c>
      <c r="I21" s="19">
        <f>SUM(I5:I16)</f>
        <v>3655</v>
      </c>
      <c r="J21" s="107">
        <f>SUM(J5:J20)</f>
        <v>1620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06" t="s">
        <v>65</v>
      </c>
      <c r="B24" s="106" t="s">
        <v>66</v>
      </c>
      <c r="C24" s="96" t="s">
        <v>67</v>
      </c>
      <c r="D24" s="96" t="s">
        <v>68</v>
      </c>
      <c r="E24" s="106" t="s">
        <v>69</v>
      </c>
      <c r="F24" s="96" t="s">
        <v>70</v>
      </c>
      <c r="G24" s="96" t="s">
        <v>71</v>
      </c>
      <c r="H24" s="106" t="s">
        <v>72</v>
      </c>
      <c r="I24" s="106" t="s">
        <v>73</v>
      </c>
      <c r="J24" s="106" t="s">
        <v>74</v>
      </c>
    </row>
    <row r="25" spans="1:10" ht="30" customHeight="1" x14ac:dyDescent="0.3">
      <c r="A25" s="106">
        <v>250042</v>
      </c>
      <c r="B25" s="106">
        <v>304</v>
      </c>
      <c r="C25" s="99">
        <v>0.9</v>
      </c>
      <c r="D25" s="99" t="s">
        <v>21</v>
      </c>
      <c r="E25" s="109" t="s">
        <v>181</v>
      </c>
      <c r="F25" s="106" t="s">
        <v>185</v>
      </c>
      <c r="G25" s="106">
        <v>304</v>
      </c>
      <c r="H25" s="107">
        <v>750</v>
      </c>
      <c r="I25" s="106"/>
      <c r="J25" s="107">
        <f>H25-I25</f>
        <v>750</v>
      </c>
    </row>
    <row r="26" spans="1:10" ht="30" customHeight="1" x14ac:dyDescent="0.3">
      <c r="A26" s="111">
        <v>160925</v>
      </c>
      <c r="B26" s="111">
        <v>304</v>
      </c>
      <c r="C26" s="112">
        <v>0.9</v>
      </c>
      <c r="D26" s="112" t="s">
        <v>21</v>
      </c>
      <c r="E26" s="110" t="s">
        <v>182</v>
      </c>
      <c r="F26" s="106" t="s">
        <v>185</v>
      </c>
      <c r="G26" s="111">
        <v>430</v>
      </c>
      <c r="H26" s="113">
        <v>1100</v>
      </c>
      <c r="I26" s="106"/>
      <c r="J26" s="107">
        <f t="shared" ref="J26:J40" si="1">H26-I26</f>
        <v>1100</v>
      </c>
    </row>
    <row r="27" spans="1:10" ht="30" customHeight="1" x14ac:dyDescent="0.3">
      <c r="A27" s="106">
        <v>250042</v>
      </c>
      <c r="B27" s="106">
        <v>304</v>
      </c>
      <c r="C27" s="99">
        <v>0.9</v>
      </c>
      <c r="D27" s="99" t="s">
        <v>21</v>
      </c>
      <c r="E27" s="109" t="s">
        <v>183</v>
      </c>
      <c r="F27" s="106" t="s">
        <v>185</v>
      </c>
      <c r="G27" s="106">
        <v>304</v>
      </c>
      <c r="H27" s="107">
        <v>750</v>
      </c>
      <c r="I27" s="106"/>
      <c r="J27" s="107">
        <f t="shared" si="1"/>
        <v>750</v>
      </c>
    </row>
    <row r="28" spans="1:10" ht="30" customHeight="1" x14ac:dyDescent="0.3">
      <c r="A28" s="106">
        <v>250049</v>
      </c>
      <c r="B28" s="106">
        <v>304</v>
      </c>
      <c r="C28" s="99">
        <v>0.9</v>
      </c>
      <c r="D28" s="99" t="s">
        <v>21</v>
      </c>
      <c r="E28" s="109" t="s">
        <v>184</v>
      </c>
      <c r="F28" s="106" t="s">
        <v>185</v>
      </c>
      <c r="G28" s="106">
        <v>430</v>
      </c>
      <c r="H28" s="107">
        <v>450</v>
      </c>
      <c r="I28" s="106"/>
      <c r="J28" s="107">
        <f t="shared" si="1"/>
        <v>450</v>
      </c>
    </row>
    <row r="29" spans="1:10" ht="30" customHeight="1" x14ac:dyDescent="0.3">
      <c r="A29" s="106">
        <v>250042</v>
      </c>
      <c r="B29" s="106">
        <v>304</v>
      </c>
      <c r="C29" s="99">
        <v>0.9</v>
      </c>
      <c r="D29" s="99" t="s">
        <v>21</v>
      </c>
      <c r="E29" s="109" t="s">
        <v>186</v>
      </c>
      <c r="F29" s="106" t="s">
        <v>185</v>
      </c>
      <c r="G29" s="106">
        <v>304</v>
      </c>
      <c r="H29" s="107">
        <v>750</v>
      </c>
      <c r="I29" s="106"/>
      <c r="J29" s="107">
        <f t="shared" si="1"/>
        <v>750</v>
      </c>
    </row>
    <row r="30" spans="1:10" ht="30" customHeight="1" x14ac:dyDescent="0.3">
      <c r="A30" s="106"/>
      <c r="B30" s="106"/>
      <c r="C30" s="96"/>
      <c r="D30" s="96"/>
      <c r="E30" s="109"/>
      <c r="F30" s="96"/>
      <c r="G30" s="96"/>
      <c r="H30" s="106"/>
      <c r="I30" s="106"/>
      <c r="J30" s="107">
        <f t="shared" si="1"/>
        <v>0</v>
      </c>
    </row>
    <row r="31" spans="1:10" ht="30" customHeight="1" x14ac:dyDescent="0.3">
      <c r="A31" s="106"/>
      <c r="B31" s="106"/>
      <c r="C31" s="96"/>
      <c r="D31" s="114" t="s">
        <v>180</v>
      </c>
      <c r="E31" s="109" t="s">
        <v>171</v>
      </c>
      <c r="F31" s="96"/>
      <c r="G31" s="96"/>
      <c r="H31" s="106"/>
      <c r="I31" s="106"/>
      <c r="J31" s="107">
        <f t="shared" si="1"/>
        <v>0</v>
      </c>
    </row>
    <row r="32" spans="1:10" ht="30" customHeight="1" x14ac:dyDescent="0.3">
      <c r="A32" s="106"/>
      <c r="B32" s="106"/>
      <c r="C32" s="96"/>
      <c r="D32" s="114" t="s">
        <v>180</v>
      </c>
      <c r="E32" s="109" t="s">
        <v>179</v>
      </c>
      <c r="F32" s="96"/>
      <c r="G32" s="96"/>
      <c r="H32" s="106"/>
      <c r="I32" s="106"/>
      <c r="J32" s="107">
        <f t="shared" si="1"/>
        <v>0</v>
      </c>
    </row>
    <row r="33" spans="1:10" ht="24" customHeight="1" x14ac:dyDescent="0.3">
      <c r="A33" s="106"/>
      <c r="B33" s="106"/>
      <c r="C33" s="99"/>
      <c r="D33" s="104" t="s">
        <v>180</v>
      </c>
      <c r="E33" s="109" t="s">
        <v>177</v>
      </c>
      <c r="F33" s="106"/>
      <c r="G33" s="106"/>
      <c r="H33" s="107"/>
      <c r="I33" s="108"/>
      <c r="J33" s="107">
        <f t="shared" si="1"/>
        <v>0</v>
      </c>
    </row>
    <row r="34" spans="1:10" ht="19.95" hidden="1" customHeight="1" x14ac:dyDescent="0.3">
      <c r="A34" s="106"/>
      <c r="B34" s="106"/>
      <c r="C34" s="99"/>
      <c r="D34" s="99"/>
      <c r="E34" s="109"/>
      <c r="F34" s="106"/>
      <c r="G34" s="106"/>
      <c r="H34" s="107"/>
      <c r="I34" s="108"/>
      <c r="J34" s="107">
        <f t="shared" si="1"/>
        <v>0</v>
      </c>
    </row>
    <row r="35" spans="1:10" ht="19.95" hidden="1" customHeight="1" x14ac:dyDescent="0.3">
      <c r="A35" s="106"/>
      <c r="B35" s="106"/>
      <c r="C35" s="99"/>
      <c r="D35" s="99"/>
      <c r="E35" s="109"/>
      <c r="F35" s="109"/>
      <c r="G35" s="106"/>
      <c r="H35" s="107"/>
      <c r="I35" s="108"/>
      <c r="J35" s="107">
        <f t="shared" si="1"/>
        <v>0</v>
      </c>
    </row>
    <row r="36" spans="1:10" ht="19.95" hidden="1" customHeight="1" x14ac:dyDescent="0.3">
      <c r="A36" s="106"/>
      <c r="B36" s="106"/>
      <c r="C36" s="99"/>
      <c r="D36" s="99"/>
      <c r="E36" s="109"/>
      <c r="F36" s="109"/>
      <c r="G36" s="106"/>
      <c r="H36" s="107"/>
      <c r="I36" s="108"/>
      <c r="J36" s="107">
        <f t="shared" si="1"/>
        <v>0</v>
      </c>
    </row>
    <row r="37" spans="1:10" ht="19.95" hidden="1" customHeight="1" x14ac:dyDescent="0.3">
      <c r="A37" s="106"/>
      <c r="B37" s="106"/>
      <c r="C37" s="99"/>
      <c r="D37" s="99"/>
      <c r="E37" s="109"/>
      <c r="F37" s="109"/>
      <c r="G37" s="106"/>
      <c r="H37" s="107"/>
      <c r="I37" s="108"/>
      <c r="J37" s="107">
        <f t="shared" si="1"/>
        <v>0</v>
      </c>
    </row>
    <row r="38" spans="1:10" ht="19.95" hidden="1" customHeight="1" x14ac:dyDescent="0.3">
      <c r="A38" s="106"/>
      <c r="B38" s="106"/>
      <c r="C38" s="99"/>
      <c r="D38" s="99"/>
      <c r="E38" s="109"/>
      <c r="F38" s="109"/>
      <c r="G38" s="106"/>
      <c r="H38" s="107"/>
      <c r="I38" s="108"/>
      <c r="J38" s="107">
        <f t="shared" si="1"/>
        <v>0</v>
      </c>
    </row>
    <row r="39" spans="1:10" ht="19.95" hidden="1" customHeight="1" x14ac:dyDescent="0.3">
      <c r="A39" s="106"/>
      <c r="B39" s="106"/>
      <c r="C39" s="99"/>
      <c r="D39" s="99"/>
      <c r="E39" s="109"/>
      <c r="F39" s="109"/>
      <c r="G39" s="106"/>
      <c r="H39" s="107"/>
      <c r="I39" s="108"/>
      <c r="J39" s="107">
        <f t="shared" si="1"/>
        <v>0</v>
      </c>
    </row>
    <row r="40" spans="1:10" ht="19.95" customHeight="1" x14ac:dyDescent="0.3">
      <c r="A40" s="106"/>
      <c r="B40" s="106"/>
      <c r="C40" s="99"/>
      <c r="D40" s="99"/>
      <c r="E40" s="109"/>
      <c r="F40" s="109"/>
      <c r="G40" s="106"/>
      <c r="H40" s="107"/>
      <c r="I40" s="19"/>
      <c r="J40" s="107">
        <f t="shared" si="1"/>
        <v>0</v>
      </c>
    </row>
    <row r="41" spans="1:10" ht="19.95" customHeight="1" x14ac:dyDescent="0.3">
      <c r="A41" s="14"/>
      <c r="B41" s="14"/>
      <c r="C41" s="14"/>
      <c r="D41" s="14"/>
      <c r="E41" s="15"/>
      <c r="F41" s="14"/>
      <c r="G41" s="16"/>
      <c r="H41" s="107">
        <f>SUM(H33:H40)</f>
        <v>0</v>
      </c>
      <c r="I41" s="108">
        <f>SUM(I33:I40)</f>
        <v>0</v>
      </c>
      <c r="J41" s="107">
        <f>SUM(J25:J40)</f>
        <v>3800</v>
      </c>
    </row>
    <row r="43" spans="1:10" ht="23.4" x14ac:dyDescent="0.3">
      <c r="A43" s="180" t="s">
        <v>62</v>
      </c>
      <c r="B43" s="180"/>
      <c r="C43" s="180"/>
      <c r="D43" s="180"/>
      <c r="E43" s="180"/>
      <c r="F43" s="180"/>
      <c r="G43" s="180"/>
      <c r="H43" s="180"/>
      <c r="I43" s="180"/>
      <c r="J43" s="180"/>
    </row>
  </sheetData>
  <mergeCells count="5">
    <mergeCell ref="I1:J1"/>
    <mergeCell ref="A2:J2"/>
    <mergeCell ref="A3:J3"/>
    <mergeCell ref="A23:J23"/>
    <mergeCell ref="A43:J4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4" orientation="landscape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zoomScale="85" zoomScaleNormal="85" workbookViewId="0"/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88.332031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45955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26">
        <v>250046</v>
      </c>
      <c r="B5" s="126">
        <v>304</v>
      </c>
      <c r="C5" s="127">
        <v>0.7</v>
      </c>
      <c r="D5" s="127" t="s">
        <v>9</v>
      </c>
      <c r="E5" s="125" t="s">
        <v>187</v>
      </c>
      <c r="F5" s="126" t="s">
        <v>27</v>
      </c>
      <c r="G5" s="126">
        <v>304</v>
      </c>
      <c r="H5" s="128">
        <v>950</v>
      </c>
      <c r="I5" s="108"/>
      <c r="J5" s="124">
        <f t="shared" ref="J5:J20" si="0">H5-I5</f>
        <v>950</v>
      </c>
    </row>
    <row r="6" spans="1:10" ht="19.95" customHeight="1" x14ac:dyDescent="0.3">
      <c r="A6" s="126">
        <v>250048</v>
      </c>
      <c r="B6" s="126">
        <v>304</v>
      </c>
      <c r="C6" s="127">
        <v>0.7</v>
      </c>
      <c r="D6" s="127" t="s">
        <v>9</v>
      </c>
      <c r="E6" s="125" t="s">
        <v>201</v>
      </c>
      <c r="F6" s="126" t="s">
        <v>27</v>
      </c>
      <c r="G6" s="126">
        <v>304</v>
      </c>
      <c r="H6" s="128">
        <v>570</v>
      </c>
      <c r="I6" s="108"/>
      <c r="J6" s="124">
        <f t="shared" si="0"/>
        <v>570</v>
      </c>
    </row>
    <row r="7" spans="1:10" ht="19.95" customHeight="1" x14ac:dyDescent="0.3">
      <c r="A7" s="126">
        <v>250046</v>
      </c>
      <c r="B7" s="126">
        <v>304</v>
      </c>
      <c r="C7" s="127">
        <v>0.7</v>
      </c>
      <c r="D7" s="127" t="s">
        <v>9</v>
      </c>
      <c r="E7" s="125" t="s">
        <v>200</v>
      </c>
      <c r="F7" s="126" t="s">
        <v>27</v>
      </c>
      <c r="G7" s="126">
        <v>304</v>
      </c>
      <c r="H7" s="128">
        <v>50</v>
      </c>
      <c r="I7" s="108"/>
      <c r="J7" s="124">
        <f t="shared" si="0"/>
        <v>50</v>
      </c>
    </row>
    <row r="8" spans="1:10" ht="19.95" customHeight="1" x14ac:dyDescent="0.3">
      <c r="A8" s="106"/>
      <c r="B8" s="106"/>
      <c r="C8" s="99"/>
      <c r="D8" s="130" t="s">
        <v>180</v>
      </c>
      <c r="E8" s="129" t="s">
        <v>193</v>
      </c>
      <c r="F8" s="106"/>
      <c r="G8" s="106"/>
      <c r="H8" s="124"/>
      <c r="I8" s="108"/>
      <c r="J8" s="124">
        <f t="shared" si="0"/>
        <v>0</v>
      </c>
    </row>
    <row r="9" spans="1:10" ht="19.95" customHeight="1" x14ac:dyDescent="0.3">
      <c r="A9" s="126">
        <v>250046</v>
      </c>
      <c r="B9" s="126">
        <v>304</v>
      </c>
      <c r="C9" s="127" t="s">
        <v>174</v>
      </c>
      <c r="D9" s="127" t="s">
        <v>9</v>
      </c>
      <c r="E9" s="125" t="s">
        <v>190</v>
      </c>
      <c r="F9" s="126" t="s">
        <v>27</v>
      </c>
      <c r="G9" s="126">
        <v>304</v>
      </c>
      <c r="H9" s="128">
        <v>20</v>
      </c>
      <c r="I9" s="108"/>
      <c r="J9" s="124">
        <f t="shared" si="0"/>
        <v>20</v>
      </c>
    </row>
    <row r="10" spans="1:10" ht="19.95" customHeight="1" x14ac:dyDescent="0.3">
      <c r="A10" s="126">
        <v>250048</v>
      </c>
      <c r="B10" s="126">
        <v>304</v>
      </c>
      <c r="C10" s="127" t="s">
        <v>174</v>
      </c>
      <c r="D10" s="127" t="s">
        <v>9</v>
      </c>
      <c r="E10" s="125" t="s">
        <v>202</v>
      </c>
      <c r="F10" s="126" t="s">
        <v>27</v>
      </c>
      <c r="G10" s="126">
        <v>304</v>
      </c>
      <c r="H10" s="128">
        <v>15</v>
      </c>
      <c r="I10" s="108"/>
      <c r="J10" s="124">
        <f t="shared" si="0"/>
        <v>15</v>
      </c>
    </row>
    <row r="11" spans="1:10" ht="19.95" customHeight="1" x14ac:dyDescent="0.3">
      <c r="A11" s="126">
        <v>250046</v>
      </c>
      <c r="B11" s="126">
        <v>304</v>
      </c>
      <c r="C11" s="127" t="s">
        <v>174</v>
      </c>
      <c r="D11" s="127" t="s">
        <v>9</v>
      </c>
      <c r="E11" s="125" t="s">
        <v>203</v>
      </c>
      <c r="F11" s="126" t="s">
        <v>27</v>
      </c>
      <c r="G11" s="126">
        <v>304</v>
      </c>
      <c r="H11" s="128">
        <v>15</v>
      </c>
      <c r="I11" s="108"/>
      <c r="J11" s="124">
        <f t="shared" si="0"/>
        <v>15</v>
      </c>
    </row>
    <row r="12" spans="1:10" ht="19.95" customHeight="1" x14ac:dyDescent="0.3">
      <c r="A12" s="106"/>
      <c r="B12" s="106"/>
      <c r="C12" s="99"/>
      <c r="D12" s="104"/>
      <c r="E12" s="109"/>
      <c r="F12" s="109"/>
      <c r="G12" s="106"/>
      <c r="H12" s="124"/>
      <c r="I12" s="108"/>
      <c r="J12" s="124">
        <f t="shared" si="0"/>
        <v>0</v>
      </c>
    </row>
    <row r="13" spans="1:10" ht="19.95" customHeight="1" x14ac:dyDescent="0.3">
      <c r="A13" s="126">
        <v>250046</v>
      </c>
      <c r="B13" s="126">
        <v>304</v>
      </c>
      <c r="C13" s="127">
        <v>0.7</v>
      </c>
      <c r="D13" s="127" t="s">
        <v>9</v>
      </c>
      <c r="E13" s="125" t="s">
        <v>194</v>
      </c>
      <c r="F13" s="126" t="s">
        <v>27</v>
      </c>
      <c r="G13" s="126">
        <v>304</v>
      </c>
      <c r="H13" s="128">
        <v>950</v>
      </c>
      <c r="I13" s="108">
        <v>960</v>
      </c>
      <c r="J13" s="124">
        <v>950</v>
      </c>
    </row>
    <row r="14" spans="1:10" ht="19.95" customHeight="1" x14ac:dyDescent="0.3">
      <c r="A14" s="126">
        <v>250048</v>
      </c>
      <c r="B14" s="126">
        <v>304</v>
      </c>
      <c r="C14" s="127">
        <v>0.7</v>
      </c>
      <c r="D14" s="127" t="s">
        <v>9</v>
      </c>
      <c r="E14" s="125" t="s">
        <v>195</v>
      </c>
      <c r="F14" s="126" t="s">
        <v>27</v>
      </c>
      <c r="G14" s="126">
        <v>304</v>
      </c>
      <c r="H14" s="128">
        <v>570</v>
      </c>
      <c r="I14" s="108">
        <v>570</v>
      </c>
      <c r="J14" s="124">
        <f t="shared" si="0"/>
        <v>0</v>
      </c>
    </row>
    <row r="15" spans="1:10" ht="19.95" customHeight="1" x14ac:dyDescent="0.3">
      <c r="A15" s="126">
        <v>250048</v>
      </c>
      <c r="B15" s="126">
        <v>304</v>
      </c>
      <c r="C15" s="127">
        <v>0.7</v>
      </c>
      <c r="D15" s="127" t="s">
        <v>9</v>
      </c>
      <c r="E15" s="125" t="s">
        <v>198</v>
      </c>
      <c r="F15" s="126" t="s">
        <v>27</v>
      </c>
      <c r="G15" s="126">
        <v>304</v>
      </c>
      <c r="H15" s="128">
        <v>570</v>
      </c>
      <c r="I15" s="108"/>
      <c r="J15" s="124">
        <f t="shared" si="0"/>
        <v>570</v>
      </c>
    </row>
    <row r="16" spans="1:10" ht="19.95" customHeight="1" x14ac:dyDescent="0.3">
      <c r="A16" s="106"/>
      <c r="B16" s="106"/>
      <c r="C16" s="99"/>
      <c r="D16" s="131"/>
      <c r="E16" s="132"/>
      <c r="F16" s="106"/>
      <c r="G16" s="106"/>
      <c r="H16" s="124"/>
      <c r="I16" s="19"/>
      <c r="J16" s="124">
        <f t="shared" si="0"/>
        <v>0</v>
      </c>
    </row>
    <row r="17" spans="1:10" ht="19.95" customHeight="1" x14ac:dyDescent="0.3">
      <c r="A17" s="126">
        <v>250046</v>
      </c>
      <c r="B17" s="126">
        <v>304</v>
      </c>
      <c r="C17" s="127" t="s">
        <v>174</v>
      </c>
      <c r="D17" s="127" t="s">
        <v>9</v>
      </c>
      <c r="E17" s="125" t="s">
        <v>196</v>
      </c>
      <c r="F17" s="126" t="s">
        <v>27</v>
      </c>
      <c r="G17" s="126">
        <v>304</v>
      </c>
      <c r="H17" s="128">
        <v>20</v>
      </c>
      <c r="I17" s="19">
        <v>20</v>
      </c>
      <c r="J17" s="124">
        <f t="shared" si="0"/>
        <v>0</v>
      </c>
    </row>
    <row r="18" spans="1:10" ht="19.95" customHeight="1" x14ac:dyDescent="0.3">
      <c r="A18" s="126">
        <v>250048</v>
      </c>
      <c r="B18" s="126">
        <v>304</v>
      </c>
      <c r="C18" s="127" t="s">
        <v>174</v>
      </c>
      <c r="D18" s="127" t="s">
        <v>9</v>
      </c>
      <c r="E18" s="125" t="s">
        <v>197</v>
      </c>
      <c r="F18" s="126" t="s">
        <v>27</v>
      </c>
      <c r="G18" s="126">
        <v>304</v>
      </c>
      <c r="H18" s="128">
        <v>15</v>
      </c>
      <c r="I18" s="19">
        <v>15</v>
      </c>
      <c r="J18" s="124">
        <f t="shared" si="0"/>
        <v>0</v>
      </c>
    </row>
    <row r="19" spans="1:10" ht="19.95" customHeight="1" x14ac:dyDescent="0.3">
      <c r="A19" s="126">
        <v>250048</v>
      </c>
      <c r="B19" s="126">
        <v>304</v>
      </c>
      <c r="C19" s="127" t="s">
        <v>174</v>
      </c>
      <c r="D19" s="127" t="s">
        <v>9</v>
      </c>
      <c r="E19" s="125" t="s">
        <v>199</v>
      </c>
      <c r="F19" s="126" t="s">
        <v>27</v>
      </c>
      <c r="G19" s="126">
        <v>304</v>
      </c>
      <c r="H19" s="128">
        <v>15</v>
      </c>
      <c r="I19" s="19"/>
      <c r="J19" s="124">
        <f t="shared" si="0"/>
        <v>15</v>
      </c>
    </row>
    <row r="20" spans="1:10" ht="19.95" customHeight="1" x14ac:dyDescent="0.3">
      <c r="A20" s="106"/>
      <c r="B20" s="106"/>
      <c r="C20" s="99"/>
      <c r="D20" s="99"/>
      <c r="E20" s="109"/>
      <c r="F20" s="109"/>
      <c r="G20" s="106"/>
      <c r="H20" s="124"/>
      <c r="I20" s="19"/>
      <c r="J20" s="124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3760</v>
      </c>
      <c r="I21" s="19">
        <f>SUM(I5:I16)</f>
        <v>1530</v>
      </c>
      <c r="J21" s="124">
        <f>SUM(J5:J20)</f>
        <v>3155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06" t="s">
        <v>65</v>
      </c>
      <c r="B24" s="106" t="s">
        <v>66</v>
      </c>
      <c r="C24" s="96" t="s">
        <v>67</v>
      </c>
      <c r="D24" s="96" t="s">
        <v>68</v>
      </c>
      <c r="E24" s="106" t="s">
        <v>69</v>
      </c>
      <c r="F24" s="96" t="s">
        <v>70</v>
      </c>
      <c r="G24" s="96" t="s">
        <v>71</v>
      </c>
      <c r="H24" s="106" t="s">
        <v>72</v>
      </c>
      <c r="I24" s="106" t="s">
        <v>73</v>
      </c>
      <c r="J24" s="106" t="s">
        <v>74</v>
      </c>
    </row>
    <row r="25" spans="1:10" ht="30" customHeight="1" x14ac:dyDescent="0.3">
      <c r="A25" s="106">
        <v>250042</v>
      </c>
      <c r="B25" s="106">
        <v>304</v>
      </c>
      <c r="C25" s="99">
        <v>0.9</v>
      </c>
      <c r="D25" s="99" t="s">
        <v>21</v>
      </c>
      <c r="E25" s="109" t="s">
        <v>181</v>
      </c>
      <c r="F25" s="106" t="s">
        <v>185</v>
      </c>
      <c r="G25" s="106">
        <v>304</v>
      </c>
      <c r="H25" s="124">
        <v>750</v>
      </c>
      <c r="I25" s="106"/>
      <c r="J25" s="124">
        <f>H25-I25</f>
        <v>750</v>
      </c>
    </row>
    <row r="26" spans="1:10" ht="30" customHeight="1" x14ac:dyDescent="0.3">
      <c r="A26" s="126">
        <v>160925</v>
      </c>
      <c r="B26" s="126">
        <v>304</v>
      </c>
      <c r="C26" s="127">
        <v>0.9</v>
      </c>
      <c r="D26" s="127" t="s">
        <v>21</v>
      </c>
      <c r="E26" s="125" t="s">
        <v>182</v>
      </c>
      <c r="F26" s="106" t="s">
        <v>185</v>
      </c>
      <c r="G26" s="126">
        <v>430</v>
      </c>
      <c r="H26" s="128">
        <v>1100</v>
      </c>
      <c r="I26" s="106"/>
      <c r="J26" s="124">
        <f t="shared" ref="J26:J40" si="1">H26-I26</f>
        <v>1100</v>
      </c>
    </row>
    <row r="27" spans="1:10" ht="30" customHeight="1" x14ac:dyDescent="0.3">
      <c r="A27" s="106">
        <v>250042</v>
      </c>
      <c r="B27" s="106">
        <v>304</v>
      </c>
      <c r="C27" s="99">
        <v>0.9</v>
      </c>
      <c r="D27" s="99" t="s">
        <v>21</v>
      </c>
      <c r="E27" s="109" t="s">
        <v>183</v>
      </c>
      <c r="F27" s="106" t="s">
        <v>185</v>
      </c>
      <c r="G27" s="106">
        <v>304</v>
      </c>
      <c r="H27" s="124">
        <v>750</v>
      </c>
      <c r="I27" s="106"/>
      <c r="J27" s="124">
        <f t="shared" si="1"/>
        <v>750</v>
      </c>
    </row>
    <row r="28" spans="1:10" ht="30" customHeight="1" x14ac:dyDescent="0.3">
      <c r="A28" s="106">
        <v>250049</v>
      </c>
      <c r="B28" s="106">
        <v>304</v>
      </c>
      <c r="C28" s="99">
        <v>0.9</v>
      </c>
      <c r="D28" s="99" t="s">
        <v>21</v>
      </c>
      <c r="E28" s="109" t="s">
        <v>184</v>
      </c>
      <c r="F28" s="106" t="s">
        <v>185</v>
      </c>
      <c r="G28" s="106">
        <v>430</v>
      </c>
      <c r="H28" s="124">
        <v>450</v>
      </c>
      <c r="I28" s="106"/>
      <c r="J28" s="124">
        <f t="shared" si="1"/>
        <v>450</v>
      </c>
    </row>
    <row r="29" spans="1:10" ht="30" customHeight="1" x14ac:dyDescent="0.3">
      <c r="A29" s="106">
        <v>250042</v>
      </c>
      <c r="B29" s="106">
        <v>304</v>
      </c>
      <c r="C29" s="99">
        <v>0.9</v>
      </c>
      <c r="D29" s="99" t="s">
        <v>21</v>
      </c>
      <c r="E29" s="109" t="s">
        <v>186</v>
      </c>
      <c r="F29" s="106" t="s">
        <v>185</v>
      </c>
      <c r="G29" s="106">
        <v>304</v>
      </c>
      <c r="H29" s="124">
        <v>750</v>
      </c>
      <c r="I29" s="106"/>
      <c r="J29" s="124">
        <f t="shared" si="1"/>
        <v>750</v>
      </c>
    </row>
    <row r="30" spans="1:10" ht="30" customHeight="1" x14ac:dyDescent="0.3">
      <c r="A30" s="106"/>
      <c r="B30" s="106"/>
      <c r="C30" s="96"/>
      <c r="D30" s="96"/>
      <c r="E30" s="109"/>
      <c r="F30" s="96"/>
      <c r="G30" s="96"/>
      <c r="H30" s="106"/>
      <c r="I30" s="106"/>
      <c r="J30" s="124">
        <f t="shared" si="1"/>
        <v>0</v>
      </c>
    </row>
    <row r="31" spans="1:10" ht="30" customHeight="1" x14ac:dyDescent="0.3">
      <c r="A31" s="106"/>
      <c r="B31" s="106"/>
      <c r="C31" s="96"/>
      <c r="D31" s="114" t="s">
        <v>180</v>
      </c>
      <c r="E31" s="109" t="s">
        <v>171</v>
      </c>
      <c r="F31" s="96"/>
      <c r="G31" s="96"/>
      <c r="H31" s="106"/>
      <c r="I31" s="106"/>
      <c r="J31" s="124">
        <f t="shared" si="1"/>
        <v>0</v>
      </c>
    </row>
    <row r="32" spans="1:10" ht="30" customHeight="1" x14ac:dyDescent="0.3">
      <c r="A32" s="106"/>
      <c r="B32" s="106"/>
      <c r="C32" s="96"/>
      <c r="D32" s="114" t="s">
        <v>180</v>
      </c>
      <c r="E32" s="109" t="s">
        <v>179</v>
      </c>
      <c r="F32" s="96"/>
      <c r="G32" s="96"/>
      <c r="H32" s="106"/>
      <c r="I32" s="106"/>
      <c r="J32" s="124">
        <f t="shared" si="1"/>
        <v>0</v>
      </c>
    </row>
    <row r="33" spans="1:10" ht="24" customHeight="1" x14ac:dyDescent="0.3">
      <c r="A33" s="106"/>
      <c r="B33" s="106"/>
      <c r="C33" s="99"/>
      <c r="D33" s="104" t="s">
        <v>180</v>
      </c>
      <c r="E33" s="109" t="s">
        <v>177</v>
      </c>
      <c r="F33" s="106"/>
      <c r="G33" s="106"/>
      <c r="H33" s="124"/>
      <c r="I33" s="108"/>
      <c r="J33" s="124">
        <f t="shared" si="1"/>
        <v>0</v>
      </c>
    </row>
    <row r="34" spans="1:10" ht="19.95" hidden="1" customHeight="1" x14ac:dyDescent="0.3">
      <c r="A34" s="106"/>
      <c r="B34" s="106"/>
      <c r="C34" s="99"/>
      <c r="D34" s="99"/>
      <c r="E34" s="109"/>
      <c r="F34" s="106"/>
      <c r="G34" s="106"/>
      <c r="H34" s="124"/>
      <c r="I34" s="108"/>
      <c r="J34" s="124">
        <f t="shared" si="1"/>
        <v>0</v>
      </c>
    </row>
    <row r="35" spans="1:10" ht="19.95" hidden="1" customHeight="1" x14ac:dyDescent="0.3">
      <c r="A35" s="106"/>
      <c r="B35" s="106"/>
      <c r="C35" s="99"/>
      <c r="D35" s="99"/>
      <c r="E35" s="109"/>
      <c r="F35" s="109"/>
      <c r="G35" s="106"/>
      <c r="H35" s="124"/>
      <c r="I35" s="108"/>
      <c r="J35" s="124">
        <f t="shared" si="1"/>
        <v>0</v>
      </c>
    </row>
    <row r="36" spans="1:10" ht="19.95" hidden="1" customHeight="1" x14ac:dyDescent="0.3">
      <c r="A36" s="106"/>
      <c r="B36" s="106"/>
      <c r="C36" s="99"/>
      <c r="D36" s="99"/>
      <c r="E36" s="109"/>
      <c r="F36" s="109"/>
      <c r="G36" s="106"/>
      <c r="H36" s="124"/>
      <c r="I36" s="108"/>
      <c r="J36" s="124">
        <f t="shared" si="1"/>
        <v>0</v>
      </c>
    </row>
    <row r="37" spans="1:10" ht="19.95" hidden="1" customHeight="1" x14ac:dyDescent="0.3">
      <c r="A37" s="106"/>
      <c r="B37" s="106"/>
      <c r="C37" s="99"/>
      <c r="D37" s="99"/>
      <c r="E37" s="109"/>
      <c r="F37" s="109"/>
      <c r="G37" s="106"/>
      <c r="H37" s="124"/>
      <c r="I37" s="108"/>
      <c r="J37" s="124">
        <f t="shared" si="1"/>
        <v>0</v>
      </c>
    </row>
    <row r="38" spans="1:10" ht="19.95" hidden="1" customHeight="1" x14ac:dyDescent="0.3">
      <c r="A38" s="106"/>
      <c r="B38" s="106"/>
      <c r="C38" s="99"/>
      <c r="D38" s="99"/>
      <c r="E38" s="109"/>
      <c r="F38" s="109"/>
      <c r="G38" s="106"/>
      <c r="H38" s="124"/>
      <c r="I38" s="108"/>
      <c r="J38" s="124">
        <f t="shared" si="1"/>
        <v>0</v>
      </c>
    </row>
    <row r="39" spans="1:10" ht="19.95" hidden="1" customHeight="1" x14ac:dyDescent="0.3">
      <c r="A39" s="106"/>
      <c r="B39" s="106"/>
      <c r="C39" s="99"/>
      <c r="D39" s="99"/>
      <c r="E39" s="109"/>
      <c r="F39" s="109"/>
      <c r="G39" s="106"/>
      <c r="H39" s="124"/>
      <c r="I39" s="108"/>
      <c r="J39" s="124">
        <f t="shared" si="1"/>
        <v>0</v>
      </c>
    </row>
    <row r="40" spans="1:10" ht="19.95" customHeight="1" x14ac:dyDescent="0.3">
      <c r="A40" s="106"/>
      <c r="B40" s="106"/>
      <c r="C40" s="99"/>
      <c r="D40" s="99"/>
      <c r="E40" s="109"/>
      <c r="F40" s="109"/>
      <c r="G40" s="106"/>
      <c r="H40" s="124"/>
      <c r="I40" s="19"/>
      <c r="J40" s="124">
        <f t="shared" si="1"/>
        <v>0</v>
      </c>
    </row>
    <row r="41" spans="1:10" ht="19.95" customHeight="1" x14ac:dyDescent="0.3">
      <c r="A41" s="14"/>
      <c r="B41" s="14"/>
      <c r="C41" s="14"/>
      <c r="D41" s="14"/>
      <c r="E41" s="15"/>
      <c r="F41" s="14"/>
      <c r="G41" s="16"/>
      <c r="H41" s="124">
        <f>SUM(H33:H40)</f>
        <v>0</v>
      </c>
      <c r="I41" s="108">
        <f>SUM(I33:I40)</f>
        <v>0</v>
      </c>
      <c r="J41" s="124">
        <f>SUM(J25:J40)</f>
        <v>3800</v>
      </c>
    </row>
    <row r="43" spans="1:10" ht="23.4" x14ac:dyDescent="0.3">
      <c r="A43" s="180" t="s">
        <v>62</v>
      </c>
      <c r="B43" s="180"/>
      <c r="C43" s="180"/>
      <c r="D43" s="180"/>
      <c r="E43" s="180"/>
      <c r="F43" s="180"/>
      <c r="G43" s="180"/>
      <c r="H43" s="180"/>
      <c r="I43" s="180"/>
      <c r="J43" s="180"/>
    </row>
  </sheetData>
  <mergeCells count="5">
    <mergeCell ref="I1:J1"/>
    <mergeCell ref="A2:J2"/>
    <mergeCell ref="A3:J3"/>
    <mergeCell ref="A23:J23"/>
    <mergeCell ref="A43:J4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4" orientation="landscape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topLeftCell="A4" zoomScale="85" zoomScaleNormal="85" workbookViewId="0">
      <selection activeCell="E12" sqref="E12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88.332031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45957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26">
        <v>250046</v>
      </c>
      <c r="B5" s="126">
        <v>304</v>
      </c>
      <c r="C5" s="127">
        <v>0.7</v>
      </c>
      <c r="D5" s="127" t="s">
        <v>9</v>
      </c>
      <c r="E5" s="125" t="s">
        <v>187</v>
      </c>
      <c r="F5" s="126" t="s">
        <v>27</v>
      </c>
      <c r="G5" s="126">
        <v>304</v>
      </c>
      <c r="H5" s="128">
        <v>950</v>
      </c>
      <c r="I5" s="108"/>
      <c r="J5" s="124">
        <f>H5-I5</f>
        <v>950</v>
      </c>
    </row>
    <row r="6" spans="1:10" ht="19.95" customHeight="1" x14ac:dyDescent="0.3">
      <c r="A6" s="126">
        <v>250048</v>
      </c>
      <c r="B6" s="126">
        <v>304</v>
      </c>
      <c r="C6" s="127">
        <v>0.7</v>
      </c>
      <c r="D6" s="127" t="s">
        <v>9</v>
      </c>
      <c r="E6" s="125" t="s">
        <v>201</v>
      </c>
      <c r="F6" s="126" t="s">
        <v>27</v>
      </c>
      <c r="G6" s="126">
        <v>304</v>
      </c>
      <c r="H6" s="128">
        <v>570</v>
      </c>
      <c r="I6" s="108">
        <v>570</v>
      </c>
      <c r="J6" s="124">
        <f t="shared" ref="J6:J20" si="0">H6-I6</f>
        <v>0</v>
      </c>
    </row>
    <row r="7" spans="1:10" ht="19.95" customHeight="1" x14ac:dyDescent="0.3">
      <c r="A7" s="126">
        <v>250046</v>
      </c>
      <c r="B7" s="126">
        <v>304</v>
      </c>
      <c r="C7" s="127">
        <v>0.7</v>
      </c>
      <c r="D7" s="127" t="s">
        <v>9</v>
      </c>
      <c r="E7" s="125" t="s">
        <v>200</v>
      </c>
      <c r="F7" s="126" t="s">
        <v>27</v>
      </c>
      <c r="G7" s="126">
        <v>304</v>
      </c>
      <c r="H7" s="128">
        <v>50</v>
      </c>
      <c r="I7" s="108"/>
      <c r="J7" s="124">
        <f t="shared" si="0"/>
        <v>50</v>
      </c>
    </row>
    <row r="8" spans="1:10" ht="19.95" customHeight="1" x14ac:dyDescent="0.3">
      <c r="A8" s="106"/>
      <c r="B8" s="106"/>
      <c r="C8" s="99"/>
      <c r="D8" s="130" t="s">
        <v>180</v>
      </c>
      <c r="E8" s="129" t="s">
        <v>193</v>
      </c>
      <c r="F8" s="106"/>
      <c r="G8" s="106"/>
      <c r="H8" s="124"/>
      <c r="I8" s="108"/>
      <c r="J8" s="124">
        <f t="shared" si="0"/>
        <v>0</v>
      </c>
    </row>
    <row r="9" spans="1:10" ht="19.95" customHeight="1" x14ac:dyDescent="0.3">
      <c r="A9" s="126">
        <v>250046</v>
      </c>
      <c r="B9" s="126">
        <v>304</v>
      </c>
      <c r="C9" s="127" t="s">
        <v>174</v>
      </c>
      <c r="D9" s="127" t="s">
        <v>9</v>
      </c>
      <c r="E9" s="125" t="s">
        <v>190</v>
      </c>
      <c r="F9" s="126" t="s">
        <v>27</v>
      </c>
      <c r="G9" s="126">
        <v>304</v>
      </c>
      <c r="H9" s="128">
        <v>20</v>
      </c>
      <c r="I9" s="108"/>
      <c r="J9" s="124">
        <f t="shared" si="0"/>
        <v>20</v>
      </c>
    </row>
    <row r="10" spans="1:10" ht="19.95" customHeight="1" x14ac:dyDescent="0.3">
      <c r="A10" s="126">
        <v>250048</v>
      </c>
      <c r="B10" s="126">
        <v>304</v>
      </c>
      <c r="C10" s="127" t="s">
        <v>174</v>
      </c>
      <c r="D10" s="127" t="s">
        <v>9</v>
      </c>
      <c r="E10" s="125" t="s">
        <v>202</v>
      </c>
      <c r="F10" s="126" t="s">
        <v>27</v>
      </c>
      <c r="G10" s="126">
        <v>304</v>
      </c>
      <c r="H10" s="128">
        <v>15</v>
      </c>
      <c r="I10" s="108">
        <v>15</v>
      </c>
      <c r="J10" s="124">
        <f t="shared" si="0"/>
        <v>0</v>
      </c>
    </row>
    <row r="11" spans="1:10" ht="19.95" customHeight="1" x14ac:dyDescent="0.3">
      <c r="A11" s="126">
        <v>250046</v>
      </c>
      <c r="B11" s="126">
        <v>304</v>
      </c>
      <c r="C11" s="127" t="s">
        <v>174</v>
      </c>
      <c r="D11" s="127" t="s">
        <v>9</v>
      </c>
      <c r="E11" s="125" t="s">
        <v>203</v>
      </c>
      <c r="F11" s="126" t="s">
        <v>27</v>
      </c>
      <c r="G11" s="126">
        <v>304</v>
      </c>
      <c r="H11" s="128">
        <v>15</v>
      </c>
      <c r="I11" s="108"/>
      <c r="J11" s="124">
        <f t="shared" si="0"/>
        <v>15</v>
      </c>
    </row>
    <row r="12" spans="1:10" ht="19.95" customHeight="1" x14ac:dyDescent="0.3">
      <c r="A12" s="106"/>
      <c r="B12" s="106"/>
      <c r="C12" s="99"/>
      <c r="D12" s="104"/>
      <c r="E12" s="109"/>
      <c r="F12" s="109"/>
      <c r="G12" s="106"/>
      <c r="H12" s="124"/>
      <c r="I12" s="108"/>
      <c r="J12" s="124">
        <f t="shared" si="0"/>
        <v>0</v>
      </c>
    </row>
    <row r="13" spans="1:10" ht="19.95" customHeight="1" x14ac:dyDescent="0.3">
      <c r="A13" s="126">
        <v>250048</v>
      </c>
      <c r="B13" s="126">
        <v>304</v>
      </c>
      <c r="C13" s="127">
        <v>0.7</v>
      </c>
      <c r="D13" s="127" t="s">
        <v>9</v>
      </c>
      <c r="E13" s="125" t="s">
        <v>207</v>
      </c>
      <c r="F13" s="126" t="s">
        <v>27</v>
      </c>
      <c r="G13" s="126">
        <v>304</v>
      </c>
      <c r="H13" s="128">
        <v>570</v>
      </c>
      <c r="I13" s="108">
        <v>585</v>
      </c>
      <c r="J13" s="124">
        <f t="shared" si="0"/>
        <v>-15</v>
      </c>
    </row>
    <row r="14" spans="1:10" ht="19.95" customHeight="1" x14ac:dyDescent="0.3">
      <c r="A14" s="126">
        <v>250048</v>
      </c>
      <c r="B14" s="126">
        <v>304</v>
      </c>
      <c r="C14" s="127" t="s">
        <v>174</v>
      </c>
      <c r="D14" s="127" t="s">
        <v>9</v>
      </c>
      <c r="E14" s="125" t="s">
        <v>199</v>
      </c>
      <c r="F14" s="126" t="s">
        <v>27</v>
      </c>
      <c r="G14" s="126">
        <v>304</v>
      </c>
      <c r="H14" s="128">
        <v>15</v>
      </c>
      <c r="I14" s="108">
        <v>15</v>
      </c>
      <c r="J14" s="124">
        <f t="shared" si="0"/>
        <v>0</v>
      </c>
    </row>
    <row r="15" spans="1:10" ht="19.95" customHeight="1" x14ac:dyDescent="0.3">
      <c r="A15" s="126"/>
      <c r="B15" s="126"/>
      <c r="C15" s="127"/>
      <c r="D15" s="127"/>
      <c r="E15" s="125"/>
      <c r="F15" s="126"/>
      <c r="G15" s="126"/>
      <c r="H15" s="128"/>
      <c r="I15" s="108"/>
      <c r="J15" s="124">
        <f t="shared" si="0"/>
        <v>0</v>
      </c>
    </row>
    <row r="16" spans="1:10" ht="19.95" customHeight="1" x14ac:dyDescent="0.3">
      <c r="A16" s="126">
        <v>250046</v>
      </c>
      <c r="B16" s="126">
        <v>304</v>
      </c>
      <c r="C16" s="127">
        <v>0.7</v>
      </c>
      <c r="D16" s="127" t="s">
        <v>9</v>
      </c>
      <c r="E16" s="125" t="s">
        <v>204</v>
      </c>
      <c r="F16" s="126" t="s">
        <v>27</v>
      </c>
      <c r="G16" s="126">
        <v>304</v>
      </c>
      <c r="H16" s="128">
        <v>950</v>
      </c>
      <c r="I16" s="19">
        <v>950</v>
      </c>
      <c r="J16" s="124">
        <f t="shared" si="0"/>
        <v>0</v>
      </c>
    </row>
    <row r="17" spans="1:10" ht="19.95" customHeight="1" x14ac:dyDescent="0.3">
      <c r="A17" s="126">
        <v>250048</v>
      </c>
      <c r="B17" s="126">
        <v>304</v>
      </c>
      <c r="C17" s="127">
        <v>0.7</v>
      </c>
      <c r="D17" s="127" t="s">
        <v>9</v>
      </c>
      <c r="E17" s="125" t="s">
        <v>205</v>
      </c>
      <c r="F17" s="126" t="s">
        <v>27</v>
      </c>
      <c r="G17" s="126">
        <v>304</v>
      </c>
      <c r="H17" s="128">
        <v>570</v>
      </c>
      <c r="I17" s="19">
        <v>280</v>
      </c>
      <c r="J17" s="124">
        <f t="shared" si="0"/>
        <v>290</v>
      </c>
    </row>
    <row r="18" spans="1:10" ht="19.95" customHeight="1" x14ac:dyDescent="0.3">
      <c r="A18" s="126"/>
      <c r="B18" s="126"/>
      <c r="C18" s="127"/>
      <c r="D18" s="127"/>
      <c r="E18" s="125"/>
      <c r="F18" s="126"/>
      <c r="G18" s="126"/>
      <c r="H18" s="128"/>
      <c r="I18" s="19"/>
      <c r="J18" s="124">
        <f t="shared" si="0"/>
        <v>0</v>
      </c>
    </row>
    <row r="19" spans="1:10" ht="19.95" customHeight="1" x14ac:dyDescent="0.3">
      <c r="A19" s="126">
        <v>250046</v>
      </c>
      <c r="B19" s="126">
        <v>304</v>
      </c>
      <c r="C19" s="127" t="s">
        <v>174</v>
      </c>
      <c r="D19" s="127" t="s">
        <v>9</v>
      </c>
      <c r="E19" s="125" t="s">
        <v>208</v>
      </c>
      <c r="F19" s="126" t="s">
        <v>27</v>
      </c>
      <c r="G19" s="126">
        <v>304</v>
      </c>
      <c r="H19" s="128">
        <v>20</v>
      </c>
      <c r="I19" s="19">
        <v>20</v>
      </c>
      <c r="J19" s="124">
        <f t="shared" si="0"/>
        <v>0</v>
      </c>
    </row>
    <row r="20" spans="1:10" ht="19.95" customHeight="1" x14ac:dyDescent="0.3">
      <c r="A20" s="126">
        <v>250048</v>
      </c>
      <c r="B20" s="126">
        <v>304</v>
      </c>
      <c r="C20" s="127" t="s">
        <v>174</v>
      </c>
      <c r="D20" s="127" t="s">
        <v>9</v>
      </c>
      <c r="E20" s="125" t="s">
        <v>206</v>
      </c>
      <c r="F20" s="126" t="s">
        <v>27</v>
      </c>
      <c r="G20" s="126">
        <v>304</v>
      </c>
      <c r="H20" s="128">
        <v>15</v>
      </c>
      <c r="I20" s="19"/>
      <c r="J20" s="124">
        <f t="shared" si="0"/>
        <v>15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SUM(H5:H20)</f>
        <v>3760</v>
      </c>
      <c r="I21" s="19">
        <f>SUM(I5:I16)</f>
        <v>2135</v>
      </c>
      <c r="J21" s="124">
        <f>SUM(J5:J20)</f>
        <v>1325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06" t="s">
        <v>65</v>
      </c>
      <c r="B24" s="106" t="s">
        <v>66</v>
      </c>
      <c r="C24" s="96" t="s">
        <v>67</v>
      </c>
      <c r="D24" s="96" t="s">
        <v>68</v>
      </c>
      <c r="E24" s="106" t="s">
        <v>69</v>
      </c>
      <c r="F24" s="96" t="s">
        <v>70</v>
      </c>
      <c r="G24" s="96" t="s">
        <v>71</v>
      </c>
      <c r="H24" s="106" t="s">
        <v>72</v>
      </c>
      <c r="I24" s="106" t="s">
        <v>73</v>
      </c>
      <c r="J24" s="106" t="s">
        <v>74</v>
      </c>
    </row>
    <row r="25" spans="1:10" ht="30" customHeight="1" x14ac:dyDescent="0.3">
      <c r="A25" s="106">
        <v>250042</v>
      </c>
      <c r="B25" s="106">
        <v>304</v>
      </c>
      <c r="C25" s="99">
        <v>0.9</v>
      </c>
      <c r="D25" s="99" t="s">
        <v>21</v>
      </c>
      <c r="E25" s="109" t="s">
        <v>181</v>
      </c>
      <c r="F25" s="106" t="s">
        <v>185</v>
      </c>
      <c r="G25" s="106">
        <v>304</v>
      </c>
      <c r="H25" s="124">
        <v>750</v>
      </c>
      <c r="I25" s="106"/>
      <c r="J25" s="124">
        <f>H25-I25</f>
        <v>750</v>
      </c>
    </row>
    <row r="26" spans="1:10" ht="30" customHeight="1" x14ac:dyDescent="0.3">
      <c r="A26" s="126">
        <v>160925</v>
      </c>
      <c r="B26" s="126">
        <v>304</v>
      </c>
      <c r="C26" s="127">
        <v>0.9</v>
      </c>
      <c r="D26" s="127" t="s">
        <v>21</v>
      </c>
      <c r="E26" s="125" t="s">
        <v>182</v>
      </c>
      <c r="F26" s="106" t="s">
        <v>185</v>
      </c>
      <c r="G26" s="126">
        <v>430</v>
      </c>
      <c r="H26" s="128">
        <v>1100</v>
      </c>
      <c r="I26" s="106"/>
      <c r="J26" s="124">
        <f t="shared" ref="J26:J40" si="1">H26-I26</f>
        <v>1100</v>
      </c>
    </row>
    <row r="27" spans="1:10" ht="30" customHeight="1" x14ac:dyDescent="0.3">
      <c r="A27" s="106">
        <v>250042</v>
      </c>
      <c r="B27" s="106">
        <v>304</v>
      </c>
      <c r="C27" s="99">
        <v>0.9</v>
      </c>
      <c r="D27" s="99" t="s">
        <v>21</v>
      </c>
      <c r="E27" s="109" t="s">
        <v>183</v>
      </c>
      <c r="F27" s="106" t="s">
        <v>185</v>
      </c>
      <c r="G27" s="106">
        <v>304</v>
      </c>
      <c r="H27" s="124">
        <v>750</v>
      </c>
      <c r="I27" s="106"/>
      <c r="J27" s="124">
        <f t="shared" si="1"/>
        <v>750</v>
      </c>
    </row>
    <row r="28" spans="1:10" ht="30" customHeight="1" x14ac:dyDescent="0.3">
      <c r="A28" s="106">
        <v>250049</v>
      </c>
      <c r="B28" s="106">
        <v>304</v>
      </c>
      <c r="C28" s="99">
        <v>0.9</v>
      </c>
      <c r="D28" s="99" t="s">
        <v>21</v>
      </c>
      <c r="E28" s="109" t="s">
        <v>184</v>
      </c>
      <c r="F28" s="106" t="s">
        <v>185</v>
      </c>
      <c r="G28" s="106">
        <v>430</v>
      </c>
      <c r="H28" s="124">
        <v>450</v>
      </c>
      <c r="I28" s="106"/>
      <c r="J28" s="124">
        <f t="shared" si="1"/>
        <v>450</v>
      </c>
    </row>
    <row r="29" spans="1:10" ht="30" customHeight="1" x14ac:dyDescent="0.3">
      <c r="A29" s="106">
        <v>250042</v>
      </c>
      <c r="B29" s="106">
        <v>304</v>
      </c>
      <c r="C29" s="99">
        <v>0.9</v>
      </c>
      <c r="D29" s="99" t="s">
        <v>21</v>
      </c>
      <c r="E29" s="109" t="s">
        <v>186</v>
      </c>
      <c r="F29" s="106" t="s">
        <v>185</v>
      </c>
      <c r="G29" s="106">
        <v>304</v>
      </c>
      <c r="H29" s="124">
        <v>750</v>
      </c>
      <c r="I29" s="106"/>
      <c r="J29" s="124">
        <f t="shared" si="1"/>
        <v>750</v>
      </c>
    </row>
    <row r="30" spans="1:10" ht="30" customHeight="1" x14ac:dyDescent="0.3">
      <c r="A30" s="106"/>
      <c r="B30" s="106"/>
      <c r="C30" s="96"/>
      <c r="D30" s="96"/>
      <c r="E30" s="109"/>
      <c r="F30" s="96"/>
      <c r="G30" s="96"/>
      <c r="H30" s="106"/>
      <c r="I30" s="106"/>
      <c r="J30" s="124">
        <f t="shared" si="1"/>
        <v>0</v>
      </c>
    </row>
    <row r="31" spans="1:10" ht="30" customHeight="1" x14ac:dyDescent="0.3">
      <c r="A31" s="106"/>
      <c r="B31" s="106"/>
      <c r="C31" s="96"/>
      <c r="D31" s="114" t="s">
        <v>180</v>
      </c>
      <c r="E31" s="109" t="s">
        <v>171</v>
      </c>
      <c r="F31" s="96"/>
      <c r="G31" s="96"/>
      <c r="H31" s="106"/>
      <c r="I31" s="106"/>
      <c r="J31" s="124">
        <f t="shared" si="1"/>
        <v>0</v>
      </c>
    </row>
    <row r="32" spans="1:10" ht="30" customHeight="1" x14ac:dyDescent="0.3">
      <c r="A32" s="106"/>
      <c r="B32" s="106"/>
      <c r="C32" s="96"/>
      <c r="D32" s="114" t="s">
        <v>180</v>
      </c>
      <c r="E32" s="109" t="s">
        <v>179</v>
      </c>
      <c r="F32" s="96"/>
      <c r="G32" s="96"/>
      <c r="H32" s="106"/>
      <c r="I32" s="106"/>
      <c r="J32" s="124">
        <f t="shared" si="1"/>
        <v>0</v>
      </c>
    </row>
    <row r="33" spans="1:10" ht="24" customHeight="1" x14ac:dyDescent="0.3">
      <c r="A33" s="106"/>
      <c r="B33" s="106"/>
      <c r="C33" s="99"/>
      <c r="D33" s="104" t="s">
        <v>180</v>
      </c>
      <c r="E33" s="109" t="s">
        <v>177</v>
      </c>
      <c r="F33" s="106"/>
      <c r="G33" s="106"/>
      <c r="H33" s="124"/>
      <c r="I33" s="108"/>
      <c r="J33" s="124">
        <f t="shared" si="1"/>
        <v>0</v>
      </c>
    </row>
    <row r="34" spans="1:10" ht="19.95" hidden="1" customHeight="1" x14ac:dyDescent="0.3">
      <c r="A34" s="106"/>
      <c r="B34" s="106"/>
      <c r="C34" s="99"/>
      <c r="D34" s="99"/>
      <c r="E34" s="109"/>
      <c r="F34" s="106"/>
      <c r="G34" s="106"/>
      <c r="H34" s="124"/>
      <c r="I34" s="108"/>
      <c r="J34" s="124">
        <f t="shared" si="1"/>
        <v>0</v>
      </c>
    </row>
    <row r="35" spans="1:10" ht="19.95" hidden="1" customHeight="1" x14ac:dyDescent="0.3">
      <c r="A35" s="106"/>
      <c r="B35" s="106"/>
      <c r="C35" s="99"/>
      <c r="D35" s="99"/>
      <c r="E35" s="109"/>
      <c r="F35" s="109"/>
      <c r="G35" s="106"/>
      <c r="H35" s="124"/>
      <c r="I35" s="108"/>
      <c r="J35" s="124">
        <f t="shared" si="1"/>
        <v>0</v>
      </c>
    </row>
    <row r="36" spans="1:10" ht="19.95" hidden="1" customHeight="1" x14ac:dyDescent="0.3">
      <c r="A36" s="106"/>
      <c r="B36" s="106"/>
      <c r="C36" s="99"/>
      <c r="D36" s="99"/>
      <c r="E36" s="109"/>
      <c r="F36" s="109"/>
      <c r="G36" s="106"/>
      <c r="H36" s="124"/>
      <c r="I36" s="108"/>
      <c r="J36" s="124">
        <f t="shared" si="1"/>
        <v>0</v>
      </c>
    </row>
    <row r="37" spans="1:10" ht="19.95" hidden="1" customHeight="1" x14ac:dyDescent="0.3">
      <c r="A37" s="106"/>
      <c r="B37" s="106"/>
      <c r="C37" s="99"/>
      <c r="D37" s="99"/>
      <c r="E37" s="109"/>
      <c r="F37" s="109"/>
      <c r="G37" s="106"/>
      <c r="H37" s="124"/>
      <c r="I37" s="108"/>
      <c r="J37" s="124">
        <f t="shared" si="1"/>
        <v>0</v>
      </c>
    </row>
    <row r="38" spans="1:10" ht="19.95" hidden="1" customHeight="1" x14ac:dyDescent="0.3">
      <c r="A38" s="106"/>
      <c r="B38" s="106"/>
      <c r="C38" s="99"/>
      <c r="D38" s="99"/>
      <c r="E38" s="109"/>
      <c r="F38" s="109"/>
      <c r="G38" s="106"/>
      <c r="H38" s="124"/>
      <c r="I38" s="108"/>
      <c r="J38" s="124">
        <f t="shared" si="1"/>
        <v>0</v>
      </c>
    </row>
    <row r="39" spans="1:10" ht="19.95" hidden="1" customHeight="1" x14ac:dyDescent="0.3">
      <c r="A39" s="106"/>
      <c r="B39" s="106"/>
      <c r="C39" s="99"/>
      <c r="D39" s="99"/>
      <c r="E39" s="109"/>
      <c r="F39" s="109"/>
      <c r="G39" s="106"/>
      <c r="H39" s="124"/>
      <c r="I39" s="108"/>
      <c r="J39" s="124">
        <f t="shared" si="1"/>
        <v>0</v>
      </c>
    </row>
    <row r="40" spans="1:10" ht="19.95" customHeight="1" x14ac:dyDescent="0.3">
      <c r="A40" s="106"/>
      <c r="B40" s="106"/>
      <c r="C40" s="99"/>
      <c r="D40" s="99"/>
      <c r="E40" s="109"/>
      <c r="F40" s="109"/>
      <c r="G40" s="106"/>
      <c r="H40" s="124"/>
      <c r="I40" s="19"/>
      <c r="J40" s="124">
        <f t="shared" si="1"/>
        <v>0</v>
      </c>
    </row>
    <row r="41" spans="1:10" ht="19.95" customHeight="1" x14ac:dyDescent="0.3">
      <c r="A41" s="14"/>
      <c r="B41" s="14"/>
      <c r="C41" s="14"/>
      <c r="D41" s="14"/>
      <c r="E41" s="15"/>
      <c r="F41" s="14"/>
      <c r="G41" s="16"/>
      <c r="H41" s="124">
        <f>SUM(H33:H40)</f>
        <v>0</v>
      </c>
      <c r="I41" s="108">
        <f>SUM(I33:I40)</f>
        <v>0</v>
      </c>
      <c r="J41" s="124">
        <f>SUM(J25:J40)</f>
        <v>3800</v>
      </c>
    </row>
    <row r="43" spans="1:10" ht="23.4" x14ac:dyDescent="0.3">
      <c r="A43" s="180" t="s">
        <v>62</v>
      </c>
      <c r="B43" s="180"/>
      <c r="C43" s="180"/>
      <c r="D43" s="180"/>
      <c r="E43" s="180"/>
      <c r="F43" s="180"/>
      <c r="G43" s="180"/>
      <c r="H43" s="180"/>
      <c r="I43" s="180"/>
      <c r="J43" s="180"/>
    </row>
  </sheetData>
  <mergeCells count="5">
    <mergeCell ref="I1:J1"/>
    <mergeCell ref="A2:J2"/>
    <mergeCell ref="A3:J3"/>
    <mergeCell ref="A23:J23"/>
    <mergeCell ref="A43:J4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4" orientation="landscape" horizontalDpi="1200" verticalDpi="12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zoomScale="55" zoomScaleNormal="55" workbookViewId="0">
      <selection activeCell="I18" sqref="I18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3.66406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45958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38">
        <v>250046</v>
      </c>
      <c r="B5" s="138">
        <v>304</v>
      </c>
      <c r="C5" s="139">
        <v>0.7</v>
      </c>
      <c r="D5" s="139" t="s">
        <v>9</v>
      </c>
      <c r="E5" s="137" t="s">
        <v>200</v>
      </c>
      <c r="F5" s="138" t="s">
        <v>27</v>
      </c>
      <c r="G5" s="138">
        <v>304</v>
      </c>
      <c r="H5" s="140">
        <v>50</v>
      </c>
      <c r="I5" s="108">
        <v>50</v>
      </c>
      <c r="J5" s="124">
        <f>H5-I5</f>
        <v>0</v>
      </c>
    </row>
    <row r="6" spans="1:10" ht="19.95" customHeight="1" x14ac:dyDescent="0.3">
      <c r="A6" s="138"/>
      <c r="B6" s="138"/>
      <c r="C6" s="139"/>
      <c r="D6" s="130" t="s">
        <v>180</v>
      </c>
      <c r="E6" s="129" t="s">
        <v>193</v>
      </c>
      <c r="F6" s="138"/>
      <c r="G6" s="138"/>
      <c r="H6" s="140"/>
      <c r="I6" s="108"/>
      <c r="J6" s="124">
        <f t="shared" ref="J6:J26" si="0">H6-I6</f>
        <v>0</v>
      </c>
    </row>
    <row r="7" spans="1:10" ht="19.95" customHeight="1" x14ac:dyDescent="0.3">
      <c r="A7" s="138">
        <v>250046</v>
      </c>
      <c r="B7" s="138">
        <v>304</v>
      </c>
      <c r="C7" s="139" t="s">
        <v>174</v>
      </c>
      <c r="D7" s="139" t="s">
        <v>9</v>
      </c>
      <c r="E7" s="137" t="s">
        <v>203</v>
      </c>
      <c r="F7" s="138" t="s">
        <v>27</v>
      </c>
      <c r="G7" s="138">
        <v>304</v>
      </c>
      <c r="H7" s="140">
        <v>20</v>
      </c>
      <c r="I7" s="108">
        <v>20</v>
      </c>
      <c r="J7" s="124">
        <f t="shared" si="0"/>
        <v>0</v>
      </c>
    </row>
    <row r="8" spans="1:10" ht="19.95" customHeight="1" x14ac:dyDescent="0.3">
      <c r="A8" s="138"/>
      <c r="B8" s="138"/>
      <c r="C8" s="139"/>
      <c r="D8" s="139"/>
      <c r="E8" s="137"/>
      <c r="F8" s="138"/>
      <c r="G8" s="138"/>
      <c r="H8" s="140"/>
      <c r="I8" s="108"/>
      <c r="J8" s="124">
        <f t="shared" si="0"/>
        <v>0</v>
      </c>
    </row>
    <row r="9" spans="1:10" ht="19.95" customHeight="1" x14ac:dyDescent="0.3">
      <c r="A9" s="138">
        <v>250046</v>
      </c>
      <c r="B9" s="138">
        <v>304</v>
      </c>
      <c r="C9" s="139">
        <v>0.7</v>
      </c>
      <c r="D9" s="139" t="s">
        <v>9</v>
      </c>
      <c r="E9" s="137" t="s">
        <v>204</v>
      </c>
      <c r="F9" s="138" t="s">
        <v>27</v>
      </c>
      <c r="G9" s="138">
        <v>304</v>
      </c>
      <c r="H9" s="140">
        <v>950</v>
      </c>
      <c r="I9" s="19">
        <v>950</v>
      </c>
      <c r="J9" s="124">
        <f t="shared" si="0"/>
        <v>0</v>
      </c>
    </row>
    <row r="10" spans="1:10" ht="19.95" customHeight="1" x14ac:dyDescent="0.3">
      <c r="A10" s="138">
        <v>250048</v>
      </c>
      <c r="B10" s="138">
        <v>304</v>
      </c>
      <c r="C10" s="139">
        <v>0.7</v>
      </c>
      <c r="D10" s="139" t="s">
        <v>9</v>
      </c>
      <c r="E10" s="137" t="s">
        <v>205</v>
      </c>
      <c r="F10" s="138" t="s">
        <v>27</v>
      </c>
      <c r="G10" s="138">
        <v>304</v>
      </c>
      <c r="H10" s="140">
        <v>570</v>
      </c>
      <c r="I10" s="19">
        <f>375+280</f>
        <v>655</v>
      </c>
      <c r="J10" s="124">
        <f t="shared" si="0"/>
        <v>-85</v>
      </c>
    </row>
    <row r="11" spans="1:10" ht="19.95" customHeight="1" x14ac:dyDescent="0.3">
      <c r="A11" s="126"/>
      <c r="B11" s="126"/>
      <c r="C11" s="127"/>
      <c r="D11" s="127"/>
      <c r="E11" s="125"/>
      <c r="F11" s="126"/>
      <c r="G11" s="126"/>
      <c r="H11" s="128"/>
      <c r="I11" s="19"/>
      <c r="J11" s="124">
        <f t="shared" si="0"/>
        <v>0</v>
      </c>
    </row>
    <row r="12" spans="1:10" ht="19.95" customHeight="1" x14ac:dyDescent="0.3">
      <c r="A12" s="138">
        <v>250046</v>
      </c>
      <c r="B12" s="138">
        <v>304</v>
      </c>
      <c r="C12" s="139" t="s">
        <v>174</v>
      </c>
      <c r="D12" s="139" t="s">
        <v>9</v>
      </c>
      <c r="E12" s="137" t="s">
        <v>208</v>
      </c>
      <c r="F12" s="138" t="s">
        <v>27</v>
      </c>
      <c r="G12" s="138">
        <v>304</v>
      </c>
      <c r="H12" s="140">
        <v>20</v>
      </c>
      <c r="I12" s="19">
        <v>20</v>
      </c>
      <c r="J12" s="124">
        <f t="shared" si="0"/>
        <v>0</v>
      </c>
    </row>
    <row r="13" spans="1:10" ht="19.95" customHeight="1" x14ac:dyDescent="0.3">
      <c r="A13" s="138">
        <v>250048</v>
      </c>
      <c r="B13" s="138">
        <v>304</v>
      </c>
      <c r="C13" s="139" t="s">
        <v>174</v>
      </c>
      <c r="D13" s="139" t="s">
        <v>9</v>
      </c>
      <c r="E13" s="137" t="s">
        <v>206</v>
      </c>
      <c r="F13" s="138" t="s">
        <v>27</v>
      </c>
      <c r="G13" s="138">
        <v>304</v>
      </c>
      <c r="H13" s="140">
        <v>15</v>
      </c>
      <c r="I13" s="19">
        <v>15</v>
      </c>
      <c r="J13" s="124">
        <f t="shared" si="0"/>
        <v>0</v>
      </c>
    </row>
    <row r="14" spans="1:10" ht="19.95" customHeight="1" x14ac:dyDescent="0.3">
      <c r="A14" s="126"/>
      <c r="B14" s="126"/>
      <c r="C14" s="127"/>
      <c r="D14" s="127"/>
      <c r="E14" s="125"/>
      <c r="F14" s="126"/>
      <c r="G14" s="126"/>
      <c r="H14" s="128"/>
      <c r="I14" s="19"/>
      <c r="J14" s="124">
        <f t="shared" si="0"/>
        <v>0</v>
      </c>
    </row>
    <row r="15" spans="1:10" ht="19.95" customHeight="1" x14ac:dyDescent="0.3">
      <c r="A15" s="138">
        <v>250046</v>
      </c>
      <c r="B15" s="138">
        <v>304</v>
      </c>
      <c r="C15" s="139">
        <v>0.7</v>
      </c>
      <c r="D15" s="139" t="s">
        <v>9</v>
      </c>
      <c r="E15" s="137" t="s">
        <v>209</v>
      </c>
      <c r="F15" s="138" t="s">
        <v>27</v>
      </c>
      <c r="G15" s="138">
        <v>304</v>
      </c>
      <c r="H15" s="140">
        <v>950</v>
      </c>
      <c r="I15" s="19">
        <v>1040</v>
      </c>
      <c r="J15" s="124">
        <f t="shared" si="0"/>
        <v>-90</v>
      </c>
    </row>
    <row r="16" spans="1:10" ht="19.95" customHeight="1" x14ac:dyDescent="0.3">
      <c r="A16" s="138">
        <v>250048</v>
      </c>
      <c r="B16" s="138">
        <v>304</v>
      </c>
      <c r="C16" s="139">
        <v>0.7</v>
      </c>
      <c r="D16" s="139" t="s">
        <v>9</v>
      </c>
      <c r="E16" s="137" t="s">
        <v>210</v>
      </c>
      <c r="F16" s="138" t="s">
        <v>27</v>
      </c>
      <c r="G16" s="138">
        <v>304</v>
      </c>
      <c r="H16" s="140">
        <v>570</v>
      </c>
      <c r="I16" s="19">
        <v>630</v>
      </c>
      <c r="J16" s="124">
        <f t="shared" si="0"/>
        <v>-60</v>
      </c>
    </row>
    <row r="17" spans="1:10" ht="19.95" customHeight="1" x14ac:dyDescent="0.3">
      <c r="A17" s="138">
        <v>250048</v>
      </c>
      <c r="B17" s="138">
        <v>304</v>
      </c>
      <c r="C17" s="139">
        <v>0.7</v>
      </c>
      <c r="D17" s="139" t="s">
        <v>9</v>
      </c>
      <c r="E17" s="137" t="s">
        <v>211</v>
      </c>
      <c r="F17" s="138" t="s">
        <v>27</v>
      </c>
      <c r="G17" s="138">
        <v>304</v>
      </c>
      <c r="H17" s="140">
        <v>570</v>
      </c>
      <c r="I17" s="19">
        <v>300</v>
      </c>
      <c r="J17" s="124">
        <f t="shared" si="0"/>
        <v>270</v>
      </c>
    </row>
    <row r="18" spans="1:10" ht="19.95" customHeight="1" x14ac:dyDescent="0.3">
      <c r="A18" s="134"/>
      <c r="B18" s="134"/>
      <c r="C18" s="135"/>
      <c r="D18" s="135"/>
      <c r="E18" s="133"/>
      <c r="F18" s="138"/>
      <c r="G18" s="134"/>
      <c r="H18" s="136"/>
      <c r="I18" s="19"/>
      <c r="J18" s="124">
        <f t="shared" si="0"/>
        <v>0</v>
      </c>
    </row>
    <row r="19" spans="1:10" ht="19.95" customHeight="1" x14ac:dyDescent="0.3">
      <c r="A19" s="106">
        <v>250055</v>
      </c>
      <c r="B19" s="106">
        <v>304</v>
      </c>
      <c r="C19" s="99">
        <v>0.7</v>
      </c>
      <c r="D19" s="99" t="s">
        <v>12</v>
      </c>
      <c r="E19" s="109" t="s">
        <v>212</v>
      </c>
      <c r="F19" s="106" t="s">
        <v>28</v>
      </c>
      <c r="G19" s="106">
        <v>304</v>
      </c>
      <c r="H19" s="124">
        <v>830</v>
      </c>
      <c r="I19" s="19"/>
      <c r="J19" s="124">
        <f t="shared" si="0"/>
        <v>830</v>
      </c>
    </row>
    <row r="20" spans="1:10" ht="19.95" customHeight="1" x14ac:dyDescent="0.3">
      <c r="A20" s="106">
        <v>250061</v>
      </c>
      <c r="B20" s="106">
        <v>304</v>
      </c>
      <c r="C20" s="99">
        <v>0.7</v>
      </c>
      <c r="D20" s="99" t="s">
        <v>12</v>
      </c>
      <c r="E20" s="109" t="s">
        <v>213</v>
      </c>
      <c r="F20" s="106" t="s">
        <v>28</v>
      </c>
      <c r="G20" s="106">
        <v>304</v>
      </c>
      <c r="H20" s="124">
        <v>540</v>
      </c>
      <c r="I20" s="19"/>
      <c r="J20" s="124">
        <f t="shared" si="0"/>
        <v>540</v>
      </c>
    </row>
    <row r="21" spans="1:10" ht="19.95" customHeight="1" x14ac:dyDescent="0.3">
      <c r="A21" s="106">
        <v>250057</v>
      </c>
      <c r="B21" s="106">
        <v>304</v>
      </c>
      <c r="C21" s="99">
        <v>0.7</v>
      </c>
      <c r="D21" s="99" t="s">
        <v>12</v>
      </c>
      <c r="E21" s="109" t="s">
        <v>214</v>
      </c>
      <c r="F21" s="106" t="s">
        <v>28</v>
      </c>
      <c r="G21" s="106">
        <v>304</v>
      </c>
      <c r="H21" s="124">
        <v>410</v>
      </c>
      <c r="I21" s="19"/>
      <c r="J21" s="124">
        <f t="shared" si="0"/>
        <v>410</v>
      </c>
    </row>
    <row r="22" spans="1:10" ht="19.95" customHeight="1" x14ac:dyDescent="0.3">
      <c r="A22" s="106">
        <v>250052</v>
      </c>
      <c r="B22" s="106">
        <v>304</v>
      </c>
      <c r="C22" s="99">
        <v>0.7</v>
      </c>
      <c r="D22" s="99" t="s">
        <v>12</v>
      </c>
      <c r="E22" s="109" t="s">
        <v>215</v>
      </c>
      <c r="F22" s="106" t="s">
        <v>28</v>
      </c>
      <c r="G22" s="106">
        <v>304</v>
      </c>
      <c r="H22" s="124">
        <v>800</v>
      </c>
      <c r="I22" s="19"/>
      <c r="J22" s="124">
        <f t="shared" si="0"/>
        <v>800</v>
      </c>
    </row>
    <row r="23" spans="1:10" ht="19.95" customHeight="1" x14ac:dyDescent="0.3">
      <c r="A23" s="106"/>
      <c r="B23" s="106"/>
      <c r="C23" s="99"/>
      <c r="D23" s="99"/>
      <c r="E23" s="109"/>
      <c r="F23" s="106"/>
      <c r="G23" s="106"/>
      <c r="H23" s="124"/>
      <c r="I23" s="19"/>
      <c r="J23" s="124">
        <f t="shared" si="0"/>
        <v>0</v>
      </c>
    </row>
    <row r="24" spans="1:10" ht="19.95" customHeight="1" x14ac:dyDescent="0.3">
      <c r="A24" s="138"/>
      <c r="B24" s="138"/>
      <c r="C24" s="139"/>
      <c r="D24" s="139"/>
      <c r="E24" s="137"/>
      <c r="F24" s="138"/>
      <c r="G24" s="138"/>
      <c r="H24" s="140"/>
      <c r="I24" s="19"/>
      <c r="J24" s="124">
        <f t="shared" si="0"/>
        <v>0</v>
      </c>
    </row>
    <row r="25" spans="1:10" ht="19.95" customHeight="1" x14ac:dyDescent="0.3">
      <c r="A25" s="138"/>
      <c r="B25" s="138"/>
      <c r="C25" s="139"/>
      <c r="D25" s="139"/>
      <c r="E25" s="137"/>
      <c r="F25" s="138"/>
      <c r="G25" s="138"/>
      <c r="H25" s="140"/>
      <c r="I25" s="19"/>
      <c r="J25" s="124">
        <f t="shared" si="0"/>
        <v>0</v>
      </c>
    </row>
    <row r="26" spans="1:10" ht="19.95" customHeight="1" x14ac:dyDescent="0.3">
      <c r="A26" s="126"/>
      <c r="B26" s="126"/>
      <c r="C26" s="127"/>
      <c r="D26" s="127"/>
      <c r="E26" s="125"/>
      <c r="F26" s="126"/>
      <c r="G26" s="126"/>
      <c r="H26" s="128"/>
      <c r="I26" s="19"/>
      <c r="J26" s="124">
        <f t="shared" si="0"/>
        <v>0</v>
      </c>
    </row>
    <row r="27" spans="1:10" ht="19.95" customHeight="1" x14ac:dyDescent="0.3">
      <c r="A27" s="14"/>
      <c r="B27" s="14"/>
      <c r="C27" s="14"/>
      <c r="D27" s="14"/>
      <c r="E27" s="15"/>
      <c r="F27" s="14"/>
      <c r="G27" s="16"/>
      <c r="H27" s="17">
        <f>SUM(H5:H26)</f>
        <v>6295</v>
      </c>
      <c r="I27" s="19">
        <f>SUM(I5:I17)</f>
        <v>3680</v>
      </c>
      <c r="J27" s="124">
        <f>SUM(J5:J26)</f>
        <v>2615</v>
      </c>
    </row>
    <row r="29" spans="1:10" ht="30" customHeight="1" x14ac:dyDescent="0.3">
      <c r="A29" s="172" t="s">
        <v>24</v>
      </c>
      <c r="B29" s="172"/>
      <c r="C29" s="172"/>
      <c r="D29" s="172"/>
      <c r="E29" s="172"/>
      <c r="F29" s="172"/>
      <c r="G29" s="172"/>
      <c r="H29" s="172"/>
      <c r="I29" s="172"/>
      <c r="J29" s="172"/>
    </row>
    <row r="30" spans="1:10" ht="30" customHeight="1" x14ac:dyDescent="0.3">
      <c r="A30" s="106" t="s">
        <v>65</v>
      </c>
      <c r="B30" s="106" t="s">
        <v>66</v>
      </c>
      <c r="C30" s="96" t="s">
        <v>67</v>
      </c>
      <c r="D30" s="96" t="s">
        <v>68</v>
      </c>
      <c r="E30" s="106" t="s">
        <v>69</v>
      </c>
      <c r="F30" s="96" t="s">
        <v>70</v>
      </c>
      <c r="G30" s="96" t="s">
        <v>71</v>
      </c>
      <c r="H30" s="106" t="s">
        <v>72</v>
      </c>
      <c r="I30" s="106" t="s">
        <v>73</v>
      </c>
      <c r="J30" s="106" t="s">
        <v>74</v>
      </c>
    </row>
    <row r="31" spans="1:10" ht="30" customHeight="1" x14ac:dyDescent="0.3">
      <c r="A31" s="106">
        <v>250042</v>
      </c>
      <c r="B31" s="106">
        <v>304</v>
      </c>
      <c r="C31" s="99">
        <v>0.9</v>
      </c>
      <c r="D31" s="99" t="s">
        <v>21</v>
      </c>
      <c r="E31" s="109" t="s">
        <v>181</v>
      </c>
      <c r="F31" s="106" t="s">
        <v>185</v>
      </c>
      <c r="G31" s="106">
        <v>304</v>
      </c>
      <c r="H31" s="124">
        <v>750</v>
      </c>
      <c r="I31" s="106"/>
      <c r="J31" s="124">
        <f>H31-I31</f>
        <v>750</v>
      </c>
    </row>
    <row r="32" spans="1:10" ht="30" customHeight="1" x14ac:dyDescent="0.3">
      <c r="A32" s="126">
        <v>160925</v>
      </c>
      <c r="B32" s="126">
        <v>304</v>
      </c>
      <c r="C32" s="127">
        <v>0.9</v>
      </c>
      <c r="D32" s="127" t="s">
        <v>21</v>
      </c>
      <c r="E32" s="125" t="s">
        <v>182</v>
      </c>
      <c r="F32" s="106" t="s">
        <v>185</v>
      </c>
      <c r="G32" s="126">
        <v>430</v>
      </c>
      <c r="H32" s="128">
        <v>1100</v>
      </c>
      <c r="I32" s="106"/>
      <c r="J32" s="124">
        <f t="shared" ref="J32:J46" si="1">H32-I32</f>
        <v>1100</v>
      </c>
    </row>
    <row r="33" spans="1:10" ht="30" customHeight="1" x14ac:dyDescent="0.3">
      <c r="A33" s="106">
        <v>250042</v>
      </c>
      <c r="B33" s="106">
        <v>304</v>
      </c>
      <c r="C33" s="99">
        <v>0.9</v>
      </c>
      <c r="D33" s="99" t="s">
        <v>21</v>
      </c>
      <c r="E33" s="109" t="s">
        <v>183</v>
      </c>
      <c r="F33" s="106" t="s">
        <v>185</v>
      </c>
      <c r="G33" s="106">
        <v>304</v>
      </c>
      <c r="H33" s="124">
        <v>750</v>
      </c>
      <c r="I33" s="106"/>
      <c r="J33" s="124">
        <f t="shared" si="1"/>
        <v>750</v>
      </c>
    </row>
    <row r="34" spans="1:10" ht="30" customHeight="1" x14ac:dyDescent="0.3">
      <c r="A34" s="106">
        <v>250049</v>
      </c>
      <c r="B34" s="106">
        <v>304</v>
      </c>
      <c r="C34" s="99">
        <v>0.9</v>
      </c>
      <c r="D34" s="99" t="s">
        <v>21</v>
      </c>
      <c r="E34" s="109" t="s">
        <v>184</v>
      </c>
      <c r="F34" s="106" t="s">
        <v>185</v>
      </c>
      <c r="G34" s="106">
        <v>430</v>
      </c>
      <c r="H34" s="124">
        <v>450</v>
      </c>
      <c r="I34" s="106"/>
      <c r="J34" s="124">
        <f t="shared" si="1"/>
        <v>450</v>
      </c>
    </row>
    <row r="35" spans="1:10" ht="30" customHeight="1" x14ac:dyDescent="0.3">
      <c r="A35" s="106">
        <v>250042</v>
      </c>
      <c r="B35" s="106">
        <v>304</v>
      </c>
      <c r="C35" s="99">
        <v>0.9</v>
      </c>
      <c r="D35" s="99" t="s">
        <v>21</v>
      </c>
      <c r="E35" s="109" t="s">
        <v>186</v>
      </c>
      <c r="F35" s="106" t="s">
        <v>185</v>
      </c>
      <c r="G35" s="106">
        <v>304</v>
      </c>
      <c r="H35" s="124">
        <v>750</v>
      </c>
      <c r="I35" s="106"/>
      <c r="J35" s="124">
        <f t="shared" si="1"/>
        <v>750</v>
      </c>
    </row>
    <row r="36" spans="1:10" ht="30" customHeight="1" x14ac:dyDescent="0.3">
      <c r="A36" s="106"/>
      <c r="B36" s="106"/>
      <c r="C36" s="96"/>
      <c r="D36" s="96"/>
      <c r="E36" s="109"/>
      <c r="F36" s="96"/>
      <c r="G36" s="96"/>
      <c r="H36" s="106"/>
      <c r="I36" s="106"/>
      <c r="J36" s="124">
        <f t="shared" si="1"/>
        <v>0</v>
      </c>
    </row>
    <row r="37" spans="1:10" ht="30" customHeight="1" x14ac:dyDescent="0.3">
      <c r="A37" s="106"/>
      <c r="B37" s="106"/>
      <c r="C37" s="96"/>
      <c r="D37" s="114" t="s">
        <v>180</v>
      </c>
      <c r="E37" s="109" t="s">
        <v>171</v>
      </c>
      <c r="F37" s="96"/>
      <c r="G37" s="96"/>
      <c r="H37" s="106"/>
      <c r="I37" s="106"/>
      <c r="J37" s="124">
        <f t="shared" si="1"/>
        <v>0</v>
      </c>
    </row>
    <row r="38" spans="1:10" ht="30" customHeight="1" x14ac:dyDescent="0.3">
      <c r="A38" s="106"/>
      <c r="B38" s="106"/>
      <c r="C38" s="96"/>
      <c r="D38" s="114" t="s">
        <v>180</v>
      </c>
      <c r="E38" s="109" t="s">
        <v>179</v>
      </c>
      <c r="F38" s="96"/>
      <c r="G38" s="96"/>
      <c r="H38" s="106"/>
      <c r="I38" s="106"/>
      <c r="J38" s="124">
        <f t="shared" si="1"/>
        <v>0</v>
      </c>
    </row>
    <row r="39" spans="1:10" ht="24" customHeight="1" x14ac:dyDescent="0.3">
      <c r="A39" s="106"/>
      <c r="B39" s="106"/>
      <c r="C39" s="99"/>
      <c r="D39" s="104" t="s">
        <v>180</v>
      </c>
      <c r="E39" s="109" t="s">
        <v>177</v>
      </c>
      <c r="F39" s="106"/>
      <c r="G39" s="106"/>
      <c r="H39" s="124"/>
      <c r="I39" s="108"/>
      <c r="J39" s="124">
        <f t="shared" si="1"/>
        <v>0</v>
      </c>
    </row>
    <row r="40" spans="1:10" ht="19.95" hidden="1" customHeight="1" x14ac:dyDescent="0.3">
      <c r="A40" s="106"/>
      <c r="B40" s="106"/>
      <c r="C40" s="99"/>
      <c r="D40" s="99"/>
      <c r="E40" s="109"/>
      <c r="F40" s="106"/>
      <c r="G40" s="106"/>
      <c r="H40" s="124"/>
      <c r="I40" s="108"/>
      <c r="J40" s="124">
        <f t="shared" si="1"/>
        <v>0</v>
      </c>
    </row>
    <row r="41" spans="1:10" ht="19.95" hidden="1" customHeight="1" x14ac:dyDescent="0.3">
      <c r="A41" s="106"/>
      <c r="B41" s="106"/>
      <c r="C41" s="99"/>
      <c r="D41" s="99"/>
      <c r="E41" s="109"/>
      <c r="F41" s="109"/>
      <c r="G41" s="106"/>
      <c r="H41" s="124"/>
      <c r="I41" s="108"/>
      <c r="J41" s="124">
        <f t="shared" si="1"/>
        <v>0</v>
      </c>
    </row>
    <row r="42" spans="1:10" ht="19.95" hidden="1" customHeight="1" x14ac:dyDescent="0.3">
      <c r="A42" s="106"/>
      <c r="B42" s="106"/>
      <c r="C42" s="99"/>
      <c r="D42" s="99"/>
      <c r="E42" s="109"/>
      <c r="F42" s="109"/>
      <c r="G42" s="106"/>
      <c r="H42" s="124"/>
      <c r="I42" s="108"/>
      <c r="J42" s="124">
        <f t="shared" si="1"/>
        <v>0</v>
      </c>
    </row>
    <row r="43" spans="1:10" ht="19.95" hidden="1" customHeight="1" x14ac:dyDescent="0.3">
      <c r="A43" s="106"/>
      <c r="B43" s="106"/>
      <c r="C43" s="99"/>
      <c r="D43" s="99"/>
      <c r="E43" s="109"/>
      <c r="F43" s="109"/>
      <c r="G43" s="106"/>
      <c r="H43" s="124"/>
      <c r="I43" s="108"/>
      <c r="J43" s="124">
        <f t="shared" si="1"/>
        <v>0</v>
      </c>
    </row>
    <row r="44" spans="1:10" ht="19.95" hidden="1" customHeight="1" x14ac:dyDescent="0.3">
      <c r="A44" s="106"/>
      <c r="B44" s="106"/>
      <c r="C44" s="99"/>
      <c r="D44" s="99"/>
      <c r="E44" s="109"/>
      <c r="F44" s="109"/>
      <c r="G44" s="106"/>
      <c r="H44" s="124"/>
      <c r="I44" s="108"/>
      <c r="J44" s="124">
        <f t="shared" si="1"/>
        <v>0</v>
      </c>
    </row>
    <row r="45" spans="1:10" ht="19.95" hidden="1" customHeight="1" x14ac:dyDescent="0.3">
      <c r="A45" s="106"/>
      <c r="B45" s="106"/>
      <c r="C45" s="99"/>
      <c r="D45" s="99"/>
      <c r="E45" s="109"/>
      <c r="F45" s="109"/>
      <c r="G45" s="106"/>
      <c r="H45" s="124"/>
      <c r="I45" s="108"/>
      <c r="J45" s="124">
        <f t="shared" si="1"/>
        <v>0</v>
      </c>
    </row>
    <row r="46" spans="1:10" ht="19.95" customHeight="1" x14ac:dyDescent="0.3">
      <c r="A46" s="106"/>
      <c r="B46" s="106"/>
      <c r="C46" s="99"/>
      <c r="D46" s="99"/>
      <c r="E46" s="109"/>
      <c r="F46" s="109"/>
      <c r="G46" s="106"/>
      <c r="H46" s="124"/>
      <c r="I46" s="19"/>
      <c r="J46" s="124">
        <f t="shared" si="1"/>
        <v>0</v>
      </c>
    </row>
    <row r="47" spans="1:10" ht="19.95" customHeight="1" x14ac:dyDescent="0.3">
      <c r="A47" s="14"/>
      <c r="B47" s="14"/>
      <c r="C47" s="14"/>
      <c r="D47" s="14"/>
      <c r="E47" s="15"/>
      <c r="F47" s="14"/>
      <c r="G47" s="16"/>
      <c r="H47" s="124">
        <f>SUM(H39:H46)</f>
        <v>0</v>
      </c>
      <c r="I47" s="108">
        <f>SUM(I39:I46)</f>
        <v>0</v>
      </c>
      <c r="J47" s="124">
        <f>SUM(J31:J46)</f>
        <v>3800</v>
      </c>
    </row>
    <row r="49" spans="1:10" ht="23.4" x14ac:dyDescent="0.3">
      <c r="A49" s="180" t="s">
        <v>62</v>
      </c>
      <c r="B49" s="180"/>
      <c r="C49" s="180"/>
      <c r="D49" s="180"/>
      <c r="E49" s="180"/>
      <c r="F49" s="180"/>
      <c r="G49" s="180"/>
      <c r="H49" s="180"/>
      <c r="I49" s="180"/>
      <c r="J49" s="180"/>
    </row>
  </sheetData>
  <mergeCells count="5">
    <mergeCell ref="I1:J1"/>
    <mergeCell ref="A2:J2"/>
    <mergeCell ref="A3:J3"/>
    <mergeCell ref="A29:J29"/>
    <mergeCell ref="A49:J49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6" orientation="landscape" horizontalDpi="1200" verticalDpi="12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opLeftCell="A9" zoomScale="55" zoomScaleNormal="55" workbookViewId="0">
      <selection sqref="A1:J48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3.66406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45960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38">
        <v>250046</v>
      </c>
      <c r="B5" s="138">
        <v>304</v>
      </c>
      <c r="C5" s="139">
        <v>0.7</v>
      </c>
      <c r="D5" s="139" t="s">
        <v>9</v>
      </c>
      <c r="E5" s="137" t="s">
        <v>200</v>
      </c>
      <c r="F5" s="138" t="s">
        <v>27</v>
      </c>
      <c r="G5" s="138">
        <v>304</v>
      </c>
      <c r="H5" s="140">
        <v>50</v>
      </c>
      <c r="I5" s="108">
        <v>50</v>
      </c>
      <c r="J5" s="124">
        <f>H5-I5</f>
        <v>0</v>
      </c>
    </row>
    <row r="6" spans="1:10" ht="19.95" customHeight="1" x14ac:dyDescent="0.3">
      <c r="A6" s="138"/>
      <c r="B6" s="138"/>
      <c r="C6" s="139"/>
      <c r="D6" s="130" t="s">
        <v>180</v>
      </c>
      <c r="E6" s="129" t="s">
        <v>193</v>
      </c>
      <c r="F6" s="138"/>
      <c r="G6" s="138"/>
      <c r="H6" s="140"/>
      <c r="I6" s="108"/>
      <c r="J6" s="124">
        <f t="shared" ref="J6:J27" si="0">H6-I6</f>
        <v>0</v>
      </c>
    </row>
    <row r="7" spans="1:10" ht="19.95" customHeight="1" x14ac:dyDescent="0.3">
      <c r="A7" s="138">
        <v>250046</v>
      </c>
      <c r="B7" s="138">
        <v>304</v>
      </c>
      <c r="C7" s="139" t="s">
        <v>174</v>
      </c>
      <c r="D7" s="139" t="s">
        <v>9</v>
      </c>
      <c r="E7" s="137" t="s">
        <v>203</v>
      </c>
      <c r="F7" s="138" t="s">
        <v>27</v>
      </c>
      <c r="G7" s="138">
        <v>304</v>
      </c>
      <c r="H7" s="140">
        <v>20</v>
      </c>
      <c r="I7" s="108">
        <v>20</v>
      </c>
      <c r="J7" s="124">
        <f t="shared" si="0"/>
        <v>0</v>
      </c>
    </row>
    <row r="8" spans="1:10" ht="19.95" customHeight="1" x14ac:dyDescent="0.3">
      <c r="A8" s="138"/>
      <c r="B8" s="138"/>
      <c r="C8" s="139"/>
      <c r="D8" s="139"/>
      <c r="E8" s="137"/>
      <c r="F8" s="138"/>
      <c r="G8" s="138"/>
      <c r="H8" s="140"/>
      <c r="I8" s="108"/>
      <c r="J8" s="124">
        <f t="shared" si="0"/>
        <v>0</v>
      </c>
    </row>
    <row r="9" spans="1:10" ht="19.95" customHeight="1" x14ac:dyDescent="0.3">
      <c r="A9" s="138">
        <v>250048</v>
      </c>
      <c r="B9" s="138">
        <v>304</v>
      </c>
      <c r="C9" s="139">
        <v>0.7</v>
      </c>
      <c r="D9" s="139" t="s">
        <v>9</v>
      </c>
      <c r="E9" s="137" t="s">
        <v>211</v>
      </c>
      <c r="F9" s="138" t="s">
        <v>27</v>
      </c>
      <c r="G9" s="138">
        <v>304</v>
      </c>
      <c r="H9" s="140">
        <v>570</v>
      </c>
      <c r="I9" s="19">
        <f>300+300</f>
        <v>600</v>
      </c>
      <c r="J9" s="124">
        <f t="shared" si="0"/>
        <v>-30</v>
      </c>
    </row>
    <row r="10" spans="1:10" ht="19.95" customHeight="1" x14ac:dyDescent="0.3">
      <c r="A10" s="138"/>
      <c r="B10" s="138"/>
      <c r="C10" s="139"/>
      <c r="D10" s="139"/>
      <c r="E10" s="137"/>
      <c r="F10" s="138"/>
      <c r="G10" s="138"/>
      <c r="H10" s="140"/>
      <c r="I10" s="19"/>
      <c r="J10" s="124">
        <f t="shared" si="0"/>
        <v>0</v>
      </c>
    </row>
    <row r="11" spans="1:10" ht="19.95" customHeight="1" x14ac:dyDescent="0.3">
      <c r="A11" s="106">
        <v>250042</v>
      </c>
      <c r="B11" s="106">
        <v>304</v>
      </c>
      <c r="C11" s="99">
        <v>0.9</v>
      </c>
      <c r="D11" s="99" t="s">
        <v>21</v>
      </c>
      <c r="E11" s="109" t="s">
        <v>181</v>
      </c>
      <c r="F11" s="106" t="s">
        <v>185</v>
      </c>
      <c r="G11" s="106">
        <v>304</v>
      </c>
      <c r="H11" s="124">
        <v>750</v>
      </c>
      <c r="I11" s="19">
        <v>811</v>
      </c>
      <c r="J11" s="124">
        <f t="shared" si="0"/>
        <v>-61</v>
      </c>
    </row>
    <row r="12" spans="1:10" ht="19.95" customHeight="1" x14ac:dyDescent="0.3">
      <c r="A12" s="106">
        <v>250042</v>
      </c>
      <c r="B12" s="106">
        <v>304</v>
      </c>
      <c r="C12" s="99">
        <v>0.9</v>
      </c>
      <c r="D12" s="99" t="s">
        <v>21</v>
      </c>
      <c r="E12" s="109" t="s">
        <v>183</v>
      </c>
      <c r="F12" s="106" t="s">
        <v>185</v>
      </c>
      <c r="G12" s="106">
        <v>304</v>
      </c>
      <c r="H12" s="124">
        <v>750</v>
      </c>
      <c r="I12" s="19"/>
      <c r="J12" s="124">
        <f t="shared" si="0"/>
        <v>750</v>
      </c>
    </row>
    <row r="13" spans="1:10" ht="19.95" customHeight="1" x14ac:dyDescent="0.3">
      <c r="A13" s="138">
        <v>160925</v>
      </c>
      <c r="B13" s="138">
        <v>304</v>
      </c>
      <c r="C13" s="139">
        <v>0.9</v>
      </c>
      <c r="D13" s="139" t="s">
        <v>21</v>
      </c>
      <c r="E13" s="137" t="s">
        <v>182</v>
      </c>
      <c r="F13" s="106" t="s">
        <v>185</v>
      </c>
      <c r="G13" s="138">
        <v>430</v>
      </c>
      <c r="H13" s="140">
        <v>1100</v>
      </c>
      <c r="I13" s="19"/>
      <c r="J13" s="124">
        <f t="shared" si="0"/>
        <v>1100</v>
      </c>
    </row>
    <row r="14" spans="1:10" ht="19.95" customHeight="1" x14ac:dyDescent="0.3">
      <c r="A14" s="138"/>
      <c r="B14" s="138"/>
      <c r="C14" s="139"/>
      <c r="D14" s="139"/>
      <c r="E14" s="137"/>
      <c r="F14" s="106"/>
      <c r="G14" s="138"/>
      <c r="H14" s="140"/>
      <c r="I14" s="19"/>
      <c r="J14" s="124">
        <f t="shared" si="0"/>
        <v>0</v>
      </c>
    </row>
    <row r="15" spans="1:10" ht="19.95" customHeight="1" x14ac:dyDescent="0.3">
      <c r="A15" s="106"/>
      <c r="B15" s="106"/>
      <c r="C15" s="99"/>
      <c r="D15" s="99"/>
      <c r="E15" s="109"/>
      <c r="F15" s="106"/>
      <c r="G15" s="106"/>
      <c r="H15" s="124"/>
      <c r="I15" s="19"/>
      <c r="J15" s="124">
        <f t="shared" si="0"/>
        <v>0</v>
      </c>
    </row>
    <row r="16" spans="1:10" ht="19.95" customHeight="1" x14ac:dyDescent="0.3">
      <c r="A16" s="106"/>
      <c r="B16" s="106"/>
      <c r="C16" s="99"/>
      <c r="D16" s="99"/>
      <c r="E16" s="109"/>
      <c r="F16" s="106"/>
      <c r="G16" s="106"/>
      <c r="H16" s="124"/>
      <c r="I16" s="19"/>
      <c r="J16" s="124"/>
    </row>
    <row r="17" spans="1:10" ht="19.95" customHeight="1" x14ac:dyDescent="0.3">
      <c r="A17" s="106"/>
      <c r="B17" s="106"/>
      <c r="C17" s="99"/>
      <c r="D17" s="99"/>
      <c r="E17" s="109"/>
      <c r="F17" s="106"/>
      <c r="G17" s="106"/>
      <c r="H17" s="124"/>
      <c r="I17" s="19"/>
      <c r="J17" s="124"/>
    </row>
    <row r="18" spans="1:10" ht="19.95" customHeight="1" x14ac:dyDescent="0.3">
      <c r="A18" s="106"/>
      <c r="B18" s="106"/>
      <c r="C18" s="99"/>
      <c r="D18" s="99"/>
      <c r="E18" s="109"/>
      <c r="F18" s="106"/>
      <c r="G18" s="106"/>
      <c r="H18" s="124"/>
      <c r="I18" s="19"/>
      <c r="J18" s="124"/>
    </row>
    <row r="19" spans="1:10" ht="19.95" customHeight="1" x14ac:dyDescent="0.3">
      <c r="A19" s="106"/>
      <c r="B19" s="106"/>
      <c r="C19" s="99"/>
      <c r="D19" s="99"/>
      <c r="E19" s="109"/>
      <c r="F19" s="106"/>
      <c r="G19" s="106"/>
      <c r="H19" s="124"/>
      <c r="I19" s="19"/>
      <c r="J19" s="124"/>
    </row>
    <row r="20" spans="1:10" ht="19.95" customHeight="1" x14ac:dyDescent="0.3">
      <c r="A20" s="106"/>
      <c r="B20" s="106"/>
      <c r="C20" s="99"/>
      <c r="D20" s="99"/>
      <c r="E20" s="109"/>
      <c r="F20" s="106"/>
      <c r="G20" s="106"/>
      <c r="H20" s="124"/>
      <c r="I20" s="19"/>
      <c r="J20" s="124"/>
    </row>
    <row r="21" spans="1:10" ht="19.95" customHeight="1" x14ac:dyDescent="0.3">
      <c r="A21" s="106"/>
      <c r="B21" s="106"/>
      <c r="C21" s="99"/>
      <c r="D21" s="99"/>
      <c r="E21" s="109"/>
      <c r="F21" s="106"/>
      <c r="G21" s="106"/>
      <c r="H21" s="124"/>
      <c r="I21" s="19"/>
      <c r="J21" s="124"/>
    </row>
    <row r="22" spans="1:10" ht="19.95" customHeight="1" x14ac:dyDescent="0.3">
      <c r="A22" s="106">
        <v>250055</v>
      </c>
      <c r="B22" s="106">
        <v>304</v>
      </c>
      <c r="C22" s="99">
        <v>0.7</v>
      </c>
      <c r="D22" s="99" t="s">
        <v>12</v>
      </c>
      <c r="E22" s="109" t="s">
        <v>212</v>
      </c>
      <c r="F22" s="106" t="s">
        <v>28</v>
      </c>
      <c r="G22" s="106">
        <v>304</v>
      </c>
      <c r="H22" s="124">
        <v>830</v>
      </c>
      <c r="I22" s="19"/>
      <c r="J22" s="124"/>
    </row>
    <row r="23" spans="1:10" ht="19.95" customHeight="1" x14ac:dyDescent="0.3">
      <c r="A23" s="106">
        <v>250061</v>
      </c>
      <c r="B23" s="106">
        <v>304</v>
      </c>
      <c r="C23" s="99">
        <v>0.7</v>
      </c>
      <c r="D23" s="99" t="s">
        <v>12</v>
      </c>
      <c r="E23" s="109" t="s">
        <v>213</v>
      </c>
      <c r="F23" s="106" t="s">
        <v>28</v>
      </c>
      <c r="G23" s="106">
        <v>304</v>
      </c>
      <c r="H23" s="124">
        <v>540</v>
      </c>
      <c r="I23" s="19"/>
      <c r="J23" s="124"/>
    </row>
    <row r="24" spans="1:10" ht="19.95" customHeight="1" x14ac:dyDescent="0.3">
      <c r="A24" s="106">
        <v>250057</v>
      </c>
      <c r="B24" s="106">
        <v>304</v>
      </c>
      <c r="C24" s="99">
        <v>0.7</v>
      </c>
      <c r="D24" s="99" t="s">
        <v>12</v>
      </c>
      <c r="E24" s="109" t="s">
        <v>214</v>
      </c>
      <c r="F24" s="106" t="s">
        <v>28</v>
      </c>
      <c r="G24" s="106">
        <v>304</v>
      </c>
      <c r="H24" s="124">
        <v>410</v>
      </c>
      <c r="I24" s="19"/>
      <c r="J24" s="124"/>
    </row>
    <row r="25" spans="1:10" ht="19.95" customHeight="1" x14ac:dyDescent="0.3">
      <c r="A25" s="106">
        <v>250052</v>
      </c>
      <c r="B25" s="106">
        <v>304</v>
      </c>
      <c r="C25" s="99">
        <v>0.7</v>
      </c>
      <c r="D25" s="99" t="s">
        <v>12</v>
      </c>
      <c r="E25" s="109" t="s">
        <v>215</v>
      </c>
      <c r="F25" s="106" t="s">
        <v>28</v>
      </c>
      <c r="G25" s="106">
        <v>304</v>
      </c>
      <c r="H25" s="124">
        <v>800</v>
      </c>
      <c r="I25" s="19"/>
      <c r="J25" s="124"/>
    </row>
    <row r="26" spans="1:10" ht="19.95" customHeight="1" x14ac:dyDescent="0.3">
      <c r="A26" s="138"/>
      <c r="B26" s="138"/>
      <c r="C26" s="139"/>
      <c r="D26" s="139"/>
      <c r="E26" s="137"/>
      <c r="F26" s="138"/>
      <c r="G26" s="138"/>
      <c r="H26" s="140"/>
      <c r="I26" s="19"/>
      <c r="J26" s="124">
        <f t="shared" si="0"/>
        <v>0</v>
      </c>
    </row>
    <row r="27" spans="1:10" ht="19.95" customHeight="1" x14ac:dyDescent="0.3">
      <c r="A27" s="138"/>
      <c r="B27" s="138"/>
      <c r="C27" s="139"/>
      <c r="D27" s="139"/>
      <c r="E27" s="137"/>
      <c r="F27" s="138"/>
      <c r="G27" s="138"/>
      <c r="H27" s="140"/>
      <c r="I27" s="19"/>
      <c r="J27" s="124">
        <f t="shared" si="0"/>
        <v>0</v>
      </c>
    </row>
    <row r="28" spans="1:10" ht="19.95" customHeight="1" x14ac:dyDescent="0.3">
      <c r="A28" s="14"/>
      <c r="B28" s="14"/>
      <c r="C28" s="14"/>
      <c r="D28" s="14"/>
      <c r="E28" s="15"/>
      <c r="F28" s="14"/>
      <c r="G28" s="16"/>
      <c r="H28" s="17">
        <f>SUM(H5:H27)</f>
        <v>5820</v>
      </c>
      <c r="I28" s="19">
        <f>SUM(I5:I26)</f>
        <v>1481</v>
      </c>
      <c r="J28" s="124">
        <f>SUM(J5:J27)</f>
        <v>1759</v>
      </c>
    </row>
    <row r="30" spans="1:10" ht="30" customHeight="1" x14ac:dyDescent="0.3">
      <c r="A30" s="172" t="s">
        <v>24</v>
      </c>
      <c r="B30" s="172"/>
      <c r="C30" s="172"/>
      <c r="D30" s="172"/>
      <c r="E30" s="172"/>
      <c r="F30" s="172"/>
      <c r="G30" s="172"/>
      <c r="H30" s="172"/>
      <c r="I30" s="172"/>
      <c r="J30" s="172"/>
    </row>
    <row r="31" spans="1:10" ht="30" customHeight="1" x14ac:dyDescent="0.3">
      <c r="A31" s="106" t="s">
        <v>65</v>
      </c>
      <c r="B31" s="106" t="s">
        <v>66</v>
      </c>
      <c r="C31" s="96" t="s">
        <v>67</v>
      </c>
      <c r="D31" s="96" t="s">
        <v>68</v>
      </c>
      <c r="E31" s="106" t="s">
        <v>69</v>
      </c>
      <c r="F31" s="96" t="s">
        <v>70</v>
      </c>
      <c r="G31" s="96" t="s">
        <v>71</v>
      </c>
      <c r="H31" s="106" t="s">
        <v>72</v>
      </c>
      <c r="I31" s="106" t="s">
        <v>73</v>
      </c>
      <c r="J31" s="106" t="s">
        <v>74</v>
      </c>
    </row>
    <row r="32" spans="1:10" ht="30" customHeight="1" x14ac:dyDescent="0.3">
      <c r="A32" s="106"/>
      <c r="B32" s="106"/>
      <c r="C32" s="99"/>
      <c r="D32" s="99"/>
      <c r="E32" s="109"/>
      <c r="F32" s="106"/>
      <c r="G32" s="106"/>
      <c r="H32" s="124"/>
      <c r="I32" s="106"/>
      <c r="J32" s="124">
        <f>H32-I32</f>
        <v>0</v>
      </c>
    </row>
    <row r="33" spans="1:10" ht="30" customHeight="1" x14ac:dyDescent="0.3">
      <c r="A33" s="138"/>
      <c r="B33" s="138"/>
      <c r="C33" s="139"/>
      <c r="D33" s="139"/>
      <c r="E33" s="137"/>
      <c r="F33" s="106"/>
      <c r="G33" s="138"/>
      <c r="H33" s="140"/>
      <c r="I33" s="106"/>
      <c r="J33" s="124">
        <f t="shared" ref="J33:J47" si="1">H33-I33</f>
        <v>0</v>
      </c>
    </row>
    <row r="34" spans="1:10" ht="30" customHeight="1" x14ac:dyDescent="0.3">
      <c r="A34" s="106"/>
      <c r="B34" s="106"/>
      <c r="C34" s="99"/>
      <c r="D34" s="99"/>
      <c r="E34" s="109"/>
      <c r="F34" s="106"/>
      <c r="G34" s="106"/>
      <c r="H34" s="124"/>
      <c r="I34" s="106"/>
      <c r="J34" s="124">
        <f t="shared" si="1"/>
        <v>0</v>
      </c>
    </row>
    <row r="35" spans="1:10" ht="30" customHeight="1" x14ac:dyDescent="0.3">
      <c r="A35" s="106">
        <v>250049</v>
      </c>
      <c r="B35" s="106">
        <v>304</v>
      </c>
      <c r="C35" s="99">
        <v>0.9</v>
      </c>
      <c r="D35" s="99" t="s">
        <v>21</v>
      </c>
      <c r="E35" s="109" t="s">
        <v>184</v>
      </c>
      <c r="F35" s="106" t="s">
        <v>185</v>
      </c>
      <c r="G35" s="106">
        <v>430</v>
      </c>
      <c r="H35" s="124">
        <v>450</v>
      </c>
      <c r="I35" s="106"/>
      <c r="J35" s="124">
        <f t="shared" si="1"/>
        <v>450</v>
      </c>
    </row>
    <row r="36" spans="1:10" ht="30" customHeight="1" x14ac:dyDescent="0.3">
      <c r="A36" s="106">
        <v>250042</v>
      </c>
      <c r="B36" s="106">
        <v>304</v>
      </c>
      <c r="C36" s="99">
        <v>0.9</v>
      </c>
      <c r="D36" s="99" t="s">
        <v>21</v>
      </c>
      <c r="E36" s="109" t="s">
        <v>186</v>
      </c>
      <c r="F36" s="106" t="s">
        <v>185</v>
      </c>
      <c r="G36" s="106">
        <v>304</v>
      </c>
      <c r="H36" s="124">
        <v>750</v>
      </c>
      <c r="I36" s="106"/>
      <c r="J36" s="124">
        <f t="shared" si="1"/>
        <v>750</v>
      </c>
    </row>
    <row r="37" spans="1:10" ht="30" customHeight="1" x14ac:dyDescent="0.3">
      <c r="A37" s="106"/>
      <c r="B37" s="106"/>
      <c r="C37" s="96"/>
      <c r="D37" s="96"/>
      <c r="E37" s="109"/>
      <c r="F37" s="96"/>
      <c r="G37" s="96"/>
      <c r="H37" s="106"/>
      <c r="I37" s="106"/>
      <c r="J37" s="124">
        <f t="shared" si="1"/>
        <v>0</v>
      </c>
    </row>
    <row r="38" spans="1:10" ht="30" customHeight="1" x14ac:dyDescent="0.3">
      <c r="A38" s="106"/>
      <c r="B38" s="106"/>
      <c r="C38" s="96"/>
      <c r="D38" s="114" t="s">
        <v>180</v>
      </c>
      <c r="E38" s="109" t="s">
        <v>171</v>
      </c>
      <c r="F38" s="96"/>
      <c r="G38" s="96"/>
      <c r="H38" s="106"/>
      <c r="I38" s="106"/>
      <c r="J38" s="124">
        <f t="shared" si="1"/>
        <v>0</v>
      </c>
    </row>
    <row r="39" spans="1:10" ht="30" customHeight="1" x14ac:dyDescent="0.3">
      <c r="A39" s="106"/>
      <c r="B39" s="106"/>
      <c r="C39" s="96"/>
      <c r="D39" s="114" t="s">
        <v>180</v>
      </c>
      <c r="E39" s="109" t="s">
        <v>179</v>
      </c>
      <c r="F39" s="96"/>
      <c r="G39" s="96"/>
      <c r="H39" s="106"/>
      <c r="I39" s="106"/>
      <c r="J39" s="124">
        <f t="shared" si="1"/>
        <v>0</v>
      </c>
    </row>
    <row r="40" spans="1:10" ht="24" customHeight="1" x14ac:dyDescent="0.3">
      <c r="A40" s="106"/>
      <c r="B40" s="106"/>
      <c r="C40" s="99"/>
      <c r="D40" s="104" t="s">
        <v>180</v>
      </c>
      <c r="E40" s="109" t="s">
        <v>177</v>
      </c>
      <c r="F40" s="106"/>
      <c r="G40" s="106"/>
      <c r="H40" s="124"/>
      <c r="I40" s="108"/>
      <c r="J40" s="124">
        <f t="shared" si="1"/>
        <v>0</v>
      </c>
    </row>
    <row r="41" spans="1:10" ht="19.95" hidden="1" customHeight="1" x14ac:dyDescent="0.3">
      <c r="A41" s="106"/>
      <c r="B41" s="106"/>
      <c r="C41" s="99"/>
      <c r="D41" s="99"/>
      <c r="E41" s="109"/>
      <c r="F41" s="106"/>
      <c r="G41" s="106"/>
      <c r="H41" s="124"/>
      <c r="I41" s="108"/>
      <c r="J41" s="124">
        <f t="shared" si="1"/>
        <v>0</v>
      </c>
    </row>
    <row r="42" spans="1:10" ht="19.95" hidden="1" customHeight="1" x14ac:dyDescent="0.3">
      <c r="A42" s="106"/>
      <c r="B42" s="106"/>
      <c r="C42" s="99"/>
      <c r="D42" s="99"/>
      <c r="E42" s="109"/>
      <c r="F42" s="109"/>
      <c r="G42" s="106"/>
      <c r="H42" s="124"/>
      <c r="I42" s="108"/>
      <c r="J42" s="124">
        <f t="shared" si="1"/>
        <v>0</v>
      </c>
    </row>
    <row r="43" spans="1:10" ht="19.95" hidden="1" customHeight="1" x14ac:dyDescent="0.3">
      <c r="A43" s="106"/>
      <c r="B43" s="106"/>
      <c r="C43" s="99"/>
      <c r="D43" s="99"/>
      <c r="E43" s="109"/>
      <c r="F43" s="109"/>
      <c r="G43" s="106"/>
      <c r="H43" s="124"/>
      <c r="I43" s="108"/>
      <c r="J43" s="124">
        <f t="shared" si="1"/>
        <v>0</v>
      </c>
    </row>
    <row r="44" spans="1:10" ht="19.95" hidden="1" customHeight="1" x14ac:dyDescent="0.3">
      <c r="A44" s="106"/>
      <c r="B44" s="106"/>
      <c r="C44" s="99"/>
      <c r="D44" s="99"/>
      <c r="E44" s="109"/>
      <c r="F44" s="109"/>
      <c r="G44" s="106"/>
      <c r="H44" s="124"/>
      <c r="I44" s="108"/>
      <c r="J44" s="124">
        <f t="shared" si="1"/>
        <v>0</v>
      </c>
    </row>
    <row r="45" spans="1:10" ht="19.95" hidden="1" customHeight="1" x14ac:dyDescent="0.3">
      <c r="A45" s="106"/>
      <c r="B45" s="106"/>
      <c r="C45" s="99"/>
      <c r="D45" s="99"/>
      <c r="E45" s="109"/>
      <c r="F45" s="109"/>
      <c r="G45" s="106"/>
      <c r="H45" s="124"/>
      <c r="I45" s="108"/>
      <c r="J45" s="124">
        <f t="shared" si="1"/>
        <v>0</v>
      </c>
    </row>
    <row r="46" spans="1:10" ht="19.95" hidden="1" customHeight="1" x14ac:dyDescent="0.3">
      <c r="A46" s="106"/>
      <c r="B46" s="106"/>
      <c r="C46" s="99"/>
      <c r="D46" s="99"/>
      <c r="E46" s="109"/>
      <c r="F46" s="109"/>
      <c r="G46" s="106"/>
      <c r="H46" s="124"/>
      <c r="I46" s="108"/>
      <c r="J46" s="124">
        <f t="shared" si="1"/>
        <v>0</v>
      </c>
    </row>
    <row r="47" spans="1:10" ht="19.95" customHeight="1" x14ac:dyDescent="0.3">
      <c r="A47" s="106"/>
      <c r="B47" s="106"/>
      <c r="C47" s="99"/>
      <c r="D47" s="99"/>
      <c r="E47" s="109"/>
      <c r="F47" s="109"/>
      <c r="G47" s="106"/>
      <c r="H47" s="124"/>
      <c r="I47" s="19"/>
      <c r="J47" s="124">
        <f t="shared" si="1"/>
        <v>0</v>
      </c>
    </row>
    <row r="48" spans="1:10" ht="19.95" customHeight="1" x14ac:dyDescent="0.3">
      <c r="A48" s="14"/>
      <c r="B48" s="14"/>
      <c r="C48" s="14"/>
      <c r="D48" s="14"/>
      <c r="E48" s="15"/>
      <c r="F48" s="14"/>
      <c r="G48" s="16"/>
      <c r="H48" s="124">
        <f>SUM(H40:H47)</f>
        <v>0</v>
      </c>
      <c r="I48" s="108">
        <f>SUM(I40:I47)</f>
        <v>0</v>
      </c>
      <c r="J48" s="124">
        <f>SUM(J32:J47)</f>
        <v>1200</v>
      </c>
    </row>
    <row r="50" spans="1:10" ht="23.4" x14ac:dyDescent="0.3">
      <c r="A50" s="180" t="s">
        <v>62</v>
      </c>
      <c r="B50" s="180"/>
      <c r="C50" s="180"/>
      <c r="D50" s="180"/>
      <c r="E50" s="180"/>
      <c r="F50" s="180"/>
      <c r="G50" s="180"/>
      <c r="H50" s="180"/>
      <c r="I50" s="180"/>
      <c r="J50" s="180"/>
    </row>
  </sheetData>
  <mergeCells count="5">
    <mergeCell ref="I1:J1"/>
    <mergeCell ref="A2:J2"/>
    <mergeCell ref="A3:J3"/>
    <mergeCell ref="A30:J30"/>
    <mergeCell ref="A50:J50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7" orientation="landscape" horizontalDpi="1200" verticalDpi="12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opLeftCell="A8" zoomScale="85" zoomScaleNormal="85" workbookViewId="0">
      <selection activeCell="A13" sqref="A13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3.66406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45961</v>
      </c>
      <c r="J1" s="168"/>
    </row>
    <row r="2" spans="1:10" ht="40.049999999999997" customHeight="1" x14ac:dyDescent="0.3">
      <c r="A2" s="169" t="s">
        <v>38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38">
        <v>250046</v>
      </c>
      <c r="B5" s="138">
        <v>304</v>
      </c>
      <c r="C5" s="139">
        <v>0.7</v>
      </c>
      <c r="D5" s="139" t="s">
        <v>9</v>
      </c>
      <c r="E5" s="137" t="s">
        <v>200</v>
      </c>
      <c r="F5" s="138" t="s">
        <v>27</v>
      </c>
      <c r="G5" s="138">
        <v>304</v>
      </c>
      <c r="H5" s="140">
        <v>50</v>
      </c>
      <c r="I5" s="108">
        <v>50</v>
      </c>
      <c r="J5" s="124">
        <f>H5-I5</f>
        <v>0</v>
      </c>
    </row>
    <row r="6" spans="1:10" ht="19.95" customHeight="1" x14ac:dyDescent="0.3">
      <c r="A6" s="138"/>
      <c r="B6" s="138"/>
      <c r="C6" s="139"/>
      <c r="D6" s="130" t="s">
        <v>180</v>
      </c>
      <c r="E6" s="129" t="s">
        <v>193</v>
      </c>
      <c r="F6" s="138"/>
      <c r="G6" s="138"/>
      <c r="H6" s="140"/>
      <c r="I6" s="108"/>
      <c r="J6" s="124">
        <f t="shared" ref="J6:J27" si="0">H6-I6</f>
        <v>0</v>
      </c>
    </row>
    <row r="7" spans="1:10" ht="19.95" customHeight="1" x14ac:dyDescent="0.3">
      <c r="A7" s="138">
        <v>250046</v>
      </c>
      <c r="B7" s="138">
        <v>304</v>
      </c>
      <c r="C7" s="139" t="s">
        <v>174</v>
      </c>
      <c r="D7" s="139" t="s">
        <v>9</v>
      </c>
      <c r="E7" s="137" t="s">
        <v>203</v>
      </c>
      <c r="F7" s="138" t="s">
        <v>27</v>
      </c>
      <c r="G7" s="138">
        <v>304</v>
      </c>
      <c r="H7" s="140">
        <v>20</v>
      </c>
      <c r="I7" s="108">
        <v>20</v>
      </c>
      <c r="J7" s="124">
        <f t="shared" si="0"/>
        <v>0</v>
      </c>
    </row>
    <row r="8" spans="1:10" ht="19.95" customHeight="1" x14ac:dyDescent="0.3">
      <c r="A8" s="138"/>
      <c r="B8" s="138"/>
      <c r="C8" s="139"/>
      <c r="D8" s="139"/>
      <c r="E8" s="137"/>
      <c r="F8" s="138"/>
      <c r="G8" s="138"/>
      <c r="H8" s="140"/>
      <c r="I8" s="108"/>
      <c r="J8" s="124">
        <f t="shared" si="0"/>
        <v>0</v>
      </c>
    </row>
    <row r="9" spans="1:10" ht="19.95" customHeight="1" x14ac:dyDescent="0.3">
      <c r="A9" s="138">
        <v>250048</v>
      </c>
      <c r="B9" s="138">
        <v>304</v>
      </c>
      <c r="C9" s="139">
        <v>0.7</v>
      </c>
      <c r="D9" s="139" t="s">
        <v>9</v>
      </c>
      <c r="E9" s="137" t="s">
        <v>211</v>
      </c>
      <c r="F9" s="138" t="s">
        <v>27</v>
      </c>
      <c r="G9" s="138">
        <v>304</v>
      </c>
      <c r="H9" s="140">
        <v>570</v>
      </c>
      <c r="I9" s="19">
        <f>300+300</f>
        <v>600</v>
      </c>
      <c r="J9" s="124">
        <f t="shared" si="0"/>
        <v>-30</v>
      </c>
    </row>
    <row r="10" spans="1:10" ht="19.95" customHeight="1" x14ac:dyDescent="0.3">
      <c r="A10" s="138"/>
      <c r="B10" s="138"/>
      <c r="C10" s="139"/>
      <c r="D10" s="139"/>
      <c r="E10" s="137"/>
      <c r="F10" s="138"/>
      <c r="G10" s="138"/>
      <c r="H10" s="140"/>
      <c r="I10" s="19"/>
      <c r="J10" s="124">
        <f t="shared" si="0"/>
        <v>0</v>
      </c>
    </row>
    <row r="11" spans="1:10" ht="19.95" customHeight="1" x14ac:dyDescent="0.3">
      <c r="A11" s="106"/>
      <c r="B11" s="106"/>
      <c r="C11" s="99"/>
      <c r="D11" s="99"/>
      <c r="E11" s="109"/>
      <c r="F11" s="106"/>
      <c r="G11" s="106"/>
      <c r="H11" s="124"/>
      <c r="I11" s="19"/>
      <c r="J11" s="124">
        <f t="shared" si="0"/>
        <v>0</v>
      </c>
    </row>
    <row r="12" spans="1:10" ht="19.95" customHeight="1" x14ac:dyDescent="0.3">
      <c r="A12" s="106">
        <v>250042</v>
      </c>
      <c r="B12" s="106">
        <v>304</v>
      </c>
      <c r="C12" s="99">
        <v>0.9</v>
      </c>
      <c r="D12" s="99" t="s">
        <v>21</v>
      </c>
      <c r="E12" s="109" t="s">
        <v>183</v>
      </c>
      <c r="F12" s="106" t="s">
        <v>185</v>
      </c>
      <c r="G12" s="106">
        <v>304</v>
      </c>
      <c r="H12" s="124">
        <v>750</v>
      </c>
      <c r="I12" s="19">
        <v>760</v>
      </c>
      <c r="J12" s="124">
        <f t="shared" si="0"/>
        <v>-10</v>
      </c>
    </row>
    <row r="13" spans="1:10" ht="19.95" customHeight="1" x14ac:dyDescent="0.3">
      <c r="A13" s="138">
        <v>160925</v>
      </c>
      <c r="B13" s="138">
        <v>304</v>
      </c>
      <c r="C13" s="139">
        <v>0.9</v>
      </c>
      <c r="D13" s="139" t="s">
        <v>21</v>
      </c>
      <c r="E13" s="137" t="s">
        <v>182</v>
      </c>
      <c r="F13" s="106" t="s">
        <v>185</v>
      </c>
      <c r="G13" s="138">
        <v>430</v>
      </c>
      <c r="H13" s="140">
        <v>1100</v>
      </c>
      <c r="I13" s="19">
        <v>840</v>
      </c>
      <c r="J13" s="124">
        <f t="shared" si="0"/>
        <v>260</v>
      </c>
    </row>
    <row r="14" spans="1:10" ht="19.95" customHeight="1" x14ac:dyDescent="0.3">
      <c r="A14" s="138"/>
      <c r="B14" s="138"/>
      <c r="C14" s="139"/>
      <c r="D14" s="139"/>
      <c r="E14" s="137"/>
      <c r="F14" s="106"/>
      <c r="G14" s="138"/>
      <c r="H14" s="140"/>
      <c r="I14" s="19"/>
      <c r="J14" s="124">
        <f t="shared" si="0"/>
        <v>0</v>
      </c>
    </row>
    <row r="15" spans="1:10" ht="19.95" customHeight="1" x14ac:dyDescent="0.3">
      <c r="A15" s="106"/>
      <c r="B15" s="106"/>
      <c r="C15" s="99"/>
      <c r="D15" s="99"/>
      <c r="E15" s="109"/>
      <c r="F15" s="106"/>
      <c r="G15" s="106"/>
      <c r="H15" s="124"/>
      <c r="I15" s="19"/>
      <c r="J15" s="124">
        <f t="shared" si="0"/>
        <v>0</v>
      </c>
    </row>
    <row r="16" spans="1:10" ht="19.95" customHeight="1" x14ac:dyDescent="0.3">
      <c r="A16" s="106"/>
      <c r="B16" s="106"/>
      <c r="C16" s="99"/>
      <c r="D16" s="99"/>
      <c r="E16" s="109"/>
      <c r="F16" s="106"/>
      <c r="G16" s="106"/>
      <c r="H16" s="124"/>
      <c r="I16" s="19"/>
      <c r="J16" s="124"/>
    </row>
    <row r="17" spans="1:10" ht="19.95" customHeight="1" x14ac:dyDescent="0.3">
      <c r="A17" s="106"/>
      <c r="B17" s="106"/>
      <c r="C17" s="99"/>
      <c r="D17" s="99"/>
      <c r="E17" s="109"/>
      <c r="F17" s="106"/>
      <c r="G17" s="106"/>
      <c r="H17" s="124"/>
      <c r="I17" s="19"/>
      <c r="J17" s="124"/>
    </row>
    <row r="18" spans="1:10" ht="19.95" customHeight="1" x14ac:dyDescent="0.3">
      <c r="A18" s="106"/>
      <c r="B18" s="106"/>
      <c r="C18" s="99"/>
      <c r="D18" s="99"/>
      <c r="E18" s="109"/>
      <c r="F18" s="106"/>
      <c r="G18" s="106"/>
      <c r="H18" s="124"/>
      <c r="I18" s="19"/>
      <c r="J18" s="124"/>
    </row>
    <row r="19" spans="1:10" ht="19.95" customHeight="1" x14ac:dyDescent="0.3">
      <c r="A19" s="106"/>
      <c r="B19" s="106"/>
      <c r="C19" s="99"/>
      <c r="D19" s="99"/>
      <c r="E19" s="109"/>
      <c r="F19" s="106"/>
      <c r="G19" s="106"/>
      <c r="H19" s="124"/>
      <c r="I19" s="19"/>
      <c r="J19" s="124"/>
    </row>
    <row r="20" spans="1:10" ht="19.95" customHeight="1" x14ac:dyDescent="0.3">
      <c r="A20" s="106"/>
      <c r="B20" s="106"/>
      <c r="C20" s="99"/>
      <c r="D20" s="99"/>
      <c r="E20" s="109"/>
      <c r="F20" s="106"/>
      <c r="G20" s="106"/>
      <c r="H20" s="124"/>
      <c r="I20" s="19"/>
      <c r="J20" s="124"/>
    </row>
    <row r="21" spans="1:10" ht="19.95" customHeight="1" x14ac:dyDescent="0.3">
      <c r="A21" s="106"/>
      <c r="B21" s="106"/>
      <c r="C21" s="99"/>
      <c r="D21" s="99"/>
      <c r="E21" s="109"/>
      <c r="F21" s="106"/>
      <c r="G21" s="106"/>
      <c r="H21" s="124"/>
      <c r="I21" s="19"/>
      <c r="J21" s="124"/>
    </row>
    <row r="22" spans="1:10" ht="19.95" customHeight="1" x14ac:dyDescent="0.3">
      <c r="A22" s="106">
        <v>250055</v>
      </c>
      <c r="B22" s="106">
        <v>304</v>
      </c>
      <c r="C22" s="99">
        <v>0.7</v>
      </c>
      <c r="D22" s="99" t="s">
        <v>12</v>
      </c>
      <c r="E22" s="109" t="s">
        <v>212</v>
      </c>
      <c r="F22" s="106" t="s">
        <v>28</v>
      </c>
      <c r="G22" s="106">
        <v>304</v>
      </c>
      <c r="H22" s="124">
        <v>830</v>
      </c>
      <c r="I22" s="19"/>
      <c r="J22" s="124"/>
    </row>
    <row r="23" spans="1:10" ht="19.95" customHeight="1" x14ac:dyDescent="0.3">
      <c r="A23" s="106">
        <v>250061</v>
      </c>
      <c r="B23" s="106">
        <v>304</v>
      </c>
      <c r="C23" s="99">
        <v>0.7</v>
      </c>
      <c r="D23" s="99" t="s">
        <v>12</v>
      </c>
      <c r="E23" s="109" t="s">
        <v>213</v>
      </c>
      <c r="F23" s="106" t="s">
        <v>28</v>
      </c>
      <c r="G23" s="106">
        <v>304</v>
      </c>
      <c r="H23" s="124">
        <v>540</v>
      </c>
      <c r="I23" s="19"/>
      <c r="J23" s="124"/>
    </row>
    <row r="24" spans="1:10" ht="19.95" customHeight="1" x14ac:dyDescent="0.3">
      <c r="A24" s="106">
        <v>250057</v>
      </c>
      <c r="B24" s="106">
        <v>304</v>
      </c>
      <c r="C24" s="99">
        <v>0.7</v>
      </c>
      <c r="D24" s="99" t="s">
        <v>12</v>
      </c>
      <c r="E24" s="109" t="s">
        <v>214</v>
      </c>
      <c r="F24" s="106" t="s">
        <v>28</v>
      </c>
      <c r="G24" s="106">
        <v>304</v>
      </c>
      <c r="H24" s="124">
        <v>410</v>
      </c>
      <c r="I24" s="19"/>
      <c r="J24" s="124"/>
    </row>
    <row r="25" spans="1:10" ht="19.95" customHeight="1" x14ac:dyDescent="0.3">
      <c r="A25" s="106">
        <v>250052</v>
      </c>
      <c r="B25" s="106">
        <v>304</v>
      </c>
      <c r="C25" s="99">
        <v>0.7</v>
      </c>
      <c r="D25" s="99" t="s">
        <v>12</v>
      </c>
      <c r="E25" s="109" t="s">
        <v>215</v>
      </c>
      <c r="F25" s="106" t="s">
        <v>28</v>
      </c>
      <c r="G25" s="106">
        <v>304</v>
      </c>
      <c r="H25" s="124">
        <v>800</v>
      </c>
      <c r="I25" s="19"/>
      <c r="J25" s="124"/>
    </row>
    <row r="26" spans="1:10" ht="19.95" customHeight="1" x14ac:dyDescent="0.3">
      <c r="A26" s="138"/>
      <c r="B26" s="138"/>
      <c r="C26" s="139"/>
      <c r="D26" s="139"/>
      <c r="E26" s="137"/>
      <c r="F26" s="138"/>
      <c r="G26" s="138"/>
      <c r="H26" s="140"/>
      <c r="I26" s="19"/>
      <c r="J26" s="124">
        <f t="shared" si="0"/>
        <v>0</v>
      </c>
    </row>
    <row r="27" spans="1:10" ht="19.95" customHeight="1" x14ac:dyDescent="0.3">
      <c r="A27" s="138"/>
      <c r="B27" s="138"/>
      <c r="C27" s="139"/>
      <c r="D27" s="139"/>
      <c r="E27" s="137"/>
      <c r="F27" s="138"/>
      <c r="G27" s="138"/>
      <c r="H27" s="140"/>
      <c r="I27" s="19"/>
      <c r="J27" s="124">
        <f t="shared" si="0"/>
        <v>0</v>
      </c>
    </row>
    <row r="28" spans="1:10" ht="19.95" customHeight="1" x14ac:dyDescent="0.3">
      <c r="A28" s="14"/>
      <c r="B28" s="14"/>
      <c r="C28" s="14"/>
      <c r="D28" s="14"/>
      <c r="E28" s="15"/>
      <c r="F28" s="14"/>
      <c r="G28" s="16"/>
      <c r="H28" s="17">
        <f>SUM(H5:H27)</f>
        <v>5070</v>
      </c>
      <c r="I28" s="19">
        <f>SUM(I5:I26)</f>
        <v>2270</v>
      </c>
      <c r="J28" s="124">
        <f>SUM(J5:J27)</f>
        <v>220</v>
      </c>
    </row>
    <row r="30" spans="1:10" ht="30" customHeight="1" x14ac:dyDescent="0.3">
      <c r="A30" s="172" t="s">
        <v>24</v>
      </c>
      <c r="B30" s="172"/>
      <c r="C30" s="172"/>
      <c r="D30" s="172"/>
      <c r="E30" s="172"/>
      <c r="F30" s="172"/>
      <c r="G30" s="172"/>
      <c r="H30" s="172"/>
      <c r="I30" s="172"/>
      <c r="J30" s="172"/>
    </row>
    <row r="31" spans="1:10" ht="30" customHeight="1" x14ac:dyDescent="0.3">
      <c r="A31" s="106" t="s">
        <v>65</v>
      </c>
      <c r="B31" s="106" t="s">
        <v>66</v>
      </c>
      <c r="C31" s="96" t="s">
        <v>67</v>
      </c>
      <c r="D31" s="96" t="s">
        <v>68</v>
      </c>
      <c r="E31" s="106" t="s">
        <v>69</v>
      </c>
      <c r="F31" s="96" t="s">
        <v>70</v>
      </c>
      <c r="G31" s="96" t="s">
        <v>71</v>
      </c>
      <c r="H31" s="106" t="s">
        <v>72</v>
      </c>
      <c r="I31" s="106" t="s">
        <v>73</v>
      </c>
      <c r="J31" s="106" t="s">
        <v>74</v>
      </c>
    </row>
    <row r="32" spans="1:10" ht="30" customHeight="1" x14ac:dyDescent="0.3">
      <c r="A32" s="106"/>
      <c r="B32" s="106"/>
      <c r="C32" s="99"/>
      <c r="D32" s="99"/>
      <c r="E32" s="109"/>
      <c r="F32" s="106"/>
      <c r="G32" s="106"/>
      <c r="H32" s="124"/>
      <c r="I32" s="106"/>
      <c r="J32" s="124">
        <f>H32-I32</f>
        <v>0</v>
      </c>
    </row>
    <row r="33" spans="1:10" ht="30" customHeight="1" x14ac:dyDescent="0.3">
      <c r="A33" s="138"/>
      <c r="B33" s="138"/>
      <c r="C33" s="139"/>
      <c r="D33" s="139"/>
      <c r="E33" s="137"/>
      <c r="F33" s="106"/>
      <c r="G33" s="138"/>
      <c r="H33" s="140"/>
      <c r="I33" s="106"/>
      <c r="J33" s="124">
        <f t="shared" ref="J33:J47" si="1">H33-I33</f>
        <v>0</v>
      </c>
    </row>
    <row r="34" spans="1:10" ht="30" customHeight="1" x14ac:dyDescent="0.3">
      <c r="A34" s="106"/>
      <c r="B34" s="106"/>
      <c r="C34" s="99"/>
      <c r="D34" s="99"/>
      <c r="E34" s="109"/>
      <c r="F34" s="106"/>
      <c r="G34" s="106"/>
      <c r="H34" s="124"/>
      <c r="I34" s="106"/>
      <c r="J34" s="124">
        <f t="shared" si="1"/>
        <v>0</v>
      </c>
    </row>
    <row r="35" spans="1:10" ht="30" customHeight="1" x14ac:dyDescent="0.3">
      <c r="A35" s="106">
        <v>250049</v>
      </c>
      <c r="B35" s="106">
        <v>304</v>
      </c>
      <c r="C35" s="99">
        <v>0.9</v>
      </c>
      <c r="D35" s="99" t="s">
        <v>21</v>
      </c>
      <c r="E35" s="109" t="s">
        <v>184</v>
      </c>
      <c r="F35" s="106" t="s">
        <v>185</v>
      </c>
      <c r="G35" s="106">
        <v>430</v>
      </c>
      <c r="H35" s="124">
        <v>450</v>
      </c>
      <c r="I35" s="106"/>
      <c r="J35" s="124">
        <f t="shared" si="1"/>
        <v>450</v>
      </c>
    </row>
    <row r="36" spans="1:10" ht="30" customHeight="1" x14ac:dyDescent="0.3">
      <c r="A36" s="106">
        <v>250042</v>
      </c>
      <c r="B36" s="106">
        <v>304</v>
      </c>
      <c r="C36" s="99">
        <v>0.9</v>
      </c>
      <c r="D36" s="99" t="s">
        <v>21</v>
      </c>
      <c r="E36" s="109" t="s">
        <v>186</v>
      </c>
      <c r="F36" s="106" t="s">
        <v>185</v>
      </c>
      <c r="G36" s="106">
        <v>304</v>
      </c>
      <c r="H36" s="124">
        <v>750</v>
      </c>
      <c r="I36" s="106"/>
      <c r="J36" s="124">
        <f t="shared" si="1"/>
        <v>750</v>
      </c>
    </row>
    <row r="37" spans="1:10" ht="30" customHeight="1" x14ac:dyDescent="0.3">
      <c r="A37" s="106"/>
      <c r="B37" s="106"/>
      <c r="C37" s="96"/>
      <c r="D37" s="96"/>
      <c r="E37" s="109"/>
      <c r="F37" s="96"/>
      <c r="G37" s="96"/>
      <c r="H37" s="106"/>
      <c r="I37" s="106"/>
      <c r="J37" s="124">
        <f t="shared" si="1"/>
        <v>0</v>
      </c>
    </row>
    <row r="38" spans="1:10" ht="30" customHeight="1" x14ac:dyDescent="0.3">
      <c r="A38" s="106"/>
      <c r="B38" s="106"/>
      <c r="C38" s="96"/>
      <c r="D38" s="114" t="s">
        <v>180</v>
      </c>
      <c r="E38" s="109" t="s">
        <v>171</v>
      </c>
      <c r="F38" s="96"/>
      <c r="G38" s="96"/>
      <c r="H38" s="106"/>
      <c r="I38" s="106"/>
      <c r="J38" s="124">
        <f t="shared" si="1"/>
        <v>0</v>
      </c>
    </row>
    <row r="39" spans="1:10" ht="30" customHeight="1" x14ac:dyDescent="0.3">
      <c r="A39" s="106"/>
      <c r="B39" s="106"/>
      <c r="C39" s="96"/>
      <c r="D39" s="114" t="s">
        <v>180</v>
      </c>
      <c r="E39" s="109" t="s">
        <v>179</v>
      </c>
      <c r="F39" s="96"/>
      <c r="G39" s="96"/>
      <c r="H39" s="106"/>
      <c r="I39" s="106"/>
      <c r="J39" s="124">
        <f t="shared" si="1"/>
        <v>0</v>
      </c>
    </row>
    <row r="40" spans="1:10" ht="24" customHeight="1" x14ac:dyDescent="0.3">
      <c r="A40" s="106"/>
      <c r="B40" s="106"/>
      <c r="C40" s="99"/>
      <c r="D40" s="104" t="s">
        <v>180</v>
      </c>
      <c r="E40" s="109" t="s">
        <v>177</v>
      </c>
      <c r="F40" s="106"/>
      <c r="G40" s="106"/>
      <c r="H40" s="124"/>
      <c r="I40" s="108"/>
      <c r="J40" s="124">
        <f t="shared" si="1"/>
        <v>0</v>
      </c>
    </row>
    <row r="41" spans="1:10" ht="19.95" hidden="1" customHeight="1" x14ac:dyDescent="0.3">
      <c r="A41" s="106"/>
      <c r="B41" s="106"/>
      <c r="C41" s="99"/>
      <c r="D41" s="99"/>
      <c r="E41" s="109"/>
      <c r="F41" s="106"/>
      <c r="G41" s="106"/>
      <c r="H41" s="124"/>
      <c r="I41" s="108"/>
      <c r="J41" s="124">
        <f t="shared" si="1"/>
        <v>0</v>
      </c>
    </row>
    <row r="42" spans="1:10" ht="19.95" hidden="1" customHeight="1" x14ac:dyDescent="0.3">
      <c r="A42" s="106"/>
      <c r="B42" s="106"/>
      <c r="C42" s="99"/>
      <c r="D42" s="99"/>
      <c r="E42" s="109"/>
      <c r="F42" s="109"/>
      <c r="G42" s="106"/>
      <c r="H42" s="124"/>
      <c r="I42" s="108"/>
      <c r="J42" s="124">
        <f t="shared" si="1"/>
        <v>0</v>
      </c>
    </row>
    <row r="43" spans="1:10" ht="19.95" hidden="1" customHeight="1" x14ac:dyDescent="0.3">
      <c r="A43" s="106"/>
      <c r="B43" s="106"/>
      <c r="C43" s="99"/>
      <c r="D43" s="99"/>
      <c r="E43" s="109"/>
      <c r="F43" s="109"/>
      <c r="G43" s="106"/>
      <c r="H43" s="124"/>
      <c r="I43" s="108"/>
      <c r="J43" s="124">
        <f t="shared" si="1"/>
        <v>0</v>
      </c>
    </row>
    <row r="44" spans="1:10" ht="19.95" hidden="1" customHeight="1" x14ac:dyDescent="0.3">
      <c r="A44" s="106"/>
      <c r="B44" s="106"/>
      <c r="C44" s="99"/>
      <c r="D44" s="99"/>
      <c r="E44" s="109"/>
      <c r="F44" s="109"/>
      <c r="G44" s="106"/>
      <c r="H44" s="124"/>
      <c r="I44" s="108"/>
      <c r="J44" s="124">
        <f t="shared" si="1"/>
        <v>0</v>
      </c>
    </row>
    <row r="45" spans="1:10" ht="19.95" hidden="1" customHeight="1" x14ac:dyDescent="0.3">
      <c r="A45" s="106"/>
      <c r="B45" s="106"/>
      <c r="C45" s="99"/>
      <c r="D45" s="99"/>
      <c r="E45" s="109"/>
      <c r="F45" s="109"/>
      <c r="G45" s="106"/>
      <c r="H45" s="124"/>
      <c r="I45" s="108"/>
      <c r="J45" s="124">
        <f t="shared" si="1"/>
        <v>0</v>
      </c>
    </row>
    <row r="46" spans="1:10" ht="19.95" hidden="1" customHeight="1" x14ac:dyDescent="0.3">
      <c r="A46" s="106"/>
      <c r="B46" s="106"/>
      <c r="C46" s="99"/>
      <c r="D46" s="99"/>
      <c r="E46" s="109"/>
      <c r="F46" s="109"/>
      <c r="G46" s="106"/>
      <c r="H46" s="124"/>
      <c r="I46" s="108"/>
      <c r="J46" s="124">
        <f t="shared" si="1"/>
        <v>0</v>
      </c>
    </row>
    <row r="47" spans="1:10" ht="19.95" customHeight="1" x14ac:dyDescent="0.3">
      <c r="A47" s="106"/>
      <c r="B47" s="106"/>
      <c r="C47" s="99"/>
      <c r="D47" s="99"/>
      <c r="E47" s="109"/>
      <c r="F47" s="109"/>
      <c r="G47" s="106"/>
      <c r="H47" s="124"/>
      <c r="I47" s="19"/>
      <c r="J47" s="124">
        <f t="shared" si="1"/>
        <v>0</v>
      </c>
    </row>
    <row r="48" spans="1:10" ht="19.95" customHeight="1" x14ac:dyDescent="0.3">
      <c r="A48" s="14"/>
      <c r="B48" s="14"/>
      <c r="C48" s="14"/>
      <c r="D48" s="14"/>
      <c r="E48" s="15"/>
      <c r="F48" s="14"/>
      <c r="G48" s="16"/>
      <c r="H48" s="124">
        <f>SUM(H40:H47)</f>
        <v>0</v>
      </c>
      <c r="I48" s="108">
        <f>SUM(I40:I47)</f>
        <v>0</v>
      </c>
      <c r="J48" s="124">
        <f>SUM(J32:J47)</f>
        <v>1200</v>
      </c>
    </row>
    <row r="50" spans="1:10" ht="23.4" x14ac:dyDescent="0.3">
      <c r="A50" s="180" t="s">
        <v>62</v>
      </c>
      <c r="B50" s="180"/>
      <c r="C50" s="180"/>
      <c r="D50" s="180"/>
      <c r="E50" s="180"/>
      <c r="F50" s="180"/>
      <c r="G50" s="180"/>
      <c r="H50" s="180"/>
      <c r="I50" s="180"/>
      <c r="J50" s="180"/>
    </row>
  </sheetData>
  <mergeCells count="5">
    <mergeCell ref="I1:J1"/>
    <mergeCell ref="A2:J2"/>
    <mergeCell ref="A3:J3"/>
    <mergeCell ref="A30:J30"/>
    <mergeCell ref="A50:J50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5" orientation="landscape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zoomScale="85" zoomScaleNormal="85" workbookViewId="0">
      <selection activeCell="I5" sqref="I5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3.66406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45962</v>
      </c>
      <c r="J1" s="168"/>
    </row>
    <row r="2" spans="1:10" ht="40.049999999999997" customHeight="1" x14ac:dyDescent="0.3">
      <c r="A2" s="169" t="s">
        <v>41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38">
        <v>160925</v>
      </c>
      <c r="B5" s="138">
        <v>304</v>
      </c>
      <c r="C5" s="139">
        <v>0.9</v>
      </c>
      <c r="D5" s="139" t="s">
        <v>21</v>
      </c>
      <c r="E5" s="137" t="s">
        <v>182</v>
      </c>
      <c r="F5" s="106" t="s">
        <v>185</v>
      </c>
      <c r="G5" s="138">
        <v>430</v>
      </c>
      <c r="H5" s="140">
        <v>1100</v>
      </c>
      <c r="I5" s="19">
        <f>840+275</f>
        <v>1115</v>
      </c>
      <c r="J5" s="124">
        <f>H5-I5</f>
        <v>-15</v>
      </c>
    </row>
    <row r="6" spans="1:10" ht="19.95" customHeight="1" x14ac:dyDescent="0.3">
      <c r="A6" s="106">
        <v>250052</v>
      </c>
      <c r="B6" s="106">
        <v>304</v>
      </c>
      <c r="C6" s="99">
        <v>0.7</v>
      </c>
      <c r="D6" s="99" t="s">
        <v>12</v>
      </c>
      <c r="E6" s="109" t="s">
        <v>216</v>
      </c>
      <c r="F6" s="106" t="s">
        <v>28</v>
      </c>
      <c r="G6" s="106">
        <v>304</v>
      </c>
      <c r="H6" s="124">
        <v>800</v>
      </c>
      <c r="I6" s="108">
        <v>620</v>
      </c>
      <c r="J6" s="124">
        <f>H6-I6</f>
        <v>180</v>
      </c>
    </row>
    <row r="7" spans="1:10" ht="19.95" customHeight="1" x14ac:dyDescent="0.3">
      <c r="A7" s="106">
        <v>250055</v>
      </c>
      <c r="B7" s="106">
        <v>304</v>
      </c>
      <c r="C7" s="99">
        <v>0.7</v>
      </c>
      <c r="D7" s="99" t="s">
        <v>12</v>
      </c>
      <c r="E7" s="109" t="s">
        <v>217</v>
      </c>
      <c r="F7" s="106" t="s">
        <v>28</v>
      </c>
      <c r="G7" s="106">
        <v>304</v>
      </c>
      <c r="H7" s="124">
        <v>830</v>
      </c>
      <c r="I7" s="108"/>
      <c r="J7" s="124">
        <f t="shared" ref="J7:J18" si="0">H7-I7</f>
        <v>830</v>
      </c>
    </row>
    <row r="8" spans="1:10" ht="19.95" customHeight="1" x14ac:dyDescent="0.3">
      <c r="A8" s="106">
        <v>250061</v>
      </c>
      <c r="B8" s="106">
        <v>304</v>
      </c>
      <c r="C8" s="99">
        <v>0.7</v>
      </c>
      <c r="D8" s="99" t="s">
        <v>12</v>
      </c>
      <c r="E8" s="109" t="s">
        <v>218</v>
      </c>
      <c r="F8" s="106" t="s">
        <v>28</v>
      </c>
      <c r="G8" s="106">
        <v>304</v>
      </c>
      <c r="H8" s="124">
        <v>540</v>
      </c>
      <c r="I8" s="108"/>
      <c r="J8" s="124">
        <f t="shared" si="0"/>
        <v>540</v>
      </c>
    </row>
    <row r="9" spans="1:10" ht="19.95" customHeight="1" x14ac:dyDescent="0.3">
      <c r="A9" s="106">
        <v>250057</v>
      </c>
      <c r="B9" s="106">
        <v>304</v>
      </c>
      <c r="C9" s="99">
        <v>0.7</v>
      </c>
      <c r="D9" s="99" t="s">
        <v>12</v>
      </c>
      <c r="E9" s="109" t="s">
        <v>219</v>
      </c>
      <c r="F9" s="106" t="s">
        <v>28</v>
      </c>
      <c r="G9" s="106">
        <v>304</v>
      </c>
      <c r="H9" s="124">
        <v>410</v>
      </c>
      <c r="I9" s="108"/>
      <c r="J9" s="124">
        <f t="shared" si="0"/>
        <v>410</v>
      </c>
    </row>
    <row r="10" spans="1:10" ht="19.95" customHeight="1" x14ac:dyDescent="0.3">
      <c r="A10" s="106">
        <v>250080</v>
      </c>
      <c r="B10" s="106">
        <v>304</v>
      </c>
      <c r="C10" s="99">
        <v>0.6</v>
      </c>
      <c r="D10" s="99" t="s">
        <v>12</v>
      </c>
      <c r="E10" s="109" t="s">
        <v>220</v>
      </c>
      <c r="F10" s="106" t="s">
        <v>28</v>
      </c>
      <c r="G10" s="106">
        <v>430</v>
      </c>
      <c r="H10" s="124">
        <v>300</v>
      </c>
      <c r="I10" s="19"/>
      <c r="J10" s="124">
        <f t="shared" si="0"/>
        <v>300</v>
      </c>
    </row>
    <row r="11" spans="1:10" ht="19.95" customHeight="1" x14ac:dyDescent="0.3">
      <c r="A11" s="106">
        <v>250080</v>
      </c>
      <c r="B11" s="106">
        <v>304</v>
      </c>
      <c r="C11" s="99">
        <v>0.6</v>
      </c>
      <c r="D11" s="99" t="s">
        <v>12</v>
      </c>
      <c r="E11" s="109" t="s">
        <v>221</v>
      </c>
      <c r="F11" s="138" t="s">
        <v>27</v>
      </c>
      <c r="G11" s="106">
        <v>430</v>
      </c>
      <c r="H11" s="124">
        <v>500</v>
      </c>
      <c r="I11" s="19"/>
      <c r="J11" s="124">
        <f t="shared" si="0"/>
        <v>500</v>
      </c>
    </row>
    <row r="12" spans="1:10" ht="19.95" customHeight="1" x14ac:dyDescent="0.3">
      <c r="A12" s="106">
        <v>250057</v>
      </c>
      <c r="B12" s="106">
        <v>304</v>
      </c>
      <c r="C12" s="99">
        <v>0.7</v>
      </c>
      <c r="D12" s="99" t="s">
        <v>12</v>
      </c>
      <c r="E12" s="109" t="s">
        <v>223</v>
      </c>
      <c r="F12" s="141"/>
      <c r="G12" s="106">
        <v>304</v>
      </c>
      <c r="H12" s="124">
        <v>410</v>
      </c>
      <c r="I12" s="19"/>
      <c r="J12" s="124">
        <f t="shared" si="0"/>
        <v>410</v>
      </c>
    </row>
    <row r="13" spans="1:10" ht="19.95" customHeight="1" x14ac:dyDescent="0.3">
      <c r="A13" s="106">
        <v>250061</v>
      </c>
      <c r="B13" s="106">
        <v>304</v>
      </c>
      <c r="C13" s="99">
        <v>0.7</v>
      </c>
      <c r="D13" s="99" t="s">
        <v>12</v>
      </c>
      <c r="E13" s="109" t="s">
        <v>224</v>
      </c>
      <c r="F13" s="39"/>
      <c r="G13" s="106">
        <v>304</v>
      </c>
      <c r="H13" s="124">
        <v>540</v>
      </c>
      <c r="I13" s="19"/>
      <c r="J13" s="124">
        <f t="shared" si="0"/>
        <v>540</v>
      </c>
    </row>
    <row r="14" spans="1:10" ht="19.95" customHeight="1" x14ac:dyDescent="0.3">
      <c r="A14" s="106">
        <v>250080</v>
      </c>
      <c r="B14" s="106">
        <v>304</v>
      </c>
      <c r="C14" s="99">
        <v>0.6</v>
      </c>
      <c r="D14" s="99" t="s">
        <v>9</v>
      </c>
      <c r="E14" s="109" t="s">
        <v>222</v>
      </c>
      <c r="F14" s="106" t="s">
        <v>27</v>
      </c>
      <c r="G14" s="106" t="s">
        <v>139</v>
      </c>
      <c r="H14" s="124">
        <v>500</v>
      </c>
      <c r="I14" s="19"/>
      <c r="J14" s="124">
        <f t="shared" si="0"/>
        <v>500</v>
      </c>
    </row>
    <row r="15" spans="1:10" ht="19.95" customHeight="1" x14ac:dyDescent="0.3">
      <c r="A15" s="138"/>
      <c r="B15" s="138"/>
      <c r="C15" s="139"/>
      <c r="D15" s="139"/>
      <c r="E15" s="137"/>
      <c r="F15" s="106"/>
      <c r="G15" s="138"/>
      <c r="H15" s="140"/>
      <c r="I15" s="19"/>
      <c r="J15" s="124">
        <f t="shared" si="0"/>
        <v>0</v>
      </c>
    </row>
    <row r="16" spans="1:10" ht="19.95" customHeight="1" x14ac:dyDescent="0.3">
      <c r="A16" s="106"/>
      <c r="B16" s="106"/>
      <c r="C16" s="99"/>
      <c r="D16" s="99"/>
      <c r="E16" s="109"/>
      <c r="F16" s="106"/>
      <c r="G16" s="106"/>
      <c r="H16" s="124"/>
      <c r="I16" s="19"/>
      <c r="J16" s="124">
        <f t="shared" si="0"/>
        <v>0</v>
      </c>
    </row>
    <row r="17" spans="1:10" ht="19.95" customHeight="1" x14ac:dyDescent="0.3">
      <c r="A17" s="138"/>
      <c r="B17" s="138"/>
      <c r="C17" s="139"/>
      <c r="D17" s="139"/>
      <c r="E17" s="137"/>
      <c r="F17" s="138"/>
      <c r="G17" s="138"/>
      <c r="H17" s="140"/>
      <c r="I17" s="19"/>
      <c r="J17" s="124">
        <f t="shared" si="0"/>
        <v>0</v>
      </c>
    </row>
    <row r="18" spans="1:10" ht="19.95" customHeight="1" x14ac:dyDescent="0.3">
      <c r="A18" s="138"/>
      <c r="B18" s="138"/>
      <c r="C18" s="139"/>
      <c r="D18" s="139"/>
      <c r="E18" s="137"/>
      <c r="F18" s="138"/>
      <c r="G18" s="138"/>
      <c r="H18" s="140"/>
      <c r="I18" s="19"/>
      <c r="J18" s="124">
        <f t="shared" si="0"/>
        <v>0</v>
      </c>
    </row>
    <row r="19" spans="1:10" ht="19.95" customHeight="1" x14ac:dyDescent="0.3">
      <c r="A19" s="14"/>
      <c r="B19" s="14"/>
      <c r="C19" s="14"/>
      <c r="D19" s="14"/>
      <c r="E19" s="15"/>
      <c r="F19" s="14"/>
      <c r="G19" s="16"/>
      <c r="H19" s="17">
        <f>SUM(H6:H18)</f>
        <v>4830</v>
      </c>
      <c r="I19" s="19">
        <f>SUM(I6:I17)</f>
        <v>620</v>
      </c>
      <c r="J19" s="124">
        <f>SUM(J6:J18)</f>
        <v>4210</v>
      </c>
    </row>
    <row r="21" spans="1:10" ht="30" customHeight="1" x14ac:dyDescent="0.3">
      <c r="A21" s="172" t="s">
        <v>24</v>
      </c>
      <c r="B21" s="172"/>
      <c r="C21" s="172"/>
      <c r="D21" s="172"/>
      <c r="E21" s="172"/>
      <c r="F21" s="172"/>
      <c r="G21" s="172"/>
      <c r="H21" s="172"/>
      <c r="I21" s="172"/>
      <c r="J21" s="172"/>
    </row>
    <row r="22" spans="1:10" ht="30" customHeight="1" x14ac:dyDescent="0.3">
      <c r="A22" s="106" t="s">
        <v>65</v>
      </c>
      <c r="B22" s="106" t="s">
        <v>66</v>
      </c>
      <c r="C22" s="96" t="s">
        <v>67</v>
      </c>
      <c r="D22" s="96" t="s">
        <v>68</v>
      </c>
      <c r="E22" s="106" t="s">
        <v>69</v>
      </c>
      <c r="F22" s="96" t="s">
        <v>70</v>
      </c>
      <c r="G22" s="96" t="s">
        <v>71</v>
      </c>
      <c r="H22" s="106" t="s">
        <v>72</v>
      </c>
      <c r="I22" s="106" t="s">
        <v>73</v>
      </c>
      <c r="J22" s="106" t="s">
        <v>74</v>
      </c>
    </row>
    <row r="23" spans="1:10" ht="30" customHeight="1" x14ac:dyDescent="0.3">
      <c r="A23" s="106">
        <v>250049</v>
      </c>
      <c r="B23" s="106">
        <v>304</v>
      </c>
      <c r="C23" s="99">
        <v>0.9</v>
      </c>
      <c r="D23" s="99" t="s">
        <v>21</v>
      </c>
      <c r="E23" s="109" t="s">
        <v>184</v>
      </c>
      <c r="F23" s="106" t="s">
        <v>185</v>
      </c>
      <c r="G23" s="106">
        <v>430</v>
      </c>
      <c r="H23" s="124">
        <v>450</v>
      </c>
      <c r="I23" s="106"/>
      <c r="J23" s="124">
        <f>H23-I23</f>
        <v>450</v>
      </c>
    </row>
    <row r="24" spans="1:10" ht="30" customHeight="1" x14ac:dyDescent="0.3">
      <c r="A24" s="106">
        <v>250042</v>
      </c>
      <c r="B24" s="106">
        <v>304</v>
      </c>
      <c r="C24" s="99">
        <v>0.9</v>
      </c>
      <c r="D24" s="99" t="s">
        <v>21</v>
      </c>
      <c r="E24" s="109" t="s">
        <v>186</v>
      </c>
      <c r="F24" s="106" t="s">
        <v>185</v>
      </c>
      <c r="G24" s="106">
        <v>304</v>
      </c>
      <c r="H24" s="124">
        <v>750</v>
      </c>
      <c r="I24" s="106"/>
      <c r="J24" s="124">
        <f t="shared" ref="J24:J35" si="1">H24-I24</f>
        <v>750</v>
      </c>
    </row>
    <row r="25" spans="1:10" ht="30" customHeight="1" x14ac:dyDescent="0.3">
      <c r="A25" s="106"/>
      <c r="B25" s="106"/>
      <c r="C25" s="99"/>
      <c r="D25" s="99"/>
      <c r="E25" s="109"/>
      <c r="F25" s="106"/>
      <c r="G25" s="106"/>
      <c r="H25" s="124"/>
      <c r="I25" s="106"/>
      <c r="J25" s="124">
        <f t="shared" si="1"/>
        <v>0</v>
      </c>
    </row>
    <row r="26" spans="1:10" ht="30" customHeight="1" x14ac:dyDescent="0.3">
      <c r="A26" s="106"/>
      <c r="B26" s="106"/>
      <c r="C26" s="99"/>
      <c r="D26" s="114" t="s">
        <v>180</v>
      </c>
      <c r="E26" s="109" t="s">
        <v>171</v>
      </c>
      <c r="F26" s="106"/>
      <c r="G26" s="106"/>
      <c r="H26" s="124"/>
      <c r="I26" s="106"/>
      <c r="J26" s="124">
        <f t="shared" si="1"/>
        <v>0</v>
      </c>
    </row>
    <row r="27" spans="1:10" ht="30" customHeight="1" x14ac:dyDescent="0.3">
      <c r="A27" s="106"/>
      <c r="B27" s="106"/>
      <c r="C27" s="99"/>
      <c r="D27" s="114" t="s">
        <v>180</v>
      </c>
      <c r="E27" s="109" t="s">
        <v>179</v>
      </c>
      <c r="F27" s="106"/>
      <c r="G27" s="106"/>
      <c r="H27" s="124"/>
      <c r="I27" s="106"/>
      <c r="J27" s="124">
        <f t="shared" si="1"/>
        <v>0</v>
      </c>
    </row>
    <row r="28" spans="1:10" ht="30" customHeight="1" x14ac:dyDescent="0.3">
      <c r="A28" s="106"/>
      <c r="B28" s="106"/>
      <c r="C28" s="96"/>
      <c r="D28" s="104" t="s">
        <v>180</v>
      </c>
      <c r="E28" s="109" t="s">
        <v>177</v>
      </c>
      <c r="F28" s="96"/>
      <c r="G28" s="96"/>
      <c r="H28" s="106"/>
      <c r="I28" s="106"/>
      <c r="J28" s="124">
        <f t="shared" si="1"/>
        <v>0</v>
      </c>
    </row>
    <row r="29" spans="1:10" ht="19.95" hidden="1" customHeight="1" x14ac:dyDescent="0.3">
      <c r="A29" s="106"/>
      <c r="B29" s="106"/>
      <c r="C29" s="99"/>
      <c r="D29" s="99"/>
      <c r="E29" s="109"/>
      <c r="F29" s="106"/>
      <c r="G29" s="106"/>
      <c r="H29" s="124"/>
      <c r="I29" s="108"/>
      <c r="J29" s="124">
        <f t="shared" si="1"/>
        <v>0</v>
      </c>
    </row>
    <row r="30" spans="1:10" ht="19.95" hidden="1" customHeight="1" x14ac:dyDescent="0.3">
      <c r="A30" s="106"/>
      <c r="B30" s="106"/>
      <c r="C30" s="99"/>
      <c r="D30" s="99"/>
      <c r="E30" s="109"/>
      <c r="F30" s="109"/>
      <c r="G30" s="106"/>
      <c r="H30" s="124"/>
      <c r="I30" s="108"/>
      <c r="J30" s="124">
        <f t="shared" si="1"/>
        <v>0</v>
      </c>
    </row>
    <row r="31" spans="1:10" ht="19.95" hidden="1" customHeight="1" x14ac:dyDescent="0.3">
      <c r="A31" s="106"/>
      <c r="B31" s="106"/>
      <c r="C31" s="99"/>
      <c r="D31" s="99"/>
      <c r="E31" s="109"/>
      <c r="F31" s="109"/>
      <c r="G31" s="106"/>
      <c r="H31" s="124"/>
      <c r="I31" s="108"/>
      <c r="J31" s="124">
        <f t="shared" si="1"/>
        <v>0</v>
      </c>
    </row>
    <row r="32" spans="1:10" ht="19.95" hidden="1" customHeight="1" x14ac:dyDescent="0.3">
      <c r="A32" s="106"/>
      <c r="B32" s="106"/>
      <c r="C32" s="99"/>
      <c r="D32" s="99"/>
      <c r="E32" s="109"/>
      <c r="F32" s="109"/>
      <c r="G32" s="106"/>
      <c r="H32" s="124"/>
      <c r="I32" s="108"/>
      <c r="J32" s="124">
        <f t="shared" si="1"/>
        <v>0</v>
      </c>
    </row>
    <row r="33" spans="1:10" ht="19.95" hidden="1" customHeight="1" x14ac:dyDescent="0.3">
      <c r="A33" s="106"/>
      <c r="B33" s="106"/>
      <c r="C33" s="99"/>
      <c r="D33" s="99"/>
      <c r="E33" s="109"/>
      <c r="F33" s="109"/>
      <c r="G33" s="106"/>
      <c r="H33" s="124"/>
      <c r="I33" s="108"/>
      <c r="J33" s="124">
        <f t="shared" si="1"/>
        <v>0</v>
      </c>
    </row>
    <row r="34" spans="1:10" ht="19.95" hidden="1" customHeight="1" x14ac:dyDescent="0.3">
      <c r="A34" s="106"/>
      <c r="B34" s="106"/>
      <c r="C34" s="99"/>
      <c r="D34" s="99"/>
      <c r="E34" s="109"/>
      <c r="F34" s="109"/>
      <c r="G34" s="106"/>
      <c r="H34" s="124"/>
      <c r="I34" s="108"/>
      <c r="J34" s="124">
        <f t="shared" si="1"/>
        <v>0</v>
      </c>
    </row>
    <row r="35" spans="1:10" ht="19.95" customHeight="1" x14ac:dyDescent="0.3">
      <c r="A35" s="106"/>
      <c r="B35" s="106"/>
      <c r="C35" s="99"/>
      <c r="D35" s="99"/>
      <c r="E35" s="109"/>
      <c r="F35" s="109"/>
      <c r="G35" s="106"/>
      <c r="H35" s="124"/>
      <c r="I35" s="19"/>
      <c r="J35" s="124">
        <f t="shared" si="1"/>
        <v>0</v>
      </c>
    </row>
    <row r="36" spans="1:10" ht="19.95" customHeight="1" x14ac:dyDescent="0.3">
      <c r="A36" s="14"/>
      <c r="B36" s="14"/>
      <c r="C36" s="14"/>
      <c r="D36" s="14"/>
      <c r="E36" s="15"/>
      <c r="F36" s="14"/>
      <c r="G36" s="16"/>
      <c r="H36" s="124">
        <f>SUM(H29:H35)</f>
        <v>0</v>
      </c>
      <c r="I36" s="108">
        <f>SUM(I29:I35)</f>
        <v>0</v>
      </c>
      <c r="J36" s="124">
        <f>SUM(J23:J35)</f>
        <v>1200</v>
      </c>
    </row>
    <row r="38" spans="1:10" ht="23.4" x14ac:dyDescent="0.3">
      <c r="A38" s="180" t="s">
        <v>62</v>
      </c>
      <c r="B38" s="180"/>
      <c r="C38" s="180"/>
      <c r="D38" s="180"/>
      <c r="E38" s="180"/>
      <c r="F38" s="180"/>
      <c r="G38" s="180"/>
      <c r="H38" s="180"/>
      <c r="I38" s="180"/>
      <c r="J38" s="180"/>
    </row>
  </sheetData>
  <mergeCells count="5">
    <mergeCell ref="I1:J1"/>
    <mergeCell ref="A2:J2"/>
    <mergeCell ref="A3:J3"/>
    <mergeCell ref="A21:J21"/>
    <mergeCell ref="A38:J38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7" orientation="landscape" horizontalDpi="1200" verticalDpi="1200" r:id="rId1"/>
  <ignoredErrors>
    <ignoredError sqref="I19" formula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zoomScale="85" zoomScaleNormal="85" workbookViewId="0">
      <selection activeCell="I11" sqref="I11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3.664062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45964</v>
      </c>
      <c r="J1" s="168"/>
    </row>
    <row r="2" spans="1:10" ht="40.049999999999997" customHeight="1" x14ac:dyDescent="0.3">
      <c r="A2" s="169" t="s">
        <v>16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06">
        <v>250052</v>
      </c>
      <c r="B5" s="106">
        <v>304</v>
      </c>
      <c r="C5" s="99">
        <v>0.7</v>
      </c>
      <c r="D5" s="99" t="s">
        <v>12</v>
      </c>
      <c r="E5" s="109" t="s">
        <v>216</v>
      </c>
      <c r="F5" s="106" t="s">
        <v>28</v>
      </c>
      <c r="G5" s="106">
        <v>304</v>
      </c>
      <c r="H5" s="124">
        <v>800</v>
      </c>
      <c r="I5" s="108">
        <f>620+180</f>
        <v>800</v>
      </c>
      <c r="J5" s="124">
        <f>H5-I5</f>
        <v>0</v>
      </c>
    </row>
    <row r="6" spans="1:10" ht="19.95" customHeight="1" x14ac:dyDescent="0.3">
      <c r="A6" s="106">
        <v>250055</v>
      </c>
      <c r="B6" s="106">
        <v>304</v>
      </c>
      <c r="C6" s="99">
        <v>0.7</v>
      </c>
      <c r="D6" s="99" t="s">
        <v>12</v>
      </c>
      <c r="E6" s="109" t="s">
        <v>217</v>
      </c>
      <c r="F6" s="106" t="s">
        <v>28</v>
      </c>
      <c r="G6" s="106">
        <v>304</v>
      </c>
      <c r="H6" s="124">
        <v>830</v>
      </c>
      <c r="I6" s="108">
        <v>830</v>
      </c>
      <c r="J6" s="124">
        <f>H6-I6</f>
        <v>0</v>
      </c>
    </row>
    <row r="7" spans="1:10" ht="19.95" customHeight="1" x14ac:dyDescent="0.3">
      <c r="A7" s="106">
        <v>250061</v>
      </c>
      <c r="B7" s="106">
        <v>304</v>
      </c>
      <c r="C7" s="99">
        <v>0.7</v>
      </c>
      <c r="D7" s="99" t="s">
        <v>12</v>
      </c>
      <c r="E7" s="109" t="s">
        <v>218</v>
      </c>
      <c r="F7" s="106" t="s">
        <v>28</v>
      </c>
      <c r="G7" s="106">
        <v>304</v>
      </c>
      <c r="H7" s="124">
        <v>540</v>
      </c>
      <c r="I7" s="108">
        <v>540</v>
      </c>
      <c r="J7" s="124">
        <f t="shared" ref="J7:J15" si="0">H7-I7</f>
        <v>0</v>
      </c>
    </row>
    <row r="8" spans="1:10" ht="19.95" customHeight="1" x14ac:dyDescent="0.3">
      <c r="A8" s="106">
        <v>250057</v>
      </c>
      <c r="B8" s="106">
        <v>304</v>
      </c>
      <c r="C8" s="99">
        <v>0.7</v>
      </c>
      <c r="D8" s="99" t="s">
        <v>12</v>
      </c>
      <c r="E8" s="109" t="s">
        <v>219</v>
      </c>
      <c r="F8" s="106" t="s">
        <v>28</v>
      </c>
      <c r="G8" s="106">
        <v>304</v>
      </c>
      <c r="H8" s="124">
        <v>410</v>
      </c>
      <c r="I8" s="108">
        <v>410</v>
      </c>
      <c r="J8" s="124">
        <f t="shared" si="0"/>
        <v>0</v>
      </c>
    </row>
    <row r="9" spans="1:10" ht="19.95" customHeight="1" x14ac:dyDescent="0.3">
      <c r="A9" s="106">
        <v>250080</v>
      </c>
      <c r="B9" s="106">
        <v>304</v>
      </c>
      <c r="C9" s="99">
        <v>0.6</v>
      </c>
      <c r="D9" s="99" t="s">
        <v>12</v>
      </c>
      <c r="E9" s="109" t="s">
        <v>220</v>
      </c>
      <c r="F9" s="106" t="s">
        <v>28</v>
      </c>
      <c r="G9" s="106">
        <v>430</v>
      </c>
      <c r="H9" s="124">
        <v>300</v>
      </c>
      <c r="I9" s="19">
        <v>120</v>
      </c>
      <c r="J9" s="124">
        <f t="shared" si="0"/>
        <v>180</v>
      </c>
    </row>
    <row r="10" spans="1:10" ht="19.95" customHeight="1" x14ac:dyDescent="0.3">
      <c r="A10" s="106">
        <v>250080</v>
      </c>
      <c r="B10" s="106">
        <v>304</v>
      </c>
      <c r="C10" s="99">
        <v>0.6</v>
      </c>
      <c r="D10" s="99" t="s">
        <v>42</v>
      </c>
      <c r="E10" s="109" t="s">
        <v>221</v>
      </c>
      <c r="F10" s="138" t="s">
        <v>27</v>
      </c>
      <c r="G10" s="106">
        <v>430</v>
      </c>
      <c r="H10" s="124">
        <v>500</v>
      </c>
      <c r="I10" s="19">
        <v>390</v>
      </c>
      <c r="J10" s="124">
        <f t="shared" si="0"/>
        <v>110</v>
      </c>
    </row>
    <row r="11" spans="1:10" ht="19.95" customHeight="1" x14ac:dyDescent="0.3">
      <c r="A11" s="106">
        <v>250080</v>
      </c>
      <c r="B11" s="106">
        <v>304</v>
      </c>
      <c r="C11" s="99">
        <v>0.6</v>
      </c>
      <c r="D11" s="99" t="s">
        <v>9</v>
      </c>
      <c r="E11" s="109" t="s">
        <v>222</v>
      </c>
      <c r="F11" s="106" t="s">
        <v>27</v>
      </c>
      <c r="G11" s="106" t="s">
        <v>139</v>
      </c>
      <c r="H11" s="124">
        <v>500</v>
      </c>
      <c r="I11" s="19"/>
      <c r="J11" s="124">
        <f t="shared" si="0"/>
        <v>500</v>
      </c>
    </row>
    <row r="12" spans="1:10" ht="19.95" customHeight="1" x14ac:dyDescent="0.3">
      <c r="A12" s="106">
        <v>250057</v>
      </c>
      <c r="B12" s="106">
        <v>304</v>
      </c>
      <c r="C12" s="99">
        <v>0.6</v>
      </c>
      <c r="D12" s="99" t="s">
        <v>9</v>
      </c>
      <c r="E12" s="109" t="s">
        <v>225</v>
      </c>
      <c r="F12" s="106" t="s">
        <v>28</v>
      </c>
      <c r="G12" s="106" t="s">
        <v>139</v>
      </c>
      <c r="H12" s="124">
        <v>540</v>
      </c>
      <c r="I12" s="19"/>
      <c r="J12" s="124">
        <f t="shared" si="0"/>
        <v>540</v>
      </c>
    </row>
    <row r="13" spans="1:10" ht="19.95" customHeight="1" x14ac:dyDescent="0.3">
      <c r="A13" s="138">
        <v>250061</v>
      </c>
      <c r="B13" s="106">
        <v>304</v>
      </c>
      <c r="C13" s="99">
        <v>0.6</v>
      </c>
      <c r="D13" s="99" t="s">
        <v>9</v>
      </c>
      <c r="E13" s="109" t="s">
        <v>225</v>
      </c>
      <c r="F13" s="106" t="s">
        <v>28</v>
      </c>
      <c r="G13" s="138" t="s">
        <v>139</v>
      </c>
      <c r="H13" s="140">
        <v>410</v>
      </c>
      <c r="I13" s="19"/>
      <c r="J13" s="124">
        <f t="shared" si="0"/>
        <v>410</v>
      </c>
    </row>
    <row r="14" spans="1:10" ht="19.95" customHeight="1" x14ac:dyDescent="0.3">
      <c r="A14" s="106">
        <v>250057</v>
      </c>
      <c r="B14" s="106">
        <v>304</v>
      </c>
      <c r="C14" s="99">
        <v>0.7</v>
      </c>
      <c r="D14" s="99" t="s">
        <v>12</v>
      </c>
      <c r="E14" s="109" t="s">
        <v>223</v>
      </c>
      <c r="F14" s="141" t="s">
        <v>28</v>
      </c>
      <c r="G14" s="106">
        <v>304</v>
      </c>
      <c r="H14" s="124">
        <v>410</v>
      </c>
      <c r="I14" s="19"/>
      <c r="J14" s="124">
        <f t="shared" si="0"/>
        <v>410</v>
      </c>
    </row>
    <row r="15" spans="1:10" ht="19.95" customHeight="1" x14ac:dyDescent="0.3">
      <c r="A15" s="106">
        <v>250061</v>
      </c>
      <c r="B15" s="106">
        <v>304</v>
      </c>
      <c r="C15" s="99">
        <v>0.7</v>
      </c>
      <c r="D15" s="99" t="s">
        <v>12</v>
      </c>
      <c r="E15" s="109" t="s">
        <v>224</v>
      </c>
      <c r="F15" s="39" t="s">
        <v>28</v>
      </c>
      <c r="G15" s="106">
        <v>304</v>
      </c>
      <c r="H15" s="124">
        <v>540</v>
      </c>
      <c r="I15" s="19"/>
      <c r="J15" s="124">
        <f t="shared" si="0"/>
        <v>540</v>
      </c>
    </row>
    <row r="16" spans="1:10" ht="19.95" customHeight="1" x14ac:dyDescent="0.3">
      <c r="A16" s="14"/>
      <c r="B16" s="14"/>
      <c r="C16" s="14"/>
      <c r="D16" s="14"/>
      <c r="E16" s="15"/>
      <c r="F16" s="14"/>
      <c r="G16" s="16"/>
      <c r="H16" s="17">
        <f>SUM(H6:H15)</f>
        <v>4980</v>
      </c>
      <c r="I16" s="19">
        <f>SUM(I5:I13)</f>
        <v>3090</v>
      </c>
      <c r="J16" s="124">
        <f>SUM(J6:J15)</f>
        <v>2690</v>
      </c>
    </row>
    <row r="18" spans="1:10" ht="30" customHeight="1" x14ac:dyDescent="0.3">
      <c r="A18" s="172" t="s">
        <v>24</v>
      </c>
      <c r="B18" s="172"/>
      <c r="C18" s="172"/>
      <c r="D18" s="172"/>
      <c r="E18" s="172"/>
      <c r="F18" s="172"/>
      <c r="G18" s="172"/>
      <c r="H18" s="172"/>
      <c r="I18" s="172"/>
      <c r="J18" s="172"/>
    </row>
    <row r="19" spans="1:10" ht="30" customHeight="1" x14ac:dyDescent="0.3">
      <c r="A19" s="106" t="s">
        <v>65</v>
      </c>
      <c r="B19" s="106" t="s">
        <v>66</v>
      </c>
      <c r="C19" s="96" t="s">
        <v>67</v>
      </c>
      <c r="D19" s="96" t="s">
        <v>68</v>
      </c>
      <c r="E19" s="106" t="s">
        <v>69</v>
      </c>
      <c r="F19" s="96" t="s">
        <v>70</v>
      </c>
      <c r="G19" s="96" t="s">
        <v>71</v>
      </c>
      <c r="H19" s="106" t="s">
        <v>72</v>
      </c>
      <c r="I19" s="106" t="s">
        <v>73</v>
      </c>
      <c r="J19" s="106" t="s">
        <v>74</v>
      </c>
    </row>
    <row r="20" spans="1:10" ht="30" customHeight="1" x14ac:dyDescent="0.3">
      <c r="A20" s="106">
        <v>250049</v>
      </c>
      <c r="B20" s="106">
        <v>304</v>
      </c>
      <c r="C20" s="99">
        <v>0.9</v>
      </c>
      <c r="D20" s="99" t="s">
        <v>21</v>
      </c>
      <c r="E20" s="109" t="s">
        <v>184</v>
      </c>
      <c r="F20" s="106" t="s">
        <v>185</v>
      </c>
      <c r="G20" s="106">
        <v>430</v>
      </c>
      <c r="H20" s="124">
        <v>450</v>
      </c>
      <c r="I20" s="106"/>
      <c r="J20" s="124">
        <f>H20-I20</f>
        <v>450</v>
      </c>
    </row>
    <row r="21" spans="1:10" ht="30" customHeight="1" x14ac:dyDescent="0.3">
      <c r="A21" s="106">
        <v>250042</v>
      </c>
      <c r="B21" s="106">
        <v>304</v>
      </c>
      <c r="C21" s="99">
        <v>0.9</v>
      </c>
      <c r="D21" s="99" t="s">
        <v>21</v>
      </c>
      <c r="E21" s="109" t="s">
        <v>186</v>
      </c>
      <c r="F21" s="106" t="s">
        <v>185</v>
      </c>
      <c r="G21" s="106">
        <v>304</v>
      </c>
      <c r="H21" s="124">
        <v>750</v>
      </c>
      <c r="I21" s="106"/>
      <c r="J21" s="124">
        <f t="shared" ref="J21:J32" si="1">H21-I21</f>
        <v>750</v>
      </c>
    </row>
    <row r="22" spans="1:10" ht="30" customHeight="1" x14ac:dyDescent="0.3">
      <c r="A22" s="106"/>
      <c r="B22" s="106"/>
      <c r="C22" s="99"/>
      <c r="D22" s="99"/>
      <c r="E22" s="109"/>
      <c r="F22" s="39"/>
      <c r="G22" s="106"/>
      <c r="H22" s="124"/>
      <c r="I22" s="106"/>
      <c r="J22" s="124">
        <f t="shared" si="1"/>
        <v>0</v>
      </c>
    </row>
    <row r="23" spans="1:10" ht="30" customHeight="1" x14ac:dyDescent="0.3">
      <c r="A23" s="106"/>
      <c r="B23" s="106"/>
      <c r="C23" s="99"/>
      <c r="D23" s="142" t="s">
        <v>180</v>
      </c>
      <c r="E23" s="143" t="s">
        <v>171</v>
      </c>
      <c r="F23" s="106"/>
      <c r="G23" s="106"/>
      <c r="H23" s="124"/>
      <c r="I23" s="106"/>
      <c r="J23" s="124">
        <f t="shared" si="1"/>
        <v>0</v>
      </c>
    </row>
    <row r="24" spans="1:10" ht="30" customHeight="1" x14ac:dyDescent="0.3">
      <c r="A24" s="106"/>
      <c r="B24" s="106"/>
      <c r="C24" s="99"/>
      <c r="D24" s="144" t="s">
        <v>180</v>
      </c>
      <c r="E24" s="143" t="s">
        <v>177</v>
      </c>
      <c r="F24" s="106"/>
      <c r="G24" s="106"/>
      <c r="H24" s="124"/>
      <c r="I24" s="106"/>
      <c r="J24" s="124">
        <f t="shared" si="1"/>
        <v>0</v>
      </c>
    </row>
    <row r="25" spans="1:10" ht="30" customHeight="1" x14ac:dyDescent="0.3">
      <c r="A25" s="106"/>
      <c r="B25" s="106"/>
      <c r="C25" s="96"/>
      <c r="D25" s="104"/>
      <c r="E25" s="109"/>
      <c r="F25" s="96"/>
      <c r="G25" s="96"/>
      <c r="H25" s="106"/>
      <c r="I25" s="106"/>
      <c r="J25" s="124">
        <f t="shared" si="1"/>
        <v>0</v>
      </c>
    </row>
    <row r="26" spans="1:10" ht="19.95" hidden="1" customHeight="1" x14ac:dyDescent="0.3">
      <c r="A26" s="106"/>
      <c r="B26" s="106"/>
      <c r="C26" s="99"/>
      <c r="D26" s="99"/>
      <c r="E26" s="109"/>
      <c r="F26" s="106"/>
      <c r="G26" s="106"/>
      <c r="H26" s="124"/>
      <c r="I26" s="108"/>
      <c r="J26" s="124">
        <f t="shared" si="1"/>
        <v>0</v>
      </c>
    </row>
    <row r="27" spans="1:10" ht="19.95" hidden="1" customHeight="1" x14ac:dyDescent="0.3">
      <c r="A27" s="106"/>
      <c r="B27" s="106"/>
      <c r="C27" s="99"/>
      <c r="D27" s="99"/>
      <c r="E27" s="109"/>
      <c r="F27" s="109"/>
      <c r="G27" s="106"/>
      <c r="H27" s="124"/>
      <c r="I27" s="108"/>
      <c r="J27" s="124">
        <f t="shared" si="1"/>
        <v>0</v>
      </c>
    </row>
    <row r="28" spans="1:10" ht="19.95" hidden="1" customHeight="1" x14ac:dyDescent="0.3">
      <c r="A28" s="106"/>
      <c r="B28" s="106"/>
      <c r="C28" s="99"/>
      <c r="D28" s="99"/>
      <c r="E28" s="109"/>
      <c r="F28" s="109"/>
      <c r="G28" s="106"/>
      <c r="H28" s="124"/>
      <c r="I28" s="108"/>
      <c r="J28" s="124">
        <f t="shared" si="1"/>
        <v>0</v>
      </c>
    </row>
    <row r="29" spans="1:10" ht="19.95" hidden="1" customHeight="1" x14ac:dyDescent="0.3">
      <c r="A29" s="106"/>
      <c r="B29" s="106"/>
      <c r="C29" s="99"/>
      <c r="D29" s="99"/>
      <c r="E29" s="109"/>
      <c r="F29" s="109"/>
      <c r="G29" s="106"/>
      <c r="H29" s="124"/>
      <c r="I29" s="108"/>
      <c r="J29" s="124">
        <f t="shared" si="1"/>
        <v>0</v>
      </c>
    </row>
    <row r="30" spans="1:10" ht="19.95" hidden="1" customHeight="1" x14ac:dyDescent="0.3">
      <c r="A30" s="106"/>
      <c r="B30" s="106"/>
      <c r="C30" s="99"/>
      <c r="D30" s="99"/>
      <c r="E30" s="109"/>
      <c r="F30" s="109"/>
      <c r="G30" s="106"/>
      <c r="H30" s="124"/>
      <c r="I30" s="108"/>
      <c r="J30" s="124">
        <f t="shared" si="1"/>
        <v>0</v>
      </c>
    </row>
    <row r="31" spans="1:10" ht="19.95" hidden="1" customHeight="1" x14ac:dyDescent="0.3">
      <c r="A31" s="106"/>
      <c r="B31" s="106"/>
      <c r="C31" s="99"/>
      <c r="D31" s="99"/>
      <c r="E31" s="109"/>
      <c r="F31" s="109"/>
      <c r="G31" s="106"/>
      <c r="H31" s="124"/>
      <c r="I31" s="108"/>
      <c r="J31" s="124">
        <f t="shared" si="1"/>
        <v>0</v>
      </c>
    </row>
    <row r="32" spans="1:10" ht="19.95" customHeight="1" x14ac:dyDescent="0.3">
      <c r="A32" s="106"/>
      <c r="B32" s="106"/>
      <c r="C32" s="99"/>
      <c r="D32" s="99"/>
      <c r="E32" s="109"/>
      <c r="F32" s="109"/>
      <c r="G32" s="106"/>
      <c r="H32" s="124"/>
      <c r="I32" s="19"/>
      <c r="J32" s="124">
        <f t="shared" si="1"/>
        <v>0</v>
      </c>
    </row>
    <row r="33" spans="1:10" ht="19.95" customHeight="1" x14ac:dyDescent="0.3">
      <c r="A33" s="14"/>
      <c r="B33" s="14"/>
      <c r="C33" s="14"/>
      <c r="D33" s="14"/>
      <c r="E33" s="15"/>
      <c r="F33" s="14"/>
      <c r="G33" s="16"/>
      <c r="H33" s="124">
        <f>SUM(H20:H32)</f>
        <v>1200</v>
      </c>
      <c r="I33" s="108">
        <f>SUM(I26:I32)</f>
        <v>0</v>
      </c>
      <c r="J33" s="124">
        <f>SUM(J20:J32)</f>
        <v>1200</v>
      </c>
    </row>
    <row r="35" spans="1:10" ht="23.4" x14ac:dyDescent="0.3">
      <c r="A35" s="180" t="s">
        <v>62</v>
      </c>
      <c r="B35" s="180"/>
      <c r="C35" s="180"/>
      <c r="D35" s="180"/>
      <c r="E35" s="180"/>
      <c r="F35" s="180"/>
      <c r="G35" s="180"/>
      <c r="H35" s="180"/>
      <c r="I35" s="180"/>
      <c r="J35" s="180"/>
    </row>
  </sheetData>
  <mergeCells count="5">
    <mergeCell ref="I1:J1"/>
    <mergeCell ref="A2:J2"/>
    <mergeCell ref="A3:J3"/>
    <mergeCell ref="A18:J18"/>
    <mergeCell ref="A35:J35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7" orientation="landscape" horizontalDpi="1200" verticalDpi="1200" r:id="rId1"/>
  <ignoredErrors>
    <ignoredError sqref="H16" formulaRange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zoomScale="85" zoomScaleNormal="85" workbookViewId="0">
      <selection activeCell="I16" sqref="I16"/>
    </sheetView>
  </sheetViews>
  <sheetFormatPr defaultColWidth="8.88671875" defaultRowHeight="14.4" x14ac:dyDescent="0.3"/>
  <cols>
    <col min="1" max="1" width="14.33203125" style="123" customWidth="1"/>
    <col min="2" max="2" width="10.6640625" style="123" customWidth="1"/>
    <col min="3" max="3" width="11.44140625" style="123" customWidth="1"/>
    <col min="4" max="4" width="15.5546875" style="123" customWidth="1"/>
    <col min="5" max="5" width="98.88671875" style="123" bestFit="1" customWidth="1"/>
    <col min="6" max="6" width="15.6640625" style="13" bestFit="1" customWidth="1"/>
    <col min="7" max="7" width="12.33203125" style="123" customWidth="1"/>
    <col min="8" max="8" width="13.44140625" style="123" customWidth="1"/>
    <col min="9" max="9" width="10.77734375" style="123" customWidth="1"/>
    <col min="10" max="10" width="18.6640625" style="123" customWidth="1"/>
    <col min="11" max="16384" width="8.88671875" style="123"/>
  </cols>
  <sheetData>
    <row r="1" spans="1:10" s="20" customFormat="1" ht="30" customHeight="1" x14ac:dyDescent="0.3">
      <c r="F1" s="21"/>
      <c r="G1" s="21"/>
      <c r="H1" s="22" t="s">
        <v>64</v>
      </c>
      <c r="I1" s="168">
        <v>45965</v>
      </c>
      <c r="J1" s="168"/>
    </row>
    <row r="2" spans="1:10" ht="40.049999999999997" customHeight="1" x14ac:dyDescent="0.3">
      <c r="A2" s="169" t="s">
        <v>19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06" t="s">
        <v>65</v>
      </c>
      <c r="B4" s="106" t="s">
        <v>66</v>
      </c>
      <c r="C4" s="96" t="s">
        <v>67</v>
      </c>
      <c r="D4" s="96" t="s">
        <v>68</v>
      </c>
      <c r="E4" s="106" t="s">
        <v>69</v>
      </c>
      <c r="F4" s="96" t="s">
        <v>70</v>
      </c>
      <c r="G4" s="96" t="s">
        <v>71</v>
      </c>
      <c r="H4" s="106" t="s">
        <v>72</v>
      </c>
      <c r="I4" s="106" t="s">
        <v>73</v>
      </c>
      <c r="J4" s="106" t="s">
        <v>74</v>
      </c>
    </row>
    <row r="5" spans="1:10" ht="19.95" customHeight="1" x14ac:dyDescent="0.3">
      <c r="A5" s="106">
        <v>250080</v>
      </c>
      <c r="B5" s="106">
        <v>304</v>
      </c>
      <c r="C5" s="99">
        <v>0.6</v>
      </c>
      <c r="D5" s="99" t="s">
        <v>12</v>
      </c>
      <c r="E5" s="109" t="s">
        <v>220</v>
      </c>
      <c r="F5" s="106" t="s">
        <v>28</v>
      </c>
      <c r="G5" s="106">
        <v>430</v>
      </c>
      <c r="H5" s="124">
        <v>300</v>
      </c>
      <c r="I5" s="19">
        <v>120</v>
      </c>
      <c r="J5" s="124">
        <f>H5-I5</f>
        <v>180</v>
      </c>
    </row>
    <row r="6" spans="1:10" ht="19.95" customHeight="1" x14ac:dyDescent="0.3">
      <c r="A6" s="106">
        <v>250080</v>
      </c>
      <c r="B6" s="106">
        <v>304</v>
      </c>
      <c r="C6" s="99">
        <v>0.6</v>
      </c>
      <c r="D6" s="99" t="s">
        <v>42</v>
      </c>
      <c r="E6" s="109" t="s">
        <v>232</v>
      </c>
      <c r="F6" s="138" t="s">
        <v>27</v>
      </c>
      <c r="G6" s="106">
        <v>430</v>
      </c>
      <c r="H6" s="124">
        <v>500</v>
      </c>
      <c r="I6" s="19">
        <f>390+500</f>
        <v>890</v>
      </c>
      <c r="J6" s="124">
        <f>H6-I6</f>
        <v>-390</v>
      </c>
    </row>
    <row r="7" spans="1:10" ht="19.95" customHeight="1" x14ac:dyDescent="0.3">
      <c r="A7" s="106">
        <v>250080</v>
      </c>
      <c r="B7" s="106">
        <v>304</v>
      </c>
      <c r="C7" s="99">
        <v>0.6</v>
      </c>
      <c r="D7" s="99" t="s">
        <v>9</v>
      </c>
      <c r="E7" s="109" t="s">
        <v>235</v>
      </c>
      <c r="F7" s="106" t="s">
        <v>27</v>
      </c>
      <c r="G7" s="106" t="s">
        <v>139</v>
      </c>
      <c r="H7" s="124">
        <v>500</v>
      </c>
      <c r="I7" s="19">
        <v>535</v>
      </c>
      <c r="J7" s="124">
        <f t="shared" ref="J7:J20" si="0">H7-I7</f>
        <v>-35</v>
      </c>
    </row>
    <row r="8" spans="1:10" ht="19.95" customHeight="1" x14ac:dyDescent="0.3">
      <c r="A8" s="106">
        <v>250057</v>
      </c>
      <c r="B8" s="106">
        <v>304</v>
      </c>
      <c r="C8" s="99">
        <v>0.6</v>
      </c>
      <c r="D8" s="99" t="s">
        <v>9</v>
      </c>
      <c r="E8" s="109" t="s">
        <v>234</v>
      </c>
      <c r="F8" s="106" t="s">
        <v>28</v>
      </c>
      <c r="G8" s="106" t="s">
        <v>139</v>
      </c>
      <c r="H8" s="124">
        <v>540</v>
      </c>
      <c r="I8" s="19">
        <v>550</v>
      </c>
      <c r="J8" s="124">
        <f t="shared" si="0"/>
        <v>-10</v>
      </c>
    </row>
    <row r="9" spans="1:10" ht="19.95" customHeight="1" x14ac:dyDescent="0.3">
      <c r="A9" s="138">
        <v>250061</v>
      </c>
      <c r="B9" s="106">
        <v>304</v>
      </c>
      <c r="C9" s="99">
        <v>0.6</v>
      </c>
      <c r="D9" s="99" t="s">
        <v>9</v>
      </c>
      <c r="E9" s="109" t="s">
        <v>234</v>
      </c>
      <c r="F9" s="106" t="s">
        <v>28</v>
      </c>
      <c r="G9" s="138" t="s">
        <v>139</v>
      </c>
      <c r="H9" s="140">
        <v>410</v>
      </c>
      <c r="I9" s="19">
        <v>420</v>
      </c>
      <c r="J9" s="124">
        <f t="shared" si="0"/>
        <v>-10</v>
      </c>
    </row>
    <row r="10" spans="1:10" ht="19.95" customHeight="1" x14ac:dyDescent="0.3">
      <c r="A10" s="106">
        <v>250057</v>
      </c>
      <c r="B10" s="106">
        <v>304</v>
      </c>
      <c r="C10" s="99">
        <v>0.7</v>
      </c>
      <c r="D10" s="99" t="s">
        <v>12</v>
      </c>
      <c r="E10" s="109" t="s">
        <v>236</v>
      </c>
      <c r="F10" s="141" t="s">
        <v>28</v>
      </c>
      <c r="G10" s="106">
        <v>304</v>
      </c>
      <c r="H10" s="124">
        <v>410</v>
      </c>
      <c r="I10" s="19"/>
      <c r="J10" s="124">
        <f t="shared" si="0"/>
        <v>410</v>
      </c>
    </row>
    <row r="11" spans="1:10" ht="19.95" customHeight="1" x14ac:dyDescent="0.3">
      <c r="A11" s="106">
        <v>250061</v>
      </c>
      <c r="B11" s="106">
        <v>304</v>
      </c>
      <c r="C11" s="99">
        <v>0.7</v>
      </c>
      <c r="D11" s="99" t="s">
        <v>12</v>
      </c>
      <c r="E11" s="109" t="s">
        <v>237</v>
      </c>
      <c r="F11" s="39" t="s">
        <v>28</v>
      </c>
      <c r="G11" s="106">
        <v>304</v>
      </c>
      <c r="H11" s="124">
        <v>540</v>
      </c>
      <c r="I11" s="19"/>
      <c r="J11" s="124">
        <f t="shared" si="0"/>
        <v>540</v>
      </c>
    </row>
    <row r="12" spans="1:10" ht="19.95" customHeight="1" x14ac:dyDescent="0.3">
      <c r="A12" s="106"/>
      <c r="B12" s="106"/>
      <c r="C12" s="99"/>
      <c r="D12" s="99"/>
      <c r="E12" s="109"/>
      <c r="F12" s="106"/>
      <c r="G12" s="106"/>
      <c r="H12" s="124"/>
      <c r="I12" s="19"/>
      <c r="J12" s="124">
        <f t="shared" si="0"/>
        <v>0</v>
      </c>
    </row>
    <row r="13" spans="1:10" ht="19.95" customHeight="1" x14ac:dyDescent="0.3">
      <c r="A13" s="146">
        <v>250052</v>
      </c>
      <c r="B13" s="146">
        <v>304</v>
      </c>
      <c r="C13" s="149">
        <v>0.7</v>
      </c>
      <c r="D13" s="149" t="s">
        <v>12</v>
      </c>
      <c r="E13" s="148" t="s">
        <v>226</v>
      </c>
      <c r="F13" s="146" t="s">
        <v>28</v>
      </c>
      <c r="G13" s="146">
        <v>304</v>
      </c>
      <c r="H13" s="147">
        <v>800</v>
      </c>
      <c r="I13" s="19"/>
      <c r="J13" s="124">
        <f t="shared" si="0"/>
        <v>800</v>
      </c>
    </row>
    <row r="14" spans="1:10" ht="19.95" customHeight="1" x14ac:dyDescent="0.3">
      <c r="A14" s="106"/>
      <c r="B14" s="106"/>
      <c r="C14" s="99"/>
      <c r="D14" s="99"/>
      <c r="E14" s="109"/>
      <c r="F14" s="146"/>
      <c r="G14" s="106"/>
      <c r="H14" s="124"/>
      <c r="I14" s="19"/>
      <c r="J14" s="124">
        <f t="shared" si="0"/>
        <v>0</v>
      </c>
    </row>
    <row r="15" spans="1:10" s="145" customFormat="1" ht="19.95" customHeight="1" x14ac:dyDescent="0.3">
      <c r="A15" s="150">
        <v>250057</v>
      </c>
      <c r="B15" s="150">
        <v>304</v>
      </c>
      <c r="C15" s="153">
        <v>0.7</v>
      </c>
      <c r="D15" s="153" t="s">
        <v>12</v>
      </c>
      <c r="E15" s="152" t="s">
        <v>227</v>
      </c>
      <c r="F15" s="154" t="s">
        <v>28</v>
      </c>
      <c r="G15" s="150">
        <v>304</v>
      </c>
      <c r="H15" s="151">
        <v>410</v>
      </c>
      <c r="I15" s="19">
        <v>100</v>
      </c>
      <c r="J15" s="151">
        <f t="shared" si="0"/>
        <v>310</v>
      </c>
    </row>
    <row r="16" spans="1:10" s="145" customFormat="1" ht="19.95" customHeight="1" x14ac:dyDescent="0.3">
      <c r="A16" s="150">
        <v>250061</v>
      </c>
      <c r="B16" s="150">
        <v>304</v>
      </c>
      <c r="C16" s="153">
        <v>0.7</v>
      </c>
      <c r="D16" s="153" t="s">
        <v>12</v>
      </c>
      <c r="E16" s="152" t="s">
        <v>228</v>
      </c>
      <c r="F16" s="154" t="s">
        <v>28</v>
      </c>
      <c r="G16" s="150">
        <v>304</v>
      </c>
      <c r="H16" s="151">
        <v>540</v>
      </c>
      <c r="I16" s="19"/>
      <c r="J16" s="151">
        <f t="shared" si="0"/>
        <v>540</v>
      </c>
    </row>
    <row r="17" spans="1:10" s="145" customFormat="1" ht="19.95" customHeight="1" x14ac:dyDescent="0.3">
      <c r="A17" s="150">
        <v>250055</v>
      </c>
      <c r="B17" s="150">
        <v>304</v>
      </c>
      <c r="C17" s="153">
        <v>0.7</v>
      </c>
      <c r="D17" s="153" t="s">
        <v>12</v>
      </c>
      <c r="E17" s="152" t="s">
        <v>229</v>
      </c>
      <c r="F17" s="150" t="s">
        <v>28</v>
      </c>
      <c r="G17" s="150">
        <v>304</v>
      </c>
      <c r="H17" s="151">
        <v>830</v>
      </c>
      <c r="I17" s="19"/>
      <c r="J17" s="151">
        <f t="shared" si="0"/>
        <v>830</v>
      </c>
    </row>
    <row r="18" spans="1:10" s="145" customFormat="1" ht="19.95" customHeight="1" x14ac:dyDescent="0.3">
      <c r="A18" s="155">
        <v>280080</v>
      </c>
      <c r="B18" s="155">
        <v>304</v>
      </c>
      <c r="C18" s="158">
        <v>0.6</v>
      </c>
      <c r="D18" s="158" t="s">
        <v>9</v>
      </c>
      <c r="E18" s="157" t="s">
        <v>231</v>
      </c>
      <c r="F18" s="159" t="s">
        <v>27</v>
      </c>
      <c r="G18" s="155"/>
      <c r="H18" s="156">
        <v>500</v>
      </c>
      <c r="I18" s="19"/>
      <c r="J18" s="151">
        <f t="shared" si="0"/>
        <v>500</v>
      </c>
    </row>
    <row r="19" spans="1:10" s="145" customFormat="1" ht="19.95" customHeight="1" x14ac:dyDescent="0.3">
      <c r="A19" s="155">
        <v>280080</v>
      </c>
      <c r="B19" s="155">
        <v>304</v>
      </c>
      <c r="C19" s="158">
        <v>0.6</v>
      </c>
      <c r="D19" s="158" t="s">
        <v>42</v>
      </c>
      <c r="E19" s="157" t="s">
        <v>233</v>
      </c>
      <c r="F19" s="159" t="s">
        <v>27</v>
      </c>
      <c r="G19" s="155">
        <v>430</v>
      </c>
      <c r="H19" s="156">
        <v>500</v>
      </c>
      <c r="I19" s="19"/>
      <c r="J19" s="151">
        <f t="shared" si="0"/>
        <v>500</v>
      </c>
    </row>
    <row r="20" spans="1:10" ht="19.95" customHeight="1" x14ac:dyDescent="0.3">
      <c r="A20" s="155">
        <v>250080</v>
      </c>
      <c r="B20" s="155">
        <v>304</v>
      </c>
      <c r="C20" s="158">
        <v>0.6</v>
      </c>
      <c r="D20" s="158" t="s">
        <v>12</v>
      </c>
      <c r="E20" s="157" t="s">
        <v>230</v>
      </c>
      <c r="F20" s="157" t="s">
        <v>27</v>
      </c>
      <c r="G20" s="155">
        <v>430</v>
      </c>
      <c r="H20" s="156">
        <v>300</v>
      </c>
      <c r="I20" s="19"/>
      <c r="J20" s="151">
        <f t="shared" si="0"/>
        <v>300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SUM(H6:H20)</f>
        <v>6780</v>
      </c>
      <c r="I21" s="19">
        <f>SUM(I5:I13)</f>
        <v>2515</v>
      </c>
      <c r="J21" s="124">
        <f>SUM(J6:J20)</f>
        <v>4285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06" t="s">
        <v>65</v>
      </c>
      <c r="B24" s="106" t="s">
        <v>66</v>
      </c>
      <c r="C24" s="96" t="s">
        <v>67</v>
      </c>
      <c r="D24" s="96" t="s">
        <v>68</v>
      </c>
      <c r="E24" s="106" t="s">
        <v>69</v>
      </c>
      <c r="F24" s="96" t="s">
        <v>70</v>
      </c>
      <c r="G24" s="96" t="s">
        <v>71</v>
      </c>
      <c r="H24" s="106" t="s">
        <v>72</v>
      </c>
      <c r="I24" s="106" t="s">
        <v>73</v>
      </c>
      <c r="J24" s="106" t="s">
        <v>74</v>
      </c>
    </row>
    <row r="25" spans="1:10" ht="30" customHeight="1" x14ac:dyDescent="0.3">
      <c r="A25" s="106">
        <v>250049</v>
      </c>
      <c r="B25" s="106">
        <v>304</v>
      </c>
      <c r="C25" s="99">
        <v>0.9</v>
      </c>
      <c r="D25" s="99" t="s">
        <v>21</v>
      </c>
      <c r="E25" s="109" t="s">
        <v>184</v>
      </c>
      <c r="F25" s="106" t="s">
        <v>185</v>
      </c>
      <c r="G25" s="106">
        <v>430</v>
      </c>
      <c r="H25" s="124">
        <v>450</v>
      </c>
      <c r="I25" s="106"/>
      <c r="J25" s="124">
        <f>H25-I25</f>
        <v>450</v>
      </c>
    </row>
    <row r="26" spans="1:10" ht="30" customHeight="1" x14ac:dyDescent="0.3">
      <c r="A26" s="106">
        <v>250042</v>
      </c>
      <c r="B26" s="106">
        <v>304</v>
      </c>
      <c r="C26" s="99">
        <v>0.9</v>
      </c>
      <c r="D26" s="99" t="s">
        <v>21</v>
      </c>
      <c r="E26" s="109" t="s">
        <v>186</v>
      </c>
      <c r="F26" s="106" t="s">
        <v>185</v>
      </c>
      <c r="G26" s="106">
        <v>304</v>
      </c>
      <c r="H26" s="124">
        <v>750</v>
      </c>
      <c r="I26" s="106"/>
      <c r="J26" s="124">
        <f t="shared" ref="J26:J37" si="1">H26-I26</f>
        <v>750</v>
      </c>
    </row>
    <row r="27" spans="1:10" ht="30" customHeight="1" x14ac:dyDescent="0.3">
      <c r="A27" s="106"/>
      <c r="B27" s="106"/>
      <c r="C27" s="99"/>
      <c r="D27" s="99"/>
      <c r="E27" s="109"/>
      <c r="F27" s="39"/>
      <c r="G27" s="106"/>
      <c r="H27" s="124"/>
      <c r="I27" s="106"/>
      <c r="J27" s="124">
        <f t="shared" si="1"/>
        <v>0</v>
      </c>
    </row>
    <row r="28" spans="1:10" ht="30" customHeight="1" x14ac:dyDescent="0.3">
      <c r="A28" s="106"/>
      <c r="B28" s="106"/>
      <c r="C28" s="99"/>
      <c r="D28" s="142" t="s">
        <v>180</v>
      </c>
      <c r="E28" s="143" t="s">
        <v>171</v>
      </c>
      <c r="F28" s="106"/>
      <c r="G28" s="106"/>
      <c r="H28" s="124"/>
      <c r="I28" s="106"/>
      <c r="J28" s="124">
        <f t="shared" si="1"/>
        <v>0</v>
      </c>
    </row>
    <row r="29" spans="1:10" ht="30" customHeight="1" x14ac:dyDescent="0.3">
      <c r="A29" s="106"/>
      <c r="B29" s="106"/>
      <c r="C29" s="99"/>
      <c r="D29" s="144" t="s">
        <v>180</v>
      </c>
      <c r="E29" s="143" t="s">
        <v>177</v>
      </c>
      <c r="F29" s="106"/>
      <c r="G29" s="106"/>
      <c r="H29" s="124"/>
      <c r="I29" s="106"/>
      <c r="J29" s="124">
        <f t="shared" si="1"/>
        <v>0</v>
      </c>
    </row>
    <row r="30" spans="1:10" ht="30" customHeight="1" x14ac:dyDescent="0.3">
      <c r="A30" s="106"/>
      <c r="B30" s="106"/>
      <c r="C30" s="96"/>
      <c r="D30" s="104"/>
      <c r="E30" s="109"/>
      <c r="F30" s="96"/>
      <c r="G30" s="96"/>
      <c r="H30" s="106"/>
      <c r="I30" s="106"/>
      <c r="J30" s="124">
        <f t="shared" si="1"/>
        <v>0</v>
      </c>
    </row>
    <row r="31" spans="1:10" ht="19.95" hidden="1" customHeight="1" x14ac:dyDescent="0.3">
      <c r="A31" s="106"/>
      <c r="B31" s="106"/>
      <c r="C31" s="99"/>
      <c r="D31" s="99"/>
      <c r="E31" s="109"/>
      <c r="F31" s="106"/>
      <c r="G31" s="106"/>
      <c r="H31" s="124"/>
      <c r="I31" s="108"/>
      <c r="J31" s="124">
        <f t="shared" si="1"/>
        <v>0</v>
      </c>
    </row>
    <row r="32" spans="1:10" ht="19.95" hidden="1" customHeight="1" x14ac:dyDescent="0.3">
      <c r="A32" s="106"/>
      <c r="B32" s="106"/>
      <c r="C32" s="99"/>
      <c r="D32" s="99"/>
      <c r="E32" s="109"/>
      <c r="F32" s="109"/>
      <c r="G32" s="106"/>
      <c r="H32" s="124"/>
      <c r="I32" s="108"/>
      <c r="J32" s="124">
        <f t="shared" si="1"/>
        <v>0</v>
      </c>
    </row>
    <row r="33" spans="1:10" ht="19.95" hidden="1" customHeight="1" x14ac:dyDescent="0.3">
      <c r="A33" s="106"/>
      <c r="B33" s="106"/>
      <c r="C33" s="99"/>
      <c r="D33" s="99"/>
      <c r="E33" s="109"/>
      <c r="F33" s="109"/>
      <c r="G33" s="106"/>
      <c r="H33" s="124"/>
      <c r="I33" s="108"/>
      <c r="J33" s="124">
        <f t="shared" si="1"/>
        <v>0</v>
      </c>
    </row>
    <row r="34" spans="1:10" ht="19.95" hidden="1" customHeight="1" x14ac:dyDescent="0.3">
      <c r="A34" s="106"/>
      <c r="B34" s="106"/>
      <c r="C34" s="99"/>
      <c r="D34" s="99"/>
      <c r="E34" s="109"/>
      <c r="F34" s="109"/>
      <c r="G34" s="106"/>
      <c r="H34" s="124"/>
      <c r="I34" s="108"/>
      <c r="J34" s="124">
        <f t="shared" si="1"/>
        <v>0</v>
      </c>
    </row>
    <row r="35" spans="1:10" ht="19.95" hidden="1" customHeight="1" x14ac:dyDescent="0.3">
      <c r="A35" s="106"/>
      <c r="B35" s="106"/>
      <c r="C35" s="99"/>
      <c r="D35" s="99"/>
      <c r="E35" s="109"/>
      <c r="F35" s="109"/>
      <c r="G35" s="106"/>
      <c r="H35" s="124"/>
      <c r="I35" s="108"/>
      <c r="J35" s="124">
        <f t="shared" si="1"/>
        <v>0</v>
      </c>
    </row>
    <row r="36" spans="1:10" ht="19.95" hidden="1" customHeight="1" x14ac:dyDescent="0.3">
      <c r="A36" s="106"/>
      <c r="B36" s="106"/>
      <c r="C36" s="99"/>
      <c r="D36" s="99"/>
      <c r="E36" s="109"/>
      <c r="F36" s="109"/>
      <c r="G36" s="106"/>
      <c r="H36" s="124"/>
      <c r="I36" s="108"/>
      <c r="J36" s="124">
        <f t="shared" si="1"/>
        <v>0</v>
      </c>
    </row>
    <row r="37" spans="1:10" ht="19.95" customHeight="1" x14ac:dyDescent="0.3">
      <c r="A37" s="106"/>
      <c r="B37" s="106"/>
      <c r="C37" s="99"/>
      <c r="D37" s="99"/>
      <c r="E37" s="109"/>
      <c r="F37" s="109"/>
      <c r="G37" s="106"/>
      <c r="H37" s="124"/>
      <c r="I37" s="19"/>
      <c r="J37" s="124">
        <f t="shared" si="1"/>
        <v>0</v>
      </c>
    </row>
    <row r="38" spans="1:10" ht="19.95" customHeight="1" x14ac:dyDescent="0.3">
      <c r="A38" s="14"/>
      <c r="B38" s="14"/>
      <c r="C38" s="14"/>
      <c r="D38" s="14"/>
      <c r="E38" s="15"/>
      <c r="F38" s="14"/>
      <c r="G38" s="16"/>
      <c r="H38" s="124">
        <f>SUM(H25:H37)</f>
        <v>1200</v>
      </c>
      <c r="I38" s="108">
        <f>SUM(I31:I37)</f>
        <v>0</v>
      </c>
      <c r="J38" s="124">
        <f>SUM(J25:J37)</f>
        <v>1200</v>
      </c>
    </row>
    <row r="40" spans="1:10" ht="23.4" x14ac:dyDescent="0.3">
      <c r="A40" s="180" t="s">
        <v>62</v>
      </c>
      <c r="B40" s="180"/>
      <c r="C40" s="180"/>
      <c r="D40" s="180"/>
      <c r="E40" s="180"/>
      <c r="F40" s="180"/>
      <c r="G40" s="180"/>
      <c r="H40" s="180"/>
      <c r="I40" s="180"/>
      <c r="J40" s="180"/>
    </row>
  </sheetData>
  <mergeCells count="5">
    <mergeCell ref="I1:J1"/>
    <mergeCell ref="A2:J2"/>
    <mergeCell ref="A3:J3"/>
    <mergeCell ref="A23:J23"/>
    <mergeCell ref="A40:J40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5" orientation="landscape" horizontalDpi="1200" verticalDpi="120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zoomScale="85" zoomScaleNormal="85" workbookViewId="0">
      <selection activeCell="F15" sqref="F15"/>
    </sheetView>
  </sheetViews>
  <sheetFormatPr defaultColWidth="8.88671875" defaultRowHeight="14.4" x14ac:dyDescent="0.3"/>
  <cols>
    <col min="1" max="1" width="14.33203125" style="145" customWidth="1"/>
    <col min="2" max="2" width="10.6640625" style="145" customWidth="1"/>
    <col min="3" max="3" width="11.44140625" style="145" customWidth="1"/>
    <col min="4" max="4" width="15.5546875" style="145" customWidth="1"/>
    <col min="5" max="5" width="98.88671875" style="145" bestFit="1" customWidth="1"/>
    <col min="6" max="6" width="15.6640625" style="13" bestFit="1" customWidth="1"/>
    <col min="7" max="7" width="12.33203125" style="145" customWidth="1"/>
    <col min="8" max="8" width="13.44140625" style="145" customWidth="1"/>
    <col min="9" max="9" width="10.77734375" style="145" customWidth="1"/>
    <col min="10" max="10" width="18.6640625" style="145" customWidth="1"/>
    <col min="11" max="16384" width="8.88671875" style="145"/>
  </cols>
  <sheetData>
    <row r="1" spans="1:10" s="20" customFormat="1" ht="30" customHeight="1" x14ac:dyDescent="0.3">
      <c r="F1" s="21"/>
      <c r="G1" s="21"/>
      <c r="H1" s="22" t="s">
        <v>64</v>
      </c>
      <c r="I1" s="168">
        <v>45966</v>
      </c>
      <c r="J1" s="168"/>
    </row>
    <row r="2" spans="1:10" ht="40.049999999999997" customHeight="1" x14ac:dyDescent="0.3">
      <c r="A2" s="169" t="s">
        <v>54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55" t="s">
        <v>65</v>
      </c>
      <c r="B4" s="155" t="s">
        <v>66</v>
      </c>
      <c r="C4" s="96" t="s">
        <v>67</v>
      </c>
      <c r="D4" s="96" t="s">
        <v>68</v>
      </c>
      <c r="E4" s="155" t="s">
        <v>69</v>
      </c>
      <c r="F4" s="96" t="s">
        <v>70</v>
      </c>
      <c r="G4" s="96" t="s">
        <v>71</v>
      </c>
      <c r="H4" s="155" t="s">
        <v>72</v>
      </c>
      <c r="I4" s="155" t="s">
        <v>73</v>
      </c>
      <c r="J4" s="155" t="s">
        <v>74</v>
      </c>
    </row>
    <row r="5" spans="1:10" ht="19.95" customHeight="1" x14ac:dyDescent="0.3">
      <c r="A5" s="155">
        <v>250080</v>
      </c>
      <c r="B5" s="155">
        <v>304</v>
      </c>
      <c r="C5" s="158">
        <v>0.6</v>
      </c>
      <c r="D5" s="158" t="s">
        <v>12</v>
      </c>
      <c r="E5" s="157" t="s">
        <v>220</v>
      </c>
      <c r="F5" s="155" t="s">
        <v>28</v>
      </c>
      <c r="G5" s="155">
        <v>430</v>
      </c>
      <c r="H5" s="156">
        <v>300</v>
      </c>
      <c r="I5" s="19">
        <v>120</v>
      </c>
      <c r="J5" s="156">
        <f>H5-I5</f>
        <v>180</v>
      </c>
    </row>
    <row r="6" spans="1:10" ht="19.95" customHeight="1" x14ac:dyDescent="0.3">
      <c r="A6" s="155"/>
      <c r="B6" s="155"/>
      <c r="C6" s="158"/>
      <c r="D6" s="158"/>
      <c r="E6" s="157"/>
      <c r="F6" s="154"/>
      <c r="G6" s="155"/>
      <c r="H6" s="156"/>
      <c r="I6" s="19"/>
      <c r="J6" s="156">
        <f>H6-I6</f>
        <v>0</v>
      </c>
    </row>
    <row r="7" spans="1:10" ht="19.95" customHeight="1" x14ac:dyDescent="0.3">
      <c r="A7" s="155">
        <v>250052</v>
      </c>
      <c r="B7" s="155">
        <v>304</v>
      </c>
      <c r="C7" s="158">
        <v>0.7</v>
      </c>
      <c r="D7" s="158" t="s">
        <v>12</v>
      </c>
      <c r="E7" s="157" t="s">
        <v>226</v>
      </c>
      <c r="F7" s="155" t="s">
        <v>28</v>
      </c>
      <c r="G7" s="155">
        <v>304</v>
      </c>
      <c r="H7" s="156">
        <v>800</v>
      </c>
      <c r="I7" s="19"/>
      <c r="J7" s="156">
        <f t="shared" ref="J7:J20" si="0">H7-I7</f>
        <v>800</v>
      </c>
    </row>
    <row r="8" spans="1:10" ht="19.95" customHeight="1" x14ac:dyDescent="0.3">
      <c r="A8" s="155"/>
      <c r="B8" s="155"/>
      <c r="C8" s="158"/>
      <c r="D8" s="158"/>
      <c r="E8" s="157"/>
      <c r="F8" s="159"/>
      <c r="G8" s="155"/>
      <c r="H8" s="156"/>
      <c r="I8" s="19"/>
      <c r="J8" s="156">
        <f t="shared" si="0"/>
        <v>0</v>
      </c>
    </row>
    <row r="9" spans="1:10" ht="19.95" customHeight="1" x14ac:dyDescent="0.3">
      <c r="A9" s="155">
        <v>250057</v>
      </c>
      <c r="B9" s="155">
        <v>304</v>
      </c>
      <c r="C9" s="158">
        <v>0.7</v>
      </c>
      <c r="D9" s="158" t="s">
        <v>12</v>
      </c>
      <c r="E9" s="157" t="s">
        <v>227</v>
      </c>
      <c r="F9" s="154" t="s">
        <v>28</v>
      </c>
      <c r="G9" s="155">
        <v>304</v>
      </c>
      <c r="H9" s="156">
        <v>410</v>
      </c>
      <c r="I9" s="19">
        <f>100+345</f>
        <v>445</v>
      </c>
      <c r="J9" s="156">
        <f t="shared" si="0"/>
        <v>-35</v>
      </c>
    </row>
    <row r="10" spans="1:10" ht="19.95" customHeight="1" x14ac:dyDescent="0.3">
      <c r="A10" s="155">
        <v>250061</v>
      </c>
      <c r="B10" s="155">
        <v>304</v>
      </c>
      <c r="C10" s="158">
        <v>0.7</v>
      </c>
      <c r="D10" s="158" t="s">
        <v>12</v>
      </c>
      <c r="E10" s="157" t="s">
        <v>228</v>
      </c>
      <c r="F10" s="154" t="s">
        <v>28</v>
      </c>
      <c r="G10" s="155">
        <v>304</v>
      </c>
      <c r="H10" s="156">
        <v>540</v>
      </c>
      <c r="I10" s="19">
        <v>575</v>
      </c>
      <c r="J10" s="156">
        <f t="shared" si="0"/>
        <v>-35</v>
      </c>
    </row>
    <row r="11" spans="1:10" ht="19.95" customHeight="1" x14ac:dyDescent="0.3">
      <c r="A11" s="155">
        <v>250055</v>
      </c>
      <c r="B11" s="155">
        <v>304</v>
      </c>
      <c r="C11" s="158">
        <v>0.7</v>
      </c>
      <c r="D11" s="158" t="s">
        <v>12</v>
      </c>
      <c r="E11" s="157" t="s">
        <v>229</v>
      </c>
      <c r="F11" s="155" t="s">
        <v>28</v>
      </c>
      <c r="G11" s="155">
        <v>304</v>
      </c>
      <c r="H11" s="156">
        <v>830</v>
      </c>
      <c r="I11" s="19">
        <v>880</v>
      </c>
      <c r="J11" s="156">
        <f t="shared" si="0"/>
        <v>-50</v>
      </c>
    </row>
    <row r="12" spans="1:10" ht="19.95" customHeight="1" x14ac:dyDescent="0.3">
      <c r="A12" s="155">
        <v>280080</v>
      </c>
      <c r="B12" s="155">
        <v>304</v>
      </c>
      <c r="C12" s="158">
        <v>0.6</v>
      </c>
      <c r="D12" s="158" t="s">
        <v>9</v>
      </c>
      <c r="E12" s="157" t="s">
        <v>238</v>
      </c>
      <c r="F12" s="154" t="s">
        <v>27</v>
      </c>
      <c r="G12" s="155"/>
      <c r="H12" s="156">
        <v>500</v>
      </c>
      <c r="I12" s="19"/>
      <c r="J12" s="156">
        <f t="shared" si="0"/>
        <v>500</v>
      </c>
    </row>
    <row r="13" spans="1:10" ht="19.95" customHeight="1" x14ac:dyDescent="0.3">
      <c r="A13" s="155">
        <v>280080</v>
      </c>
      <c r="B13" s="155">
        <v>304</v>
      </c>
      <c r="C13" s="158">
        <v>0.6</v>
      </c>
      <c r="D13" s="158" t="s">
        <v>42</v>
      </c>
      <c r="E13" s="157" t="s">
        <v>233</v>
      </c>
      <c r="F13" s="154" t="s">
        <v>27</v>
      </c>
      <c r="G13" s="155">
        <v>430</v>
      </c>
      <c r="H13" s="156">
        <v>500</v>
      </c>
      <c r="I13" s="19">
        <v>400</v>
      </c>
      <c r="J13" s="156">
        <f t="shared" si="0"/>
        <v>100</v>
      </c>
    </row>
    <row r="14" spans="1:10" ht="19.95" customHeight="1" x14ac:dyDescent="0.3">
      <c r="A14" s="155">
        <v>250080</v>
      </c>
      <c r="B14" s="155">
        <v>304</v>
      </c>
      <c r="C14" s="158">
        <v>0.6</v>
      </c>
      <c r="D14" s="158" t="s">
        <v>12</v>
      </c>
      <c r="E14" s="157" t="s">
        <v>230</v>
      </c>
      <c r="F14" s="155" t="s">
        <v>28</v>
      </c>
      <c r="G14" s="155">
        <v>430</v>
      </c>
      <c r="H14" s="156">
        <v>300</v>
      </c>
      <c r="I14" s="19">
        <v>308</v>
      </c>
      <c r="J14" s="156">
        <f t="shared" si="0"/>
        <v>-8</v>
      </c>
    </row>
    <row r="15" spans="1:10" ht="19.95" customHeight="1" x14ac:dyDescent="0.3">
      <c r="A15" s="155"/>
      <c r="B15" s="155"/>
      <c r="C15" s="158"/>
      <c r="D15" s="158"/>
      <c r="E15" s="157"/>
      <c r="F15" s="154"/>
      <c r="G15" s="155"/>
      <c r="H15" s="156"/>
      <c r="I15" s="19"/>
      <c r="J15" s="156">
        <f t="shared" si="0"/>
        <v>0</v>
      </c>
    </row>
    <row r="16" spans="1:10" ht="19.95" customHeight="1" x14ac:dyDescent="0.3">
      <c r="A16" s="155"/>
      <c r="B16" s="155"/>
      <c r="C16" s="158"/>
      <c r="D16" s="158"/>
      <c r="E16" s="157"/>
      <c r="F16" s="154"/>
      <c r="G16" s="155"/>
      <c r="H16" s="156"/>
      <c r="I16" s="19"/>
      <c r="J16" s="156">
        <f t="shared" si="0"/>
        <v>0</v>
      </c>
    </row>
    <row r="17" spans="1:10" ht="19.95" customHeight="1" x14ac:dyDescent="0.3">
      <c r="A17" s="155"/>
      <c r="B17" s="155"/>
      <c r="C17" s="158"/>
      <c r="D17" s="158"/>
      <c r="E17" s="157"/>
      <c r="F17" s="155"/>
      <c r="G17" s="155"/>
      <c r="H17" s="156"/>
      <c r="I17" s="19"/>
      <c r="J17" s="156">
        <f t="shared" si="0"/>
        <v>0</v>
      </c>
    </row>
    <row r="18" spans="1:10" ht="19.95" customHeight="1" x14ac:dyDescent="0.3">
      <c r="A18" s="155"/>
      <c r="B18" s="155"/>
      <c r="C18" s="158"/>
      <c r="D18" s="158"/>
      <c r="E18" s="157"/>
      <c r="F18" s="159"/>
      <c r="G18" s="155"/>
      <c r="H18" s="156"/>
      <c r="I18" s="19"/>
      <c r="J18" s="156">
        <f t="shared" si="0"/>
        <v>0</v>
      </c>
    </row>
    <row r="19" spans="1:10" ht="19.95" customHeight="1" x14ac:dyDescent="0.3">
      <c r="A19" s="155"/>
      <c r="B19" s="155"/>
      <c r="C19" s="158"/>
      <c r="D19" s="158"/>
      <c r="E19" s="157"/>
      <c r="F19" s="159"/>
      <c r="G19" s="155"/>
      <c r="H19" s="156"/>
      <c r="I19" s="19"/>
      <c r="J19" s="156">
        <f t="shared" si="0"/>
        <v>0</v>
      </c>
    </row>
    <row r="20" spans="1:10" ht="19.95" customHeight="1" x14ac:dyDescent="0.3">
      <c r="A20" s="155"/>
      <c r="B20" s="155"/>
      <c r="C20" s="158"/>
      <c r="D20" s="158"/>
      <c r="E20" s="157"/>
      <c r="F20" s="157"/>
      <c r="G20" s="155"/>
      <c r="H20" s="156"/>
      <c r="I20" s="19"/>
      <c r="J20" s="156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SUM(H6:H20)</f>
        <v>3880</v>
      </c>
      <c r="I21" s="19">
        <f>SUM(I5:I13)</f>
        <v>2420</v>
      </c>
      <c r="J21" s="156">
        <f>SUM(J6:J20)</f>
        <v>1272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55" t="s">
        <v>65</v>
      </c>
      <c r="B24" s="155" t="s">
        <v>66</v>
      </c>
      <c r="C24" s="96" t="s">
        <v>67</v>
      </c>
      <c r="D24" s="96" t="s">
        <v>68</v>
      </c>
      <c r="E24" s="155" t="s">
        <v>69</v>
      </c>
      <c r="F24" s="96" t="s">
        <v>70</v>
      </c>
      <c r="G24" s="96" t="s">
        <v>71</v>
      </c>
      <c r="H24" s="155" t="s">
        <v>72</v>
      </c>
      <c r="I24" s="155" t="s">
        <v>73</v>
      </c>
      <c r="J24" s="155" t="s">
        <v>74</v>
      </c>
    </row>
    <row r="25" spans="1:10" ht="30" customHeight="1" x14ac:dyDescent="0.3">
      <c r="A25" s="155">
        <v>250057</v>
      </c>
      <c r="B25" s="155">
        <v>304</v>
      </c>
      <c r="C25" s="158">
        <v>0.7</v>
      </c>
      <c r="D25" s="158" t="s">
        <v>12</v>
      </c>
      <c r="E25" s="157" t="s">
        <v>236</v>
      </c>
      <c r="F25" s="141" t="s">
        <v>28</v>
      </c>
      <c r="G25" s="155">
        <v>304</v>
      </c>
      <c r="H25" s="156">
        <v>410</v>
      </c>
      <c r="I25" s="155"/>
      <c r="J25" s="156">
        <f>H25-I25</f>
        <v>410</v>
      </c>
    </row>
    <row r="26" spans="1:10" ht="30" customHeight="1" x14ac:dyDescent="0.3">
      <c r="A26" s="155">
        <v>250061</v>
      </c>
      <c r="B26" s="155">
        <v>304</v>
      </c>
      <c r="C26" s="158">
        <v>0.7</v>
      </c>
      <c r="D26" s="158" t="s">
        <v>12</v>
      </c>
      <c r="E26" s="157" t="s">
        <v>237</v>
      </c>
      <c r="F26" s="159" t="s">
        <v>28</v>
      </c>
      <c r="G26" s="155">
        <v>304</v>
      </c>
      <c r="H26" s="156">
        <v>540</v>
      </c>
      <c r="I26" s="155"/>
      <c r="J26" s="156">
        <f t="shared" ref="J26:J39" si="1">H26-I26</f>
        <v>540</v>
      </c>
    </row>
    <row r="27" spans="1:10" ht="30" customHeight="1" x14ac:dyDescent="0.3">
      <c r="A27" s="155"/>
      <c r="B27" s="155"/>
      <c r="C27" s="158"/>
      <c r="D27" s="142"/>
      <c r="E27" s="143"/>
      <c r="F27" s="155"/>
      <c r="G27" s="155"/>
      <c r="H27" s="156"/>
      <c r="I27" s="155"/>
      <c r="J27" s="156">
        <f t="shared" si="1"/>
        <v>0</v>
      </c>
    </row>
    <row r="28" spans="1:10" ht="30" customHeight="1" x14ac:dyDescent="0.3">
      <c r="A28" s="155"/>
      <c r="B28" s="155"/>
      <c r="C28" s="158"/>
      <c r="D28" s="144"/>
      <c r="E28" s="143"/>
      <c r="F28" s="155"/>
      <c r="G28" s="155"/>
      <c r="H28" s="156"/>
      <c r="I28" s="155"/>
      <c r="J28" s="156"/>
    </row>
    <row r="29" spans="1:10" ht="30" customHeight="1" x14ac:dyDescent="0.3">
      <c r="A29" s="155">
        <v>250049</v>
      </c>
      <c r="B29" s="155">
        <v>304</v>
      </c>
      <c r="C29" s="158">
        <v>0.9</v>
      </c>
      <c r="D29" s="158" t="s">
        <v>21</v>
      </c>
      <c r="E29" s="157" t="s">
        <v>184</v>
      </c>
      <c r="F29" s="155" t="s">
        <v>185</v>
      </c>
      <c r="G29" s="155">
        <v>430</v>
      </c>
      <c r="H29" s="156">
        <v>450</v>
      </c>
      <c r="I29" s="155"/>
      <c r="J29" s="156"/>
    </row>
    <row r="30" spans="1:10" ht="30" customHeight="1" x14ac:dyDescent="0.3">
      <c r="A30" s="155">
        <v>250042</v>
      </c>
      <c r="B30" s="155">
        <v>304</v>
      </c>
      <c r="C30" s="158">
        <v>0.9</v>
      </c>
      <c r="D30" s="158" t="s">
        <v>21</v>
      </c>
      <c r="E30" s="157" t="s">
        <v>186</v>
      </c>
      <c r="F30" s="155" t="s">
        <v>185</v>
      </c>
      <c r="G30" s="155">
        <v>304</v>
      </c>
      <c r="H30" s="156">
        <v>750</v>
      </c>
      <c r="I30" s="155"/>
      <c r="J30" s="156"/>
    </row>
    <row r="31" spans="1:10" ht="30" customHeight="1" x14ac:dyDescent="0.3">
      <c r="A31" s="155"/>
      <c r="B31" s="155"/>
      <c r="C31" s="158"/>
      <c r="D31" s="142" t="s">
        <v>180</v>
      </c>
      <c r="E31" s="143" t="s">
        <v>171</v>
      </c>
      <c r="F31" s="155"/>
      <c r="G31" s="155"/>
      <c r="H31" s="156"/>
      <c r="I31" s="155"/>
      <c r="J31" s="156"/>
    </row>
    <row r="32" spans="1:10" ht="30" customHeight="1" x14ac:dyDescent="0.3">
      <c r="A32" s="155"/>
      <c r="B32" s="155"/>
      <c r="C32" s="158"/>
      <c r="D32" s="144" t="s">
        <v>180</v>
      </c>
      <c r="E32" s="143" t="s">
        <v>177</v>
      </c>
      <c r="F32" s="155"/>
      <c r="G32" s="155"/>
      <c r="H32" s="156"/>
      <c r="I32" s="155"/>
      <c r="J32" s="156"/>
    </row>
    <row r="33" spans="1:10" ht="19.95" hidden="1" customHeight="1" x14ac:dyDescent="0.3">
      <c r="A33" s="155"/>
      <c r="B33" s="155"/>
      <c r="C33" s="158"/>
      <c r="D33" s="158"/>
      <c r="E33" s="157"/>
      <c r="F33" s="155"/>
      <c r="G33" s="155"/>
      <c r="H33" s="156"/>
      <c r="I33" s="108"/>
      <c r="J33" s="156">
        <f t="shared" si="1"/>
        <v>0</v>
      </c>
    </row>
    <row r="34" spans="1:10" ht="19.95" hidden="1" customHeight="1" x14ac:dyDescent="0.3">
      <c r="A34" s="155"/>
      <c r="B34" s="155"/>
      <c r="C34" s="158"/>
      <c r="D34" s="158"/>
      <c r="E34" s="157"/>
      <c r="F34" s="157"/>
      <c r="G34" s="155"/>
      <c r="H34" s="156"/>
      <c r="I34" s="108"/>
      <c r="J34" s="156">
        <f t="shared" si="1"/>
        <v>0</v>
      </c>
    </row>
    <row r="35" spans="1:10" ht="19.95" hidden="1" customHeight="1" x14ac:dyDescent="0.3">
      <c r="A35" s="155"/>
      <c r="B35" s="155"/>
      <c r="C35" s="158"/>
      <c r="D35" s="158"/>
      <c r="E35" s="157"/>
      <c r="F35" s="157"/>
      <c r="G35" s="155"/>
      <c r="H35" s="156"/>
      <c r="I35" s="108"/>
      <c r="J35" s="156">
        <f t="shared" si="1"/>
        <v>0</v>
      </c>
    </row>
    <row r="36" spans="1:10" ht="19.95" hidden="1" customHeight="1" x14ac:dyDescent="0.3">
      <c r="A36" s="155"/>
      <c r="B36" s="155"/>
      <c r="C36" s="158"/>
      <c r="D36" s="158"/>
      <c r="E36" s="157"/>
      <c r="F36" s="157"/>
      <c r="G36" s="155"/>
      <c r="H36" s="156"/>
      <c r="I36" s="108"/>
      <c r="J36" s="156">
        <f t="shared" si="1"/>
        <v>0</v>
      </c>
    </row>
    <row r="37" spans="1:10" ht="19.95" hidden="1" customHeight="1" x14ac:dyDescent="0.3">
      <c r="A37" s="155"/>
      <c r="B37" s="155"/>
      <c r="C37" s="158"/>
      <c r="D37" s="158"/>
      <c r="E37" s="157"/>
      <c r="F37" s="157"/>
      <c r="G37" s="155"/>
      <c r="H37" s="156"/>
      <c r="I37" s="108"/>
      <c r="J37" s="156">
        <f t="shared" si="1"/>
        <v>0</v>
      </c>
    </row>
    <row r="38" spans="1:10" ht="19.95" hidden="1" customHeight="1" x14ac:dyDescent="0.3">
      <c r="A38" s="155"/>
      <c r="B38" s="155"/>
      <c r="C38" s="158"/>
      <c r="D38" s="158"/>
      <c r="E38" s="157"/>
      <c r="F38" s="157"/>
      <c r="G38" s="155"/>
      <c r="H38" s="156"/>
      <c r="I38" s="108"/>
      <c r="J38" s="156">
        <f t="shared" si="1"/>
        <v>0</v>
      </c>
    </row>
    <row r="39" spans="1:10" ht="19.95" customHeight="1" x14ac:dyDescent="0.3">
      <c r="A39" s="155"/>
      <c r="B39" s="155"/>
      <c r="C39" s="158"/>
      <c r="D39" s="158"/>
      <c r="E39" s="157"/>
      <c r="F39" s="157"/>
      <c r="G39" s="155"/>
      <c r="H39" s="156"/>
      <c r="I39" s="19"/>
      <c r="J39" s="156">
        <f t="shared" si="1"/>
        <v>0</v>
      </c>
    </row>
    <row r="40" spans="1:10" ht="19.95" customHeight="1" x14ac:dyDescent="0.3">
      <c r="A40" s="14"/>
      <c r="B40" s="14"/>
      <c r="C40" s="14"/>
      <c r="D40" s="14"/>
      <c r="E40" s="15"/>
      <c r="F40" s="14"/>
      <c r="G40" s="16"/>
      <c r="H40" s="156">
        <f>SUM(H25:H39)</f>
        <v>2150</v>
      </c>
      <c r="I40" s="108">
        <f>SUM(I33:I39)</f>
        <v>0</v>
      </c>
      <c r="J40" s="156">
        <f>SUM(J25:J39)</f>
        <v>950</v>
      </c>
    </row>
    <row r="42" spans="1:10" ht="23.4" x14ac:dyDescent="0.3">
      <c r="A42" s="180" t="s">
        <v>62</v>
      </c>
      <c r="B42" s="180"/>
      <c r="C42" s="180"/>
      <c r="D42" s="180"/>
      <c r="E42" s="180"/>
      <c r="F42" s="180"/>
      <c r="G42" s="180"/>
      <c r="H42" s="180"/>
      <c r="I42" s="180"/>
      <c r="J42" s="180"/>
    </row>
  </sheetData>
  <mergeCells count="5">
    <mergeCell ref="I1:J1"/>
    <mergeCell ref="A2:J2"/>
    <mergeCell ref="A3:J3"/>
    <mergeCell ref="A23:J23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5" orientation="landscape" horizontalDpi="1200" verticalDpi="120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tabSelected="1" topLeftCell="A4" zoomScale="85" zoomScaleNormal="85" workbookViewId="0">
      <selection activeCell="G19" sqref="G19"/>
    </sheetView>
  </sheetViews>
  <sheetFormatPr defaultColWidth="8.88671875" defaultRowHeight="14.4" x14ac:dyDescent="0.3"/>
  <cols>
    <col min="1" max="1" width="14.33203125" style="145" customWidth="1"/>
    <col min="2" max="2" width="10.6640625" style="145" customWidth="1"/>
    <col min="3" max="3" width="11.44140625" style="145" customWidth="1"/>
    <col min="4" max="4" width="15.5546875" style="145" customWidth="1"/>
    <col min="5" max="5" width="102.88671875" style="145" bestFit="1" customWidth="1"/>
    <col min="6" max="6" width="15.6640625" style="13" bestFit="1" customWidth="1"/>
    <col min="7" max="7" width="12.33203125" style="145" customWidth="1"/>
    <col min="8" max="8" width="13.44140625" style="145" customWidth="1"/>
    <col min="9" max="9" width="10.77734375" style="145" customWidth="1"/>
    <col min="10" max="10" width="18.6640625" style="145" customWidth="1"/>
    <col min="11" max="16384" width="8.88671875" style="145"/>
  </cols>
  <sheetData>
    <row r="1" spans="1:10" s="20" customFormat="1" ht="30" customHeight="1" x14ac:dyDescent="0.3">
      <c r="F1" s="21"/>
      <c r="G1" s="21"/>
      <c r="H1" s="22" t="s">
        <v>64</v>
      </c>
      <c r="I1" s="168">
        <v>45967</v>
      </c>
      <c r="J1" s="168"/>
    </row>
    <row r="2" spans="1:10" ht="40.049999999999997" customHeight="1" x14ac:dyDescent="0.3">
      <c r="A2" s="169" t="s">
        <v>37</v>
      </c>
      <c r="B2" s="170"/>
      <c r="C2" s="170"/>
      <c r="D2" s="170"/>
      <c r="E2" s="170"/>
      <c r="F2" s="170"/>
      <c r="G2" s="170"/>
      <c r="H2" s="170"/>
      <c r="I2" s="170"/>
      <c r="J2" s="171"/>
    </row>
    <row r="3" spans="1:10" ht="30" customHeight="1" x14ac:dyDescent="0.3">
      <c r="A3" s="172" t="s">
        <v>75</v>
      </c>
      <c r="B3" s="172"/>
      <c r="C3" s="172"/>
      <c r="D3" s="172"/>
      <c r="E3" s="172"/>
      <c r="F3" s="172"/>
      <c r="G3" s="172"/>
      <c r="H3" s="172"/>
      <c r="I3" s="172"/>
      <c r="J3" s="172"/>
    </row>
    <row r="4" spans="1:10" ht="30" customHeight="1" x14ac:dyDescent="0.3">
      <c r="A4" s="155" t="s">
        <v>65</v>
      </c>
      <c r="B4" s="155" t="s">
        <v>66</v>
      </c>
      <c r="C4" s="96" t="s">
        <v>67</v>
      </c>
      <c r="D4" s="96" t="s">
        <v>68</v>
      </c>
      <c r="E4" s="155" t="s">
        <v>69</v>
      </c>
      <c r="F4" s="96" t="s">
        <v>70</v>
      </c>
      <c r="G4" s="96" t="s">
        <v>71</v>
      </c>
      <c r="H4" s="155" t="s">
        <v>72</v>
      </c>
      <c r="I4" s="155" t="s">
        <v>73</v>
      </c>
      <c r="J4" s="155" t="s">
        <v>74</v>
      </c>
    </row>
    <row r="5" spans="1:10" ht="19.95" customHeight="1" x14ac:dyDescent="0.3">
      <c r="A5" s="155">
        <v>250080</v>
      </c>
      <c r="B5" s="155">
        <v>304</v>
      </c>
      <c r="C5" s="158">
        <v>0.6</v>
      </c>
      <c r="D5" s="158" t="s">
        <v>12</v>
      </c>
      <c r="E5" s="157" t="s">
        <v>220</v>
      </c>
      <c r="F5" s="155" t="s">
        <v>28</v>
      </c>
      <c r="G5" s="155">
        <v>430</v>
      </c>
      <c r="H5" s="156">
        <v>300</v>
      </c>
      <c r="I5" s="19">
        <v>120</v>
      </c>
      <c r="J5" s="156">
        <f>H5-I5</f>
        <v>180</v>
      </c>
    </row>
    <row r="6" spans="1:10" ht="19.95" customHeight="1" x14ac:dyDescent="0.3">
      <c r="A6" s="155"/>
      <c r="B6" s="155"/>
      <c r="C6" s="158"/>
      <c r="D6" s="158"/>
      <c r="E6" s="157"/>
      <c r="F6" s="154"/>
      <c r="G6" s="155"/>
      <c r="H6" s="156"/>
      <c r="I6" s="19"/>
      <c r="J6" s="156">
        <f>H6-I6</f>
        <v>0</v>
      </c>
    </row>
    <row r="7" spans="1:10" ht="19.95" customHeight="1" x14ac:dyDescent="0.3">
      <c r="A7" s="155">
        <v>250052</v>
      </c>
      <c r="B7" s="155">
        <v>304</v>
      </c>
      <c r="C7" s="158">
        <v>0.7</v>
      </c>
      <c r="D7" s="158" t="s">
        <v>12</v>
      </c>
      <c r="E7" s="157" t="s">
        <v>226</v>
      </c>
      <c r="F7" s="155" t="s">
        <v>28</v>
      </c>
      <c r="G7" s="155">
        <v>304</v>
      </c>
      <c r="H7" s="156">
        <v>800</v>
      </c>
      <c r="I7" s="19"/>
      <c r="J7" s="156">
        <f t="shared" ref="J7:J20" si="0">H7-I7</f>
        <v>800</v>
      </c>
    </row>
    <row r="8" spans="1:10" ht="19.95" customHeight="1" x14ac:dyDescent="0.3">
      <c r="A8" s="155"/>
      <c r="B8" s="155"/>
      <c r="C8" s="158"/>
      <c r="D8" s="158"/>
      <c r="E8" s="157"/>
      <c r="F8" s="159"/>
      <c r="G8" s="155"/>
      <c r="H8" s="156"/>
      <c r="I8" s="19"/>
      <c r="J8" s="156">
        <f t="shared" si="0"/>
        <v>0</v>
      </c>
    </row>
    <row r="9" spans="1:10" ht="19.95" customHeight="1" x14ac:dyDescent="0.3">
      <c r="A9" s="155">
        <v>280080</v>
      </c>
      <c r="B9" s="155">
        <v>304</v>
      </c>
      <c r="C9" s="158">
        <v>0.6</v>
      </c>
      <c r="D9" s="158" t="s">
        <v>9</v>
      </c>
      <c r="E9" s="157" t="s">
        <v>238</v>
      </c>
      <c r="F9" s="154" t="s">
        <v>27</v>
      </c>
      <c r="G9" s="155"/>
      <c r="H9" s="156">
        <v>500</v>
      </c>
      <c r="I9" s="19"/>
      <c r="J9" s="156">
        <f t="shared" si="0"/>
        <v>500</v>
      </c>
    </row>
    <row r="10" spans="1:10" ht="19.95" customHeight="1" x14ac:dyDescent="0.3">
      <c r="A10" s="155">
        <v>280080</v>
      </c>
      <c r="B10" s="155">
        <v>304</v>
      </c>
      <c r="C10" s="158">
        <v>0.6</v>
      </c>
      <c r="D10" s="158" t="s">
        <v>42</v>
      </c>
      <c r="E10" s="157" t="s">
        <v>233</v>
      </c>
      <c r="F10" s="154" t="s">
        <v>28</v>
      </c>
      <c r="G10" s="155">
        <v>430</v>
      </c>
      <c r="H10" s="156">
        <v>500</v>
      </c>
      <c r="I10" s="19">
        <v>400</v>
      </c>
      <c r="J10" s="156">
        <f t="shared" si="0"/>
        <v>100</v>
      </c>
    </row>
    <row r="11" spans="1:10" ht="19.95" customHeight="1" x14ac:dyDescent="0.3">
      <c r="A11" s="155"/>
      <c r="B11" s="155"/>
      <c r="C11" s="158"/>
      <c r="D11" s="158"/>
      <c r="E11" s="157"/>
      <c r="F11" s="155"/>
      <c r="G11" s="155"/>
      <c r="H11" s="156"/>
      <c r="I11" s="19"/>
      <c r="J11" s="156">
        <f t="shared" si="0"/>
        <v>0</v>
      </c>
    </row>
    <row r="12" spans="1:10" ht="19.95" customHeight="1" x14ac:dyDescent="0.3">
      <c r="A12" s="160">
        <v>250057</v>
      </c>
      <c r="B12" s="160">
        <v>304</v>
      </c>
      <c r="C12" s="163">
        <v>0.7</v>
      </c>
      <c r="D12" s="163" t="s">
        <v>12</v>
      </c>
      <c r="E12" s="162" t="s">
        <v>240</v>
      </c>
      <c r="F12" s="160" t="s">
        <v>28</v>
      </c>
      <c r="G12" s="160">
        <v>304</v>
      </c>
      <c r="H12" s="161">
        <v>410</v>
      </c>
      <c r="I12" s="19"/>
      <c r="J12" s="156">
        <f t="shared" si="0"/>
        <v>410</v>
      </c>
    </row>
    <row r="13" spans="1:10" ht="19.95" customHeight="1" x14ac:dyDescent="0.3">
      <c r="A13" s="155"/>
      <c r="B13" s="155"/>
      <c r="C13" s="158"/>
      <c r="D13" s="158"/>
      <c r="E13" s="157"/>
      <c r="F13" s="154"/>
      <c r="G13" s="155"/>
      <c r="H13" s="156"/>
      <c r="I13" s="19"/>
      <c r="J13" s="156">
        <f t="shared" si="0"/>
        <v>0</v>
      </c>
    </row>
    <row r="14" spans="1:10" ht="19.95" customHeight="1" x14ac:dyDescent="0.3">
      <c r="A14" s="164">
        <v>250052</v>
      </c>
      <c r="B14" s="164">
        <v>304</v>
      </c>
      <c r="C14" s="167">
        <v>0.7</v>
      </c>
      <c r="D14" s="167" t="s">
        <v>12</v>
      </c>
      <c r="E14" s="166" t="s">
        <v>241</v>
      </c>
      <c r="F14" s="164" t="s">
        <v>28</v>
      </c>
      <c r="G14" s="164">
        <v>304</v>
      </c>
      <c r="H14" s="165">
        <v>800</v>
      </c>
      <c r="I14" s="19"/>
      <c r="J14" s="156">
        <f t="shared" si="0"/>
        <v>800</v>
      </c>
    </row>
    <row r="15" spans="1:10" ht="19.95" customHeight="1" x14ac:dyDescent="0.3">
      <c r="A15" s="164">
        <v>250055</v>
      </c>
      <c r="B15" s="164">
        <v>304</v>
      </c>
      <c r="C15" s="167">
        <v>0.7</v>
      </c>
      <c r="D15" s="167" t="s">
        <v>12</v>
      </c>
      <c r="E15" s="166" t="s">
        <v>242</v>
      </c>
      <c r="F15" s="164" t="s">
        <v>28</v>
      </c>
      <c r="G15" s="164">
        <v>304</v>
      </c>
      <c r="H15" s="165">
        <v>830</v>
      </c>
      <c r="I15" s="19"/>
      <c r="J15" s="156">
        <f t="shared" si="0"/>
        <v>830</v>
      </c>
    </row>
    <row r="16" spans="1:10" ht="19.95" customHeight="1" x14ac:dyDescent="0.3">
      <c r="A16" s="164"/>
      <c r="B16" s="164"/>
      <c r="C16" s="167"/>
      <c r="D16" s="167"/>
      <c r="E16" s="166"/>
      <c r="F16" s="141"/>
      <c r="G16" s="164"/>
      <c r="H16" s="165"/>
      <c r="I16" s="19"/>
      <c r="J16" s="156">
        <f t="shared" si="0"/>
        <v>0</v>
      </c>
    </row>
    <row r="17" spans="1:10" ht="19.95" customHeight="1" x14ac:dyDescent="0.3">
      <c r="A17" s="164">
        <v>250049</v>
      </c>
      <c r="B17" s="164">
        <v>304</v>
      </c>
      <c r="C17" s="167">
        <v>0.6</v>
      </c>
      <c r="D17" s="167" t="s">
        <v>9</v>
      </c>
      <c r="E17" s="166" t="s">
        <v>243</v>
      </c>
      <c r="F17" s="141" t="s">
        <v>27</v>
      </c>
      <c r="G17" s="164" t="s">
        <v>239</v>
      </c>
      <c r="H17" s="165">
        <v>450</v>
      </c>
      <c r="I17" s="19"/>
      <c r="J17" s="156">
        <f t="shared" si="0"/>
        <v>450</v>
      </c>
    </row>
    <row r="18" spans="1:10" ht="19.95" customHeight="1" x14ac:dyDescent="0.3">
      <c r="A18" s="164">
        <v>250049</v>
      </c>
      <c r="B18" s="164">
        <v>304</v>
      </c>
      <c r="C18" s="167">
        <v>0.6</v>
      </c>
      <c r="D18" s="167" t="s">
        <v>21</v>
      </c>
      <c r="E18" s="166" t="s">
        <v>244</v>
      </c>
      <c r="F18" s="159" t="s">
        <v>185</v>
      </c>
      <c r="G18" s="164">
        <v>430</v>
      </c>
      <c r="H18" s="165">
        <v>450</v>
      </c>
      <c r="I18" s="19"/>
      <c r="J18" s="156">
        <f t="shared" si="0"/>
        <v>450</v>
      </c>
    </row>
    <row r="19" spans="1:10" ht="19.95" customHeight="1" x14ac:dyDescent="0.3">
      <c r="A19" s="164"/>
      <c r="B19" s="164"/>
      <c r="C19" s="167"/>
      <c r="D19" s="167"/>
      <c r="E19" s="166"/>
      <c r="F19" s="141"/>
      <c r="G19" s="164"/>
      <c r="H19" s="165"/>
      <c r="I19" s="19"/>
      <c r="J19" s="156">
        <f t="shared" si="0"/>
        <v>0</v>
      </c>
    </row>
    <row r="20" spans="1:10" ht="19.95" customHeight="1" x14ac:dyDescent="0.3">
      <c r="A20" s="155"/>
      <c r="B20" s="155"/>
      <c r="C20" s="158"/>
      <c r="D20" s="158"/>
      <c r="E20" s="157"/>
      <c r="F20" s="157"/>
      <c r="G20" s="155"/>
      <c r="H20" s="156"/>
      <c r="I20" s="19"/>
      <c r="J20" s="156">
        <f t="shared" si="0"/>
        <v>0</v>
      </c>
    </row>
    <row r="21" spans="1:10" ht="19.95" customHeight="1" x14ac:dyDescent="0.3">
      <c r="A21" s="14"/>
      <c r="B21" s="14"/>
      <c r="C21" s="14"/>
      <c r="D21" s="14"/>
      <c r="E21" s="15"/>
      <c r="F21" s="14"/>
      <c r="G21" s="16"/>
      <c r="H21" s="17">
        <f>SUM(H6:H20)</f>
        <v>4740</v>
      </c>
      <c r="I21" s="19">
        <f>SUM(I5:I13)</f>
        <v>520</v>
      </c>
      <c r="J21" s="156">
        <f>SUM(J6:J20)</f>
        <v>4340</v>
      </c>
    </row>
    <row r="23" spans="1:10" ht="30" customHeight="1" x14ac:dyDescent="0.3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</row>
    <row r="24" spans="1:10" ht="30" customHeight="1" x14ac:dyDescent="0.3">
      <c r="A24" s="155" t="s">
        <v>65</v>
      </c>
      <c r="B24" s="155" t="s">
        <v>66</v>
      </c>
      <c r="C24" s="96" t="s">
        <v>67</v>
      </c>
      <c r="D24" s="96" t="s">
        <v>68</v>
      </c>
      <c r="E24" s="155" t="s">
        <v>69</v>
      </c>
      <c r="F24" s="96" t="s">
        <v>70</v>
      </c>
      <c r="G24" s="96" t="s">
        <v>71</v>
      </c>
      <c r="H24" s="155" t="s">
        <v>72</v>
      </c>
      <c r="I24" s="155" t="s">
        <v>73</v>
      </c>
      <c r="J24" s="155" t="s">
        <v>74</v>
      </c>
    </row>
    <row r="25" spans="1:10" ht="30" customHeight="1" x14ac:dyDescent="0.3">
      <c r="A25" s="155">
        <v>250057</v>
      </c>
      <c r="B25" s="155">
        <v>304</v>
      </c>
      <c r="C25" s="158">
        <v>0.7</v>
      </c>
      <c r="D25" s="158" t="s">
        <v>12</v>
      </c>
      <c r="E25" s="157" t="s">
        <v>236</v>
      </c>
      <c r="F25" s="141" t="s">
        <v>28</v>
      </c>
      <c r="G25" s="155">
        <v>304</v>
      </c>
      <c r="H25" s="156">
        <v>410</v>
      </c>
      <c r="I25" s="155"/>
      <c r="J25" s="156">
        <f>H25-I25</f>
        <v>410</v>
      </c>
    </row>
    <row r="26" spans="1:10" ht="30" customHeight="1" x14ac:dyDescent="0.3">
      <c r="A26" s="155">
        <v>250061</v>
      </c>
      <c r="B26" s="155">
        <v>304</v>
      </c>
      <c r="C26" s="158">
        <v>0.7</v>
      </c>
      <c r="D26" s="158" t="s">
        <v>12</v>
      </c>
      <c r="E26" s="157" t="s">
        <v>237</v>
      </c>
      <c r="F26" s="159" t="s">
        <v>28</v>
      </c>
      <c r="G26" s="155">
        <v>304</v>
      </c>
      <c r="H26" s="156">
        <v>540</v>
      </c>
      <c r="I26" s="155"/>
      <c r="J26" s="156">
        <f t="shared" ref="J26:J39" si="1">H26-I26</f>
        <v>540</v>
      </c>
    </row>
    <row r="27" spans="1:10" ht="30" customHeight="1" x14ac:dyDescent="0.3">
      <c r="A27" s="155"/>
      <c r="B27" s="155"/>
      <c r="C27" s="158"/>
      <c r="D27" s="142"/>
      <c r="E27" s="143"/>
      <c r="F27" s="155"/>
      <c r="G27" s="155"/>
      <c r="H27" s="156"/>
      <c r="I27" s="155"/>
      <c r="J27" s="156">
        <f t="shared" si="1"/>
        <v>0</v>
      </c>
    </row>
    <row r="28" spans="1:10" ht="30" customHeight="1" x14ac:dyDescent="0.3">
      <c r="A28" s="155"/>
      <c r="B28" s="155"/>
      <c r="C28" s="158"/>
      <c r="D28" s="144"/>
      <c r="E28" s="143"/>
      <c r="F28" s="155"/>
      <c r="G28" s="155"/>
      <c r="H28" s="156"/>
      <c r="I28" s="155"/>
      <c r="J28" s="156"/>
    </row>
    <row r="29" spans="1:10" ht="30" customHeight="1" x14ac:dyDescent="0.3">
      <c r="A29" s="155">
        <v>250049</v>
      </c>
      <c r="B29" s="155">
        <v>304</v>
      </c>
      <c r="C29" s="158">
        <v>0.9</v>
      </c>
      <c r="D29" s="158" t="s">
        <v>21</v>
      </c>
      <c r="E29" s="157" t="s">
        <v>184</v>
      </c>
      <c r="F29" s="155" t="s">
        <v>185</v>
      </c>
      <c r="G29" s="155">
        <v>430</v>
      </c>
      <c r="H29" s="156">
        <v>450</v>
      </c>
      <c r="I29" s="155"/>
      <c r="J29" s="156"/>
    </row>
    <row r="30" spans="1:10" ht="30" customHeight="1" x14ac:dyDescent="0.3">
      <c r="A30" s="155">
        <v>250042</v>
      </c>
      <c r="B30" s="155">
        <v>304</v>
      </c>
      <c r="C30" s="158">
        <v>0.9</v>
      </c>
      <c r="D30" s="158" t="s">
        <v>21</v>
      </c>
      <c r="E30" s="157" t="s">
        <v>186</v>
      </c>
      <c r="F30" s="155" t="s">
        <v>185</v>
      </c>
      <c r="G30" s="155">
        <v>304</v>
      </c>
      <c r="H30" s="156">
        <v>750</v>
      </c>
      <c r="I30" s="155"/>
      <c r="J30" s="156"/>
    </row>
    <row r="31" spans="1:10" ht="30" customHeight="1" x14ac:dyDescent="0.3">
      <c r="A31" s="155"/>
      <c r="B31" s="155"/>
      <c r="C31" s="158"/>
      <c r="D31" s="142" t="s">
        <v>180</v>
      </c>
      <c r="E31" s="143" t="s">
        <v>171</v>
      </c>
      <c r="F31" s="155"/>
      <c r="G31" s="155"/>
      <c r="H31" s="156"/>
      <c r="I31" s="155"/>
      <c r="J31" s="156"/>
    </row>
    <row r="32" spans="1:10" ht="30" customHeight="1" x14ac:dyDescent="0.3">
      <c r="A32" s="155"/>
      <c r="B32" s="155"/>
      <c r="C32" s="158"/>
      <c r="D32" s="144" t="s">
        <v>180</v>
      </c>
      <c r="E32" s="143" t="s">
        <v>177</v>
      </c>
      <c r="F32" s="155"/>
      <c r="G32" s="155"/>
      <c r="H32" s="156"/>
      <c r="I32" s="155"/>
      <c r="J32" s="156"/>
    </row>
    <row r="33" spans="1:10" ht="19.95" hidden="1" customHeight="1" x14ac:dyDescent="0.3">
      <c r="A33" s="155"/>
      <c r="B33" s="155"/>
      <c r="C33" s="158"/>
      <c r="D33" s="158"/>
      <c r="E33" s="157"/>
      <c r="F33" s="155"/>
      <c r="G33" s="155"/>
      <c r="H33" s="156"/>
      <c r="I33" s="108"/>
      <c r="J33" s="156">
        <f t="shared" si="1"/>
        <v>0</v>
      </c>
    </row>
    <row r="34" spans="1:10" ht="19.95" hidden="1" customHeight="1" x14ac:dyDescent="0.3">
      <c r="A34" s="155"/>
      <c r="B34" s="155"/>
      <c r="C34" s="158"/>
      <c r="D34" s="158"/>
      <c r="E34" s="157"/>
      <c r="F34" s="157"/>
      <c r="G34" s="155"/>
      <c r="H34" s="156"/>
      <c r="I34" s="108"/>
      <c r="J34" s="156">
        <f t="shared" si="1"/>
        <v>0</v>
      </c>
    </row>
    <row r="35" spans="1:10" ht="19.95" hidden="1" customHeight="1" x14ac:dyDescent="0.3">
      <c r="A35" s="155"/>
      <c r="B35" s="155"/>
      <c r="C35" s="158"/>
      <c r="D35" s="158"/>
      <c r="E35" s="157"/>
      <c r="F35" s="157"/>
      <c r="G35" s="155"/>
      <c r="H35" s="156"/>
      <c r="I35" s="108"/>
      <c r="J35" s="156">
        <f t="shared" si="1"/>
        <v>0</v>
      </c>
    </row>
    <row r="36" spans="1:10" ht="19.95" hidden="1" customHeight="1" x14ac:dyDescent="0.3">
      <c r="A36" s="155"/>
      <c r="B36" s="155"/>
      <c r="C36" s="158"/>
      <c r="D36" s="158"/>
      <c r="E36" s="157"/>
      <c r="F36" s="157"/>
      <c r="G36" s="155"/>
      <c r="H36" s="156"/>
      <c r="I36" s="108"/>
      <c r="J36" s="156">
        <f t="shared" si="1"/>
        <v>0</v>
      </c>
    </row>
    <row r="37" spans="1:10" ht="19.95" hidden="1" customHeight="1" x14ac:dyDescent="0.3">
      <c r="A37" s="155"/>
      <c r="B37" s="155"/>
      <c r="C37" s="158"/>
      <c r="D37" s="158"/>
      <c r="E37" s="157"/>
      <c r="F37" s="157"/>
      <c r="G37" s="155"/>
      <c r="H37" s="156"/>
      <c r="I37" s="108"/>
      <c r="J37" s="156">
        <f t="shared" si="1"/>
        <v>0</v>
      </c>
    </row>
    <row r="38" spans="1:10" ht="19.95" hidden="1" customHeight="1" x14ac:dyDescent="0.3">
      <c r="A38" s="155"/>
      <c r="B38" s="155"/>
      <c r="C38" s="158"/>
      <c r="D38" s="158"/>
      <c r="E38" s="157"/>
      <c r="F38" s="157"/>
      <c r="G38" s="155"/>
      <c r="H38" s="156"/>
      <c r="I38" s="108"/>
      <c r="J38" s="156">
        <f t="shared" si="1"/>
        <v>0</v>
      </c>
    </row>
    <row r="39" spans="1:10" ht="19.95" customHeight="1" x14ac:dyDescent="0.3">
      <c r="A39" s="155"/>
      <c r="B39" s="155"/>
      <c r="C39" s="158"/>
      <c r="D39" s="158"/>
      <c r="E39" s="157"/>
      <c r="F39" s="157"/>
      <c r="G39" s="155"/>
      <c r="H39" s="156"/>
      <c r="I39" s="19"/>
      <c r="J39" s="156">
        <f t="shared" si="1"/>
        <v>0</v>
      </c>
    </row>
    <row r="40" spans="1:10" ht="19.95" customHeight="1" x14ac:dyDescent="0.3">
      <c r="A40" s="14"/>
      <c r="B40" s="14"/>
      <c r="C40" s="14"/>
      <c r="D40" s="14"/>
      <c r="E40" s="15"/>
      <c r="F40" s="14"/>
      <c r="G40" s="16"/>
      <c r="H40" s="156">
        <f>SUM(H25:H39)</f>
        <v>2150</v>
      </c>
      <c r="I40" s="108">
        <f>SUM(I33:I39)</f>
        <v>0</v>
      </c>
      <c r="J40" s="156">
        <f>SUM(J25:J39)</f>
        <v>950</v>
      </c>
    </row>
    <row r="42" spans="1:10" ht="23.4" x14ac:dyDescent="0.3">
      <c r="A42" s="180" t="s">
        <v>62</v>
      </c>
      <c r="B42" s="180"/>
      <c r="C42" s="180"/>
      <c r="D42" s="180"/>
      <c r="E42" s="180"/>
      <c r="F42" s="180"/>
      <c r="G42" s="180"/>
      <c r="H42" s="180"/>
      <c r="I42" s="180"/>
      <c r="J42" s="180"/>
    </row>
  </sheetData>
  <mergeCells count="5">
    <mergeCell ref="I1:J1"/>
    <mergeCell ref="A2:J2"/>
    <mergeCell ref="A3:J3"/>
    <mergeCell ref="A23:J23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POLİSAJ ANA TASLAK</vt:lpstr>
      <vt:lpstr>01.09.2025</vt:lpstr>
      <vt:lpstr>02.09.2025</vt:lpstr>
      <vt:lpstr>03.09.2025 </vt:lpstr>
      <vt:lpstr>05.09.2025</vt:lpstr>
      <vt:lpstr>06.09.2025</vt:lpstr>
      <vt:lpstr>08.09.2025</vt:lpstr>
      <vt:lpstr>09.09.2025</vt:lpstr>
      <vt:lpstr>10.09.2025</vt:lpstr>
      <vt:lpstr>11.09.2025</vt:lpstr>
      <vt:lpstr>12.09.2025</vt:lpstr>
      <vt:lpstr>13.09.2025</vt:lpstr>
      <vt:lpstr>15.09.2025</vt:lpstr>
      <vt:lpstr>16.09.2025</vt:lpstr>
      <vt:lpstr>17.09.2025</vt:lpstr>
      <vt:lpstr>18.09.2025</vt:lpstr>
      <vt:lpstr>19.09.2025</vt:lpstr>
      <vt:lpstr>20.09.2025</vt:lpstr>
      <vt:lpstr>22.09.2025</vt:lpstr>
      <vt:lpstr>23.09.2025</vt:lpstr>
      <vt:lpstr>24.09.2025</vt:lpstr>
      <vt:lpstr>25.09.2025</vt:lpstr>
      <vt:lpstr>26.09.2025</vt:lpstr>
      <vt:lpstr>27.09.2025</vt:lpstr>
      <vt:lpstr>29.09.2025</vt:lpstr>
      <vt:lpstr>30.09.2025</vt:lpstr>
      <vt:lpstr>01.10.2025</vt:lpstr>
      <vt:lpstr>02.10.2025</vt:lpstr>
      <vt:lpstr>03.10.2025</vt:lpstr>
      <vt:lpstr>04.10.2025</vt:lpstr>
      <vt:lpstr>06.10.2025</vt:lpstr>
      <vt:lpstr>07.10.2025</vt:lpstr>
      <vt:lpstr>08.10.2025</vt:lpstr>
      <vt:lpstr>09.10.2025</vt:lpstr>
      <vt:lpstr>10.10.2025</vt:lpstr>
      <vt:lpstr>11.10.2025 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22.10.2025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05.11.25</vt:lpstr>
      <vt:lpstr>06.11.2025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DUDAKLI</dc:creator>
  <cp:lastModifiedBy>DELL</cp:lastModifiedBy>
  <cp:lastPrinted>2025-11-06T05:59:21Z</cp:lastPrinted>
  <dcterms:created xsi:type="dcterms:W3CDTF">2015-06-05T18:19:34Z</dcterms:created>
  <dcterms:modified xsi:type="dcterms:W3CDTF">2025-11-06T10:56:42Z</dcterms:modified>
</cp:coreProperties>
</file>