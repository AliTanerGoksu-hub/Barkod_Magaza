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2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comments3.xml" ContentType="application/vnd.openxmlformats-officedocument.spreadsheetml.comments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omments4.xml" ContentType="application/vnd.openxmlformats-officedocument.spreadsheetml.comments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omments5.xml" ContentType="application/vnd.openxmlformats-officedocument.spreadsheetml.comments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BuÇalışmaKitabı" defaultThemeVersion="164011"/>
  <bookViews>
    <workbookView xWindow="0" yWindow="0" windowWidth="23040" windowHeight="9072" firstSheet="46" activeTab="53"/>
  </bookViews>
  <sheets>
    <sheet name="PRESHANE ANA TASLAK" sheetId="19" r:id="rId1"/>
    <sheet name="01.09.2025" sheetId="1" r:id="rId2"/>
    <sheet name="02.09.2025" sheetId="8" r:id="rId3"/>
    <sheet name="03.09.2025 " sheetId="9" r:id="rId4"/>
    <sheet name="04.09.2025" sheetId="11" r:id="rId5"/>
    <sheet name="05.09.2025" sheetId="12" r:id="rId6"/>
    <sheet name="12.09.2025" sheetId="16" r:id="rId7"/>
    <sheet name="13.09.2025" sheetId="17" r:id="rId8"/>
    <sheet name="14.09.2025" sheetId="18" r:id="rId9"/>
    <sheet name="15.09.2025" sheetId="20" r:id="rId10"/>
    <sheet name="16.09.2025" sheetId="22" r:id="rId11"/>
    <sheet name="17.09.2025" sheetId="23" r:id="rId12"/>
    <sheet name="18.09.2025" sheetId="24" r:id="rId13"/>
    <sheet name="19.09.2025" sheetId="25" r:id="rId14"/>
    <sheet name="22.09.2025" sheetId="27" r:id="rId15"/>
    <sheet name="20.09.2025" sheetId="26" r:id="rId16"/>
    <sheet name="24.09.2025" sheetId="29" r:id="rId17"/>
    <sheet name="23.09.2025" sheetId="28" r:id="rId18"/>
    <sheet name="25.09.2025" sheetId="30" r:id="rId19"/>
    <sheet name="26.09.2025" sheetId="31" r:id="rId20"/>
    <sheet name="27.09.2025" sheetId="32" r:id="rId21"/>
    <sheet name="29.09.2025" sheetId="33" r:id="rId22"/>
    <sheet name="30.09.2025" sheetId="34" r:id="rId23"/>
    <sheet name="01.10.2025" sheetId="35" r:id="rId24"/>
    <sheet name="02.10.2025" sheetId="36" r:id="rId25"/>
    <sheet name="03.10.2025" sheetId="37" r:id="rId26"/>
    <sheet name="04.10.2025" sheetId="38" r:id="rId27"/>
    <sheet name="06.10.2025" sheetId="39" r:id="rId28"/>
    <sheet name="07.10.2025" sheetId="41" r:id="rId29"/>
    <sheet name="08.10.2025" sheetId="42" r:id="rId30"/>
    <sheet name="09.10.2025" sheetId="43" r:id="rId31"/>
    <sheet name="10.10.2025" sheetId="44" r:id="rId32"/>
    <sheet name="11.10.2025" sheetId="45" r:id="rId33"/>
    <sheet name="13.10.2025" sheetId="46" r:id="rId34"/>
    <sheet name="14.10.2025" sheetId="47" r:id="rId35"/>
    <sheet name="15.10.2025" sheetId="48" r:id="rId36"/>
    <sheet name="16.10.2025" sheetId="49" r:id="rId37"/>
    <sheet name="17.10.2025" sheetId="50" r:id="rId38"/>
    <sheet name="18.10.2025" sheetId="51" r:id="rId39"/>
    <sheet name="20.10.2025" sheetId="52" r:id="rId40"/>
    <sheet name="21.10.2025" sheetId="53" r:id="rId41"/>
    <sheet name="22.10.2025" sheetId="54" r:id="rId42"/>
    <sheet name="23.10.2025" sheetId="55" r:id="rId43"/>
    <sheet name="24.10.2025" sheetId="56" r:id="rId44"/>
    <sheet name="25.10.2025" sheetId="57" r:id="rId45"/>
    <sheet name="27.10.2025" sheetId="58" r:id="rId46"/>
    <sheet name="28.10.2025" sheetId="59" r:id="rId47"/>
    <sheet name="30.10.2025" sheetId="60" r:id="rId48"/>
    <sheet name="31.10.2025" sheetId="61" r:id="rId49"/>
    <sheet name="01.11.2025" sheetId="62" r:id="rId50"/>
    <sheet name="03.11.2025" sheetId="63" r:id="rId51"/>
    <sheet name="04.11.2025" sheetId="64" r:id="rId52"/>
    <sheet name="05.10.2025" sheetId="65" r:id="rId53"/>
    <sheet name="06.11.2025" sheetId="66" r:id="rId54"/>
  </sheets>
  <definedNames>
    <definedName name="_xlnm.Print_Area" localSheetId="23">'01.10.2025'!$A$1:$N$33</definedName>
    <definedName name="_xlnm.Print_Area" localSheetId="49">'01.11.2025'!$A$14:$N$26</definedName>
    <definedName name="_xlnm.Print_Area" localSheetId="24">'02.10.2025'!$A$1:$N$33</definedName>
    <definedName name="_xlnm.Print_Area" localSheetId="25">'03.10.2025'!$A$1:$N$33</definedName>
    <definedName name="_xlnm.Print_Area" localSheetId="50">'03.11.2025'!$A$14:$N$26</definedName>
    <definedName name="_xlnm.Print_Area" localSheetId="26">'04.10.2025'!$A$1:$N$33</definedName>
    <definedName name="_xlnm.Print_Area" localSheetId="51">'04.11.2025'!$A$26:$N$59</definedName>
    <definedName name="_xlnm.Print_Area" localSheetId="52">'05.10.2025'!$A$23:$N$54</definedName>
    <definedName name="_xlnm.Print_Area" localSheetId="27">'06.10.2025'!$A$1:$N$33</definedName>
    <definedName name="_xlnm.Print_Area" localSheetId="53">'06.11.2025'!$A$19:$N$46</definedName>
    <definedName name="_xlnm.Print_Area" localSheetId="28">'07.10.2025'!$A$1:$N$38</definedName>
    <definedName name="_xlnm.Print_Area" localSheetId="29">'08.10.2025'!$A$1:$N$48</definedName>
    <definedName name="_xlnm.Print_Area" localSheetId="30">'09.10.2025'!$A$1:$N$48</definedName>
    <definedName name="_xlnm.Print_Area" localSheetId="31">'10.10.2025'!$A$1:$N$41</definedName>
    <definedName name="_xlnm.Print_Area" localSheetId="32">'11.10.2025'!$A$1:$N$41</definedName>
    <definedName name="_xlnm.Print_Area" localSheetId="6">'12.09.2025'!$A$1:$N$20</definedName>
    <definedName name="_xlnm.Print_Area" localSheetId="7">'13.09.2025'!$A$1:$N$20</definedName>
    <definedName name="_xlnm.Print_Area" localSheetId="33">'13.10.2025'!$A$1:$N$37</definedName>
    <definedName name="_xlnm.Print_Area" localSheetId="34">'14.10.2025'!$A$1:$N$20</definedName>
    <definedName name="_xlnm.Print_Area" localSheetId="35">'15.10.2025'!$A$1:$N$20</definedName>
    <definedName name="_xlnm.Print_Area" localSheetId="36">'16.10.2025'!$A$1:$N$20</definedName>
    <definedName name="_xlnm.Print_Area" localSheetId="11">'17.09.2025'!$A$1:$N$9</definedName>
    <definedName name="_xlnm.Print_Area" localSheetId="37">'17.10.2025'!$A$1:$N$13</definedName>
    <definedName name="_xlnm.Print_Area" localSheetId="12">'18.09.2025'!$AE$1:$AM$18</definedName>
    <definedName name="_xlnm.Print_Area" localSheetId="38">'18.10.2025'!$A$1:$N$13</definedName>
    <definedName name="_xlnm.Print_Area" localSheetId="13">'19.09.2025'!$AE$1:$AM$18</definedName>
    <definedName name="_xlnm.Print_Area" localSheetId="15">'20.09.2025'!$AE$1:$AM$18</definedName>
    <definedName name="_xlnm.Print_Area" localSheetId="39">'20.10.2025'!$A$23:$N$40</definedName>
    <definedName name="_xlnm.Print_Area" localSheetId="40">'21.10.2025'!$A$21:$N$37</definedName>
    <definedName name="_xlnm.Print_Area" localSheetId="14">'22.09.2025'!$P$1:$AC$20</definedName>
    <definedName name="_xlnm.Print_Area" localSheetId="41">'22.10.2025'!$A$21:$N$37</definedName>
    <definedName name="_xlnm.Print_Area" localSheetId="17">'23.09.2025'!$AE$1:$AM$29</definedName>
    <definedName name="_xlnm.Print_Area" localSheetId="42">'23.10.2025'!$A$1:$N$14</definedName>
    <definedName name="_xlnm.Print_Area" localSheetId="16">'24.09.2025'!$AE$1:$AM$29</definedName>
    <definedName name="_xlnm.Print_Area" localSheetId="43">'24.10.2025'!$A$1:$N$11</definedName>
    <definedName name="_xlnm.Print_Area" localSheetId="18">'25.09.2025'!$AE$1:$AM$29</definedName>
    <definedName name="_xlnm.Print_Area" localSheetId="44">'25.10.2025'!$A$1:$N$11</definedName>
    <definedName name="_xlnm.Print_Area" localSheetId="19">'26.09.2025'!$AE$1:$AM$29</definedName>
    <definedName name="_xlnm.Print_Area" localSheetId="20">'27.09.2025'!$AE$1:$AM$29</definedName>
    <definedName name="_xlnm.Print_Area" localSheetId="45">'27.10.2025'!$A$21:$N$42</definedName>
    <definedName name="_xlnm.Print_Area" localSheetId="46">'28.10.2025'!$A$18:$N$37</definedName>
    <definedName name="_xlnm.Print_Area" localSheetId="21">'29.09.2025'!$AE$1:$AM$33</definedName>
    <definedName name="_xlnm.Print_Area" localSheetId="22">'30.09.2025'!$AE$1:$AM$33</definedName>
    <definedName name="_xlnm.Print_Area" localSheetId="47">'30.10.2025'!$A$17:$N$36</definedName>
    <definedName name="_xlnm.Print_Area" localSheetId="48">'31.10.2025'!$A$14:$N$30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46" i="66" l="1"/>
  <c r="AK46" i="66"/>
  <c r="AA46" i="66"/>
  <c r="M46" i="66"/>
  <c r="L46" i="66"/>
  <c r="AM45" i="66"/>
  <c r="AC45" i="66"/>
  <c r="N45" i="66"/>
  <c r="AM44" i="66"/>
  <c r="AC44" i="66"/>
  <c r="N44" i="66"/>
  <c r="AM43" i="66"/>
  <c r="AC43" i="66"/>
  <c r="N43" i="66"/>
  <c r="AM42" i="66"/>
  <c r="AC42" i="66"/>
  <c r="N42" i="66"/>
  <c r="AM41" i="66"/>
  <c r="AC41" i="66"/>
  <c r="N41" i="66"/>
  <c r="AM40" i="66"/>
  <c r="AC40" i="66"/>
  <c r="N40" i="66"/>
  <c r="AM39" i="66"/>
  <c r="AC39" i="66"/>
  <c r="N39" i="66"/>
  <c r="AM38" i="66"/>
  <c r="AC38" i="66"/>
  <c r="N38" i="66"/>
  <c r="AM37" i="66"/>
  <c r="AC37" i="66"/>
  <c r="N37" i="66"/>
  <c r="AM36" i="66"/>
  <c r="AC36" i="66"/>
  <c r="N36" i="66"/>
  <c r="AM35" i="66"/>
  <c r="AC35" i="66"/>
  <c r="N35" i="66"/>
  <c r="AM34" i="66"/>
  <c r="AC34" i="66"/>
  <c r="N34" i="66"/>
  <c r="AM33" i="66"/>
  <c r="AC33" i="66"/>
  <c r="N33" i="66"/>
  <c r="AM32" i="66"/>
  <c r="AC32" i="66"/>
  <c r="N32" i="66"/>
  <c r="AM31" i="66"/>
  <c r="AC31" i="66"/>
  <c r="N31" i="66"/>
  <c r="AM30" i="66"/>
  <c r="AC30" i="66"/>
  <c r="N30" i="66"/>
  <c r="AM29" i="66"/>
  <c r="AC29" i="66"/>
  <c r="N29" i="66"/>
  <c r="AM28" i="66"/>
  <c r="AC28" i="66"/>
  <c r="N28" i="66"/>
  <c r="AM27" i="66"/>
  <c r="AC27" i="66"/>
  <c r="N27" i="66"/>
  <c r="AM26" i="66"/>
  <c r="AC26" i="66"/>
  <c r="N26" i="66"/>
  <c r="AM25" i="66"/>
  <c r="AC25" i="66"/>
  <c r="N25" i="66"/>
  <c r="AM24" i="66"/>
  <c r="AC24" i="66"/>
  <c r="N24" i="66"/>
  <c r="AM23" i="66"/>
  <c r="AC23" i="66"/>
  <c r="N23" i="66"/>
  <c r="AM22" i="66"/>
  <c r="AC22" i="66"/>
  <c r="N22" i="66"/>
  <c r="AM21" i="66"/>
  <c r="AB46" i="66"/>
  <c r="N21" i="66"/>
  <c r="AM20" i="66"/>
  <c r="AM19" i="66"/>
  <c r="AM18" i="66"/>
  <c r="AM17" i="66"/>
  <c r="AB17" i="66"/>
  <c r="AA17" i="66"/>
  <c r="M17" i="66"/>
  <c r="L17" i="66"/>
  <c r="AM16" i="66"/>
  <c r="AC16" i="66"/>
  <c r="N16" i="66"/>
  <c r="AM15" i="66"/>
  <c r="AC15" i="66"/>
  <c r="N15" i="66"/>
  <c r="AM14" i="66"/>
  <c r="AC14" i="66"/>
  <c r="N14" i="66"/>
  <c r="AM13" i="66"/>
  <c r="AC13" i="66"/>
  <c r="N13" i="66"/>
  <c r="AM12" i="66"/>
  <c r="AC12" i="66"/>
  <c r="N12" i="66"/>
  <c r="AM11" i="66"/>
  <c r="AC11" i="66"/>
  <c r="N11" i="66"/>
  <c r="AM10" i="66"/>
  <c r="AC10" i="66"/>
  <c r="N10" i="66"/>
  <c r="AM9" i="66"/>
  <c r="AC9" i="66"/>
  <c r="N9" i="66"/>
  <c r="AM8" i="66"/>
  <c r="AC8" i="66"/>
  <c r="N8" i="66"/>
  <c r="AM7" i="66"/>
  <c r="AC7" i="66"/>
  <c r="N7" i="66"/>
  <c r="AM6" i="66"/>
  <c r="AC6" i="66"/>
  <c r="N6" i="66"/>
  <c r="AM5" i="66"/>
  <c r="AC5" i="66"/>
  <c r="N5" i="66"/>
  <c r="AM4" i="66"/>
  <c r="AC4" i="66"/>
  <c r="N4" i="66"/>
  <c r="Z1" i="66"/>
  <c r="M16" i="65"/>
  <c r="M4" i="65"/>
  <c r="AC17" i="66" l="1"/>
  <c r="AM46" i="66"/>
  <c r="N46" i="66"/>
  <c r="N17" i="66"/>
  <c r="AC21" i="66"/>
  <c r="AC46" i="66" s="1"/>
  <c r="AB25" i="65"/>
  <c r="AL54" i="65" l="1"/>
  <c r="AK54" i="65"/>
  <c r="AA54" i="65"/>
  <c r="M54" i="65"/>
  <c r="L54" i="65"/>
  <c r="AM53" i="65"/>
  <c r="AC53" i="65"/>
  <c r="N53" i="65"/>
  <c r="AM52" i="65"/>
  <c r="AC52" i="65"/>
  <c r="N52" i="65"/>
  <c r="AM51" i="65"/>
  <c r="AC51" i="65"/>
  <c r="N51" i="65"/>
  <c r="AM50" i="65"/>
  <c r="AC50" i="65"/>
  <c r="N50" i="65"/>
  <c r="AM49" i="65"/>
  <c r="AC49" i="65"/>
  <c r="N49" i="65"/>
  <c r="AM48" i="65"/>
  <c r="AC48" i="65"/>
  <c r="N48" i="65"/>
  <c r="AM47" i="65"/>
  <c r="AC47" i="65"/>
  <c r="N47" i="65"/>
  <c r="AM46" i="65"/>
  <c r="AC46" i="65"/>
  <c r="N46" i="65"/>
  <c r="AM45" i="65"/>
  <c r="AC45" i="65"/>
  <c r="N45" i="65"/>
  <c r="AM44" i="65"/>
  <c r="AC44" i="65"/>
  <c r="N44" i="65"/>
  <c r="AM43" i="65"/>
  <c r="AC43" i="65"/>
  <c r="N43" i="65"/>
  <c r="AM42" i="65"/>
  <c r="AC42" i="65"/>
  <c r="N42" i="65"/>
  <c r="AM41" i="65"/>
  <c r="AC41" i="65"/>
  <c r="N41" i="65"/>
  <c r="AM40" i="65"/>
  <c r="AC40" i="65"/>
  <c r="N40" i="65"/>
  <c r="AM39" i="65"/>
  <c r="AC39" i="65"/>
  <c r="N39" i="65"/>
  <c r="AM38" i="65"/>
  <c r="AC38" i="65"/>
  <c r="N38" i="65"/>
  <c r="AM37" i="65"/>
  <c r="AC37" i="65"/>
  <c r="N37" i="65"/>
  <c r="AM36" i="65"/>
  <c r="AC36" i="65"/>
  <c r="N36" i="65"/>
  <c r="AM35" i="65"/>
  <c r="AC35" i="65"/>
  <c r="N35" i="65"/>
  <c r="AM34" i="65"/>
  <c r="AC34" i="65"/>
  <c r="N34" i="65"/>
  <c r="AM33" i="65"/>
  <c r="AC33" i="65"/>
  <c r="N33" i="65"/>
  <c r="AM32" i="65"/>
  <c r="AC32" i="65"/>
  <c r="N32" i="65"/>
  <c r="AM31" i="65"/>
  <c r="AC31" i="65"/>
  <c r="N31" i="65"/>
  <c r="AM30" i="65"/>
  <c r="AC30" i="65"/>
  <c r="N30" i="65"/>
  <c r="AM29" i="65"/>
  <c r="AC29" i="65"/>
  <c r="N29" i="65"/>
  <c r="AM28" i="65"/>
  <c r="AC28" i="65"/>
  <c r="N28" i="65"/>
  <c r="AM27" i="65"/>
  <c r="AC27" i="65"/>
  <c r="N27" i="65"/>
  <c r="AM26" i="65"/>
  <c r="AC26" i="65"/>
  <c r="N26" i="65"/>
  <c r="AM25" i="65"/>
  <c r="AC25" i="65"/>
  <c r="N25" i="65"/>
  <c r="AM24" i="65"/>
  <c r="AM23" i="65"/>
  <c r="AM22" i="65"/>
  <c r="AM21" i="65"/>
  <c r="AB21" i="65"/>
  <c r="AA21" i="65"/>
  <c r="L21" i="65"/>
  <c r="AM20" i="65"/>
  <c r="AC20" i="65"/>
  <c r="N20" i="65"/>
  <c r="AM19" i="65"/>
  <c r="AC19" i="65"/>
  <c r="N19" i="65"/>
  <c r="AM18" i="65"/>
  <c r="AC18" i="65"/>
  <c r="N18" i="65"/>
  <c r="AM17" i="65"/>
  <c r="AC17" i="65"/>
  <c r="N17" i="65"/>
  <c r="AM16" i="65"/>
  <c r="AC16" i="65"/>
  <c r="N16" i="65"/>
  <c r="AM15" i="65"/>
  <c r="AC15" i="65"/>
  <c r="N15" i="65"/>
  <c r="AM14" i="65"/>
  <c r="AC14" i="65"/>
  <c r="N14" i="65"/>
  <c r="AM13" i="65"/>
  <c r="AC13" i="65"/>
  <c r="N13" i="65"/>
  <c r="AM12" i="65"/>
  <c r="AC12" i="65"/>
  <c r="N12" i="65"/>
  <c r="AM11" i="65"/>
  <c r="AC11" i="65"/>
  <c r="N11" i="65"/>
  <c r="AM10" i="65"/>
  <c r="AC10" i="65"/>
  <c r="N10" i="65"/>
  <c r="AM9" i="65"/>
  <c r="AC9" i="65"/>
  <c r="N9" i="65"/>
  <c r="AM8" i="65"/>
  <c r="AC8" i="65"/>
  <c r="N8" i="65"/>
  <c r="AM7" i="65"/>
  <c r="AC7" i="65"/>
  <c r="M21" i="65"/>
  <c r="AM6" i="65"/>
  <c r="AC6" i="65"/>
  <c r="N6" i="65"/>
  <c r="AM5" i="65"/>
  <c r="AC5" i="65"/>
  <c r="N5" i="65"/>
  <c r="AM4" i="65"/>
  <c r="AC4" i="65"/>
  <c r="N4" i="65"/>
  <c r="Z1" i="65"/>
  <c r="AB28" i="64"/>
  <c r="M32" i="64"/>
  <c r="N57" i="64"/>
  <c r="M7" i="64"/>
  <c r="AC54" i="65" l="1"/>
  <c r="AC21" i="65"/>
  <c r="AM54" i="65"/>
  <c r="N54" i="65"/>
  <c r="AB54" i="65"/>
  <c r="N7" i="65"/>
  <c r="N21" i="65" s="1"/>
  <c r="AC9" i="64"/>
  <c r="AC10" i="64"/>
  <c r="AC11" i="64"/>
  <c r="AC12" i="64"/>
  <c r="AC13" i="64"/>
  <c r="AC14" i="64"/>
  <c r="AC15" i="64"/>
  <c r="AC16" i="64"/>
  <c r="AC17" i="64"/>
  <c r="AC18" i="64"/>
  <c r="AC19" i="64"/>
  <c r="AC20" i="64"/>
  <c r="AC37" i="64"/>
  <c r="AC38" i="64"/>
  <c r="AC39" i="64"/>
  <c r="AC40" i="64"/>
  <c r="AC41" i="64"/>
  <c r="AC42" i="64"/>
  <c r="AC43" i="64"/>
  <c r="AC44" i="64"/>
  <c r="AC45" i="64"/>
  <c r="AC46" i="64"/>
  <c r="AC47" i="64"/>
  <c r="AC48" i="64"/>
  <c r="AC49" i="64"/>
  <c r="AC50" i="64"/>
  <c r="AC51" i="64"/>
  <c r="AC52" i="64"/>
  <c r="AC53" i="64"/>
  <c r="AC54" i="64"/>
  <c r="AC55" i="64"/>
  <c r="AC56" i="64"/>
  <c r="AC58" i="64"/>
  <c r="AM9" i="64"/>
  <c r="AM10" i="64"/>
  <c r="AM11" i="64"/>
  <c r="AM12" i="64"/>
  <c r="AM13" i="64"/>
  <c r="AM14" i="64"/>
  <c r="AM15" i="64"/>
  <c r="AM16" i="64"/>
  <c r="AM17" i="64"/>
  <c r="AM18" i="64"/>
  <c r="AM19" i="64"/>
  <c r="AM20" i="64"/>
  <c r="AM21" i="64"/>
  <c r="AM22" i="64"/>
  <c r="AM23" i="64"/>
  <c r="AM24" i="64"/>
  <c r="AM25" i="64"/>
  <c r="AM26" i="64"/>
  <c r="AM27" i="64"/>
  <c r="AM28" i="64"/>
  <c r="AM29" i="64"/>
  <c r="AM30" i="64"/>
  <c r="AM31" i="64"/>
  <c r="AM32" i="64"/>
  <c r="AM33" i="64"/>
  <c r="AM34" i="64"/>
  <c r="AM35" i="64"/>
  <c r="AM36" i="64"/>
  <c r="AM37" i="64"/>
  <c r="AM38" i="64"/>
  <c r="AM39" i="64"/>
  <c r="AM40" i="64"/>
  <c r="AM41" i="64"/>
  <c r="AM42" i="64"/>
  <c r="AM43" i="64"/>
  <c r="AM44" i="64"/>
  <c r="AM45" i="64"/>
  <c r="AM46" i="64"/>
  <c r="AM47" i="64"/>
  <c r="AM48" i="64"/>
  <c r="AM49" i="64"/>
  <c r="AM50" i="64"/>
  <c r="AM51" i="64"/>
  <c r="AM52" i="64"/>
  <c r="AM53" i="64"/>
  <c r="AM54" i="64"/>
  <c r="AM55" i="64"/>
  <c r="AM56" i="64"/>
  <c r="AM58" i="64"/>
  <c r="N56" i="64"/>
  <c r="N52" i="64"/>
  <c r="N53" i="64"/>
  <c r="N54" i="64"/>
  <c r="N55" i="64"/>
  <c r="N15" i="64"/>
  <c r="N16" i="64"/>
  <c r="N17" i="64"/>
  <c r="N18" i="64"/>
  <c r="N19" i="64"/>
  <c r="N20" i="64"/>
  <c r="N39" i="64"/>
  <c r="N40" i="64"/>
  <c r="N42" i="64"/>
  <c r="N38" i="64"/>
  <c r="N37" i="64"/>
  <c r="AC33" i="64"/>
  <c r="AC34" i="64"/>
  <c r="AC35" i="64"/>
  <c r="AC36" i="64"/>
  <c r="AC30" i="64"/>
  <c r="AC31" i="64"/>
  <c r="AC32" i="64"/>
  <c r="N31" i="64"/>
  <c r="N30" i="64"/>
  <c r="N34" i="64"/>
  <c r="N35" i="64"/>
  <c r="N36" i="64"/>
  <c r="N41" i="64"/>
  <c r="N43" i="64"/>
  <c r="N44" i="64"/>
  <c r="N45" i="64"/>
  <c r="N46" i="64"/>
  <c r="N47" i="64"/>
  <c r="N9" i="64"/>
  <c r="N10" i="64"/>
  <c r="N11" i="64"/>
  <c r="N12" i="64"/>
  <c r="N13" i="64"/>
  <c r="N14" i="64"/>
  <c r="AL59" i="64"/>
  <c r="AK59" i="64"/>
  <c r="AB59" i="64"/>
  <c r="AA59" i="64"/>
  <c r="M59" i="64"/>
  <c r="L59" i="64"/>
  <c r="N58" i="64"/>
  <c r="N51" i="64"/>
  <c r="N50" i="64"/>
  <c r="N49" i="64"/>
  <c r="N48" i="64"/>
  <c r="N33" i="64"/>
  <c r="N32" i="64"/>
  <c r="AC29" i="64"/>
  <c r="N29" i="64"/>
  <c r="AC28" i="64"/>
  <c r="N28" i="64"/>
  <c r="AB24" i="64"/>
  <c r="AA24" i="64"/>
  <c r="M24" i="64"/>
  <c r="L24" i="64"/>
  <c r="AC23" i="64"/>
  <c r="N23" i="64"/>
  <c r="AC22" i="64"/>
  <c r="N22" i="64"/>
  <c r="AC21" i="64"/>
  <c r="N21" i="64"/>
  <c r="AM8" i="64"/>
  <c r="AC8" i="64"/>
  <c r="N8" i="64"/>
  <c r="AM7" i="64"/>
  <c r="AC7" i="64"/>
  <c r="N7" i="64"/>
  <c r="AM6" i="64"/>
  <c r="AC6" i="64"/>
  <c r="N6" i="64"/>
  <c r="AM5" i="64"/>
  <c r="AC5" i="64"/>
  <c r="N5" i="64"/>
  <c r="AM4" i="64"/>
  <c r="AC4" i="64"/>
  <c r="N4" i="64"/>
  <c r="Z1" i="64"/>
  <c r="AB16" i="63"/>
  <c r="N24" i="64" l="1"/>
  <c r="AC24" i="64"/>
  <c r="AM59" i="64"/>
  <c r="AC59" i="64"/>
  <c r="N59" i="64"/>
  <c r="AL26" i="63"/>
  <c r="AK26" i="63"/>
  <c r="AA26" i="63"/>
  <c r="M26" i="63"/>
  <c r="L26" i="63"/>
  <c r="AM25" i="63"/>
  <c r="AC25" i="63"/>
  <c r="N25" i="63"/>
  <c r="AM24" i="63"/>
  <c r="AC24" i="63"/>
  <c r="N24" i="63"/>
  <c r="AM23" i="63"/>
  <c r="AC23" i="63"/>
  <c r="N23" i="63"/>
  <c r="AM22" i="63"/>
  <c r="AC22" i="63"/>
  <c r="N22" i="63"/>
  <c r="AM21" i="63"/>
  <c r="AC21" i="63"/>
  <c r="N21" i="63"/>
  <c r="AM20" i="63"/>
  <c r="AC20" i="63"/>
  <c r="N20" i="63"/>
  <c r="AM19" i="63"/>
  <c r="AC19" i="63"/>
  <c r="N19" i="63"/>
  <c r="AM18" i="63"/>
  <c r="AC18" i="63"/>
  <c r="N18" i="63"/>
  <c r="AM17" i="63"/>
  <c r="AC17" i="63"/>
  <c r="M17" i="63"/>
  <c r="N17" i="63" s="1"/>
  <c r="AM16" i="63"/>
  <c r="AC16" i="63"/>
  <c r="N16" i="63"/>
  <c r="AM15" i="63"/>
  <c r="AM14" i="63"/>
  <c r="AM13" i="63"/>
  <c r="AM12" i="63"/>
  <c r="AB12" i="63"/>
  <c r="AA12" i="63"/>
  <c r="M12" i="63"/>
  <c r="L12" i="63"/>
  <c r="AM11" i="63"/>
  <c r="AC11" i="63"/>
  <c r="N11" i="63"/>
  <c r="AM10" i="63"/>
  <c r="AC10" i="63"/>
  <c r="N10" i="63"/>
  <c r="AM9" i="63"/>
  <c r="AC9" i="63"/>
  <c r="N9" i="63"/>
  <c r="AM8" i="63"/>
  <c r="AC8" i="63"/>
  <c r="N8" i="63"/>
  <c r="AM7" i="63"/>
  <c r="AC7" i="63"/>
  <c r="N7" i="63"/>
  <c r="AM6" i="63"/>
  <c r="AC6" i="63"/>
  <c r="N6" i="63"/>
  <c r="AM5" i="63"/>
  <c r="AC5" i="63"/>
  <c r="N5" i="63"/>
  <c r="AM4" i="63"/>
  <c r="AC4" i="63"/>
  <c r="N4" i="63"/>
  <c r="Z1" i="63"/>
  <c r="AB17" i="62"/>
  <c r="M17" i="62"/>
  <c r="M5" i="62"/>
  <c r="AM26" i="63" l="1"/>
  <c r="AC12" i="63"/>
  <c r="N26" i="63"/>
  <c r="AC26" i="63"/>
  <c r="N12" i="63"/>
  <c r="AB26" i="63"/>
  <c r="N17" i="62"/>
  <c r="AL26" i="62"/>
  <c r="AK26" i="62"/>
  <c r="AA26" i="62"/>
  <c r="L26" i="62"/>
  <c r="AM25" i="62"/>
  <c r="AC25" i="62"/>
  <c r="N25" i="62"/>
  <c r="AM24" i="62"/>
  <c r="AC24" i="62"/>
  <c r="N24" i="62"/>
  <c r="AM23" i="62"/>
  <c r="AC23" i="62"/>
  <c r="N23" i="62"/>
  <c r="AM22" i="62"/>
  <c r="AC22" i="62"/>
  <c r="N22" i="62"/>
  <c r="AM21" i="62"/>
  <c r="AC21" i="62"/>
  <c r="N21" i="62"/>
  <c r="AM20" i="62"/>
  <c r="AC20" i="62"/>
  <c r="N20" i="62"/>
  <c r="AM19" i="62"/>
  <c r="AC19" i="62"/>
  <c r="N19" i="62"/>
  <c r="AM18" i="62"/>
  <c r="AC18" i="62"/>
  <c r="N18" i="62"/>
  <c r="AM17" i="62"/>
  <c r="AC17" i="62"/>
  <c r="AM16" i="62"/>
  <c r="AB26" i="62"/>
  <c r="N16" i="62"/>
  <c r="AM15" i="62"/>
  <c r="AM14" i="62"/>
  <c r="AM13" i="62"/>
  <c r="AM12" i="62"/>
  <c r="AB12" i="62"/>
  <c r="AA12" i="62"/>
  <c r="M12" i="62"/>
  <c r="L12" i="62"/>
  <c r="AM11" i="62"/>
  <c r="AC11" i="62"/>
  <c r="N11" i="62"/>
  <c r="AM10" i="62"/>
  <c r="AC10" i="62"/>
  <c r="N10" i="62"/>
  <c r="AM9" i="62"/>
  <c r="AC9" i="62"/>
  <c r="N9" i="62"/>
  <c r="AM8" i="62"/>
  <c r="AC8" i="62"/>
  <c r="N8" i="62"/>
  <c r="AM7" i="62"/>
  <c r="AC7" i="62"/>
  <c r="N7" i="62"/>
  <c r="AM6" i="62"/>
  <c r="AC6" i="62"/>
  <c r="N6" i="62"/>
  <c r="AM5" i="62"/>
  <c r="AC5" i="62"/>
  <c r="N5" i="62"/>
  <c r="AM4" i="62"/>
  <c r="AC4" i="62"/>
  <c r="N4" i="62"/>
  <c r="Z1" i="62"/>
  <c r="M27" i="61"/>
  <c r="M18" i="61"/>
  <c r="M5" i="61"/>
  <c r="AC12" i="62" l="1"/>
  <c r="AC16" i="62"/>
  <c r="AC26" i="62" s="1"/>
  <c r="AM26" i="62"/>
  <c r="N26" i="62"/>
  <c r="N12" i="62"/>
  <c r="M26" i="62"/>
  <c r="AL30" i="61"/>
  <c r="AK30" i="61"/>
  <c r="AA30" i="61"/>
  <c r="M30" i="61"/>
  <c r="L30" i="61"/>
  <c r="AM29" i="61"/>
  <c r="AC29" i="61"/>
  <c r="N29" i="61"/>
  <c r="AM28" i="61"/>
  <c r="AC28" i="61"/>
  <c r="N28" i="61"/>
  <c r="AM27" i="61"/>
  <c r="AC27" i="61"/>
  <c r="N27" i="61"/>
  <c r="AM26" i="61"/>
  <c r="AC26" i="61"/>
  <c r="N26" i="61"/>
  <c r="AM25" i="61"/>
  <c r="AC25" i="61"/>
  <c r="N25" i="61"/>
  <c r="AM24" i="61"/>
  <c r="AC24" i="61"/>
  <c r="N24" i="61"/>
  <c r="AM23" i="61"/>
  <c r="AC23" i="61"/>
  <c r="N23" i="61"/>
  <c r="AM22" i="61"/>
  <c r="AC22" i="61"/>
  <c r="N22" i="61"/>
  <c r="AM21" i="61"/>
  <c r="AC21" i="61"/>
  <c r="N21" i="61"/>
  <c r="AM20" i="61"/>
  <c r="AC20" i="61"/>
  <c r="N20" i="61"/>
  <c r="AM19" i="61"/>
  <c r="AC19" i="61"/>
  <c r="N19" i="61"/>
  <c r="AM18" i="61"/>
  <c r="AC18" i="61"/>
  <c r="N18" i="61"/>
  <c r="AM17" i="61"/>
  <c r="AC17" i="61"/>
  <c r="N17" i="61"/>
  <c r="AM16" i="61"/>
  <c r="AB16" i="61"/>
  <c r="AB30" i="61" s="1"/>
  <c r="N16" i="61"/>
  <c r="AM15" i="61"/>
  <c r="AM14" i="61"/>
  <c r="AM13" i="61"/>
  <c r="AM12" i="61"/>
  <c r="AB12" i="61"/>
  <c r="AA12" i="61"/>
  <c r="M12" i="61"/>
  <c r="L12" i="61"/>
  <c r="AM11" i="61"/>
  <c r="AC11" i="61"/>
  <c r="N11" i="61"/>
  <c r="AM10" i="61"/>
  <c r="AC10" i="61"/>
  <c r="N10" i="61"/>
  <c r="AM9" i="61"/>
  <c r="AC9" i="61"/>
  <c r="N9" i="61"/>
  <c r="AM8" i="61"/>
  <c r="AC8" i="61"/>
  <c r="N8" i="61"/>
  <c r="AM7" i="61"/>
  <c r="AC7" i="61"/>
  <c r="N7" i="61"/>
  <c r="AM6" i="61"/>
  <c r="AC6" i="61"/>
  <c r="N6" i="61"/>
  <c r="AM5" i="61"/>
  <c r="AC5" i="61"/>
  <c r="N5" i="61"/>
  <c r="AM4" i="61"/>
  <c r="AC4" i="61"/>
  <c r="N4" i="61"/>
  <c r="Z1" i="61"/>
  <c r="AB19" i="60"/>
  <c r="M8" i="60"/>
  <c r="M6" i="60"/>
  <c r="N30" i="61" l="1"/>
  <c r="AC12" i="61"/>
  <c r="AM30" i="61"/>
  <c r="N12" i="61"/>
  <c r="AC16" i="61"/>
  <c r="AC30" i="61" s="1"/>
  <c r="AB36" i="60"/>
  <c r="AA36" i="60"/>
  <c r="AM5" i="60"/>
  <c r="AM6" i="60"/>
  <c r="AM7" i="60"/>
  <c r="AM8" i="60"/>
  <c r="AM9" i="60"/>
  <c r="AM10" i="60"/>
  <c r="AM11" i="60"/>
  <c r="AM12" i="60"/>
  <c r="AM13" i="60"/>
  <c r="AM14" i="60"/>
  <c r="AM15" i="60"/>
  <c r="AM16" i="60"/>
  <c r="AM17" i="60"/>
  <c r="AM18" i="60"/>
  <c r="AM19" i="60"/>
  <c r="AM20" i="60"/>
  <c r="AM21" i="60"/>
  <c r="AM22" i="60"/>
  <c r="AM23" i="60"/>
  <c r="AM24" i="60"/>
  <c r="AM25" i="60"/>
  <c r="AM26" i="60"/>
  <c r="AM27" i="60"/>
  <c r="AM28" i="60"/>
  <c r="AM29" i="60"/>
  <c r="AM30" i="60"/>
  <c r="AM31" i="60"/>
  <c r="AM32" i="60"/>
  <c r="AM33" i="60"/>
  <c r="AM34" i="60"/>
  <c r="AM35" i="60"/>
  <c r="AC26" i="60"/>
  <c r="AC27" i="60"/>
  <c r="AC28" i="60"/>
  <c r="AC29" i="60"/>
  <c r="AC30" i="60"/>
  <c r="AC31" i="60"/>
  <c r="AC32" i="60"/>
  <c r="AC33" i="60"/>
  <c r="AC34" i="60"/>
  <c r="AK36" i="60"/>
  <c r="M36" i="60"/>
  <c r="L36" i="60"/>
  <c r="AC35" i="60"/>
  <c r="N35" i="60"/>
  <c r="N34" i="60"/>
  <c r="N33" i="60"/>
  <c r="N32" i="60"/>
  <c r="N31" i="60"/>
  <c r="N30" i="60"/>
  <c r="N29" i="60"/>
  <c r="N28" i="60"/>
  <c r="N27" i="60"/>
  <c r="N26" i="60"/>
  <c r="AC25" i="60"/>
  <c r="N25" i="60"/>
  <c r="AC24" i="60"/>
  <c r="N24" i="60"/>
  <c r="AC23" i="60"/>
  <c r="N23" i="60"/>
  <c r="AC22" i="60"/>
  <c r="N22" i="60"/>
  <c r="AC21" i="60"/>
  <c r="N21" i="60"/>
  <c r="AC20" i="60"/>
  <c r="N20" i="60"/>
  <c r="AC19" i="60"/>
  <c r="N19" i="60"/>
  <c r="AB15" i="60"/>
  <c r="AA15" i="60"/>
  <c r="L15" i="60"/>
  <c r="AC14" i="60"/>
  <c r="N14" i="60"/>
  <c r="AC13" i="60"/>
  <c r="N13" i="60"/>
  <c r="AC12" i="60"/>
  <c r="N12" i="60"/>
  <c r="AC11" i="60"/>
  <c r="N11" i="60"/>
  <c r="AC10" i="60"/>
  <c r="N10" i="60"/>
  <c r="AC9" i="60"/>
  <c r="N9" i="60"/>
  <c r="AC8" i="60"/>
  <c r="N8" i="60"/>
  <c r="AC7" i="60"/>
  <c r="N7" i="60"/>
  <c r="AC6" i="60"/>
  <c r="N6" i="60"/>
  <c r="AL36" i="60"/>
  <c r="AC5" i="60"/>
  <c r="N5" i="60"/>
  <c r="AM4" i="60"/>
  <c r="AC4" i="60"/>
  <c r="N4" i="60"/>
  <c r="Z1" i="60"/>
  <c r="AB25" i="58"/>
  <c r="M6" i="59"/>
  <c r="AC36" i="60" l="1"/>
  <c r="AM36" i="60"/>
  <c r="N36" i="60"/>
  <c r="AC15" i="60"/>
  <c r="N15" i="60"/>
  <c r="M15" i="60"/>
  <c r="AM27" i="59"/>
  <c r="AM28" i="59"/>
  <c r="AM29" i="59"/>
  <c r="AM30" i="59"/>
  <c r="AM31" i="59"/>
  <c r="AM32" i="59"/>
  <c r="AM33" i="59"/>
  <c r="AM34" i="59"/>
  <c r="AM35" i="59"/>
  <c r="AM36" i="59"/>
  <c r="AM9" i="59"/>
  <c r="AM10" i="59"/>
  <c r="AM11" i="59"/>
  <c r="AM12" i="59"/>
  <c r="AM13" i="59"/>
  <c r="AM14" i="59"/>
  <c r="AB37" i="59" l="1"/>
  <c r="AA37" i="59"/>
  <c r="AC28" i="59"/>
  <c r="AK37" i="59"/>
  <c r="M37" i="59"/>
  <c r="L37" i="59"/>
  <c r="AC36" i="59"/>
  <c r="N36" i="59"/>
  <c r="N35" i="59"/>
  <c r="N34" i="59"/>
  <c r="N33" i="59"/>
  <c r="N32" i="59"/>
  <c r="N31" i="59"/>
  <c r="N30" i="59"/>
  <c r="N29" i="59"/>
  <c r="N28" i="59"/>
  <c r="N27" i="59"/>
  <c r="AM26" i="59"/>
  <c r="AC26" i="59"/>
  <c r="N26" i="59"/>
  <c r="AM25" i="59"/>
  <c r="AC25" i="59"/>
  <c r="N25" i="59"/>
  <c r="AM24" i="59"/>
  <c r="AC24" i="59"/>
  <c r="N24" i="59"/>
  <c r="AM23" i="59"/>
  <c r="AC23" i="59"/>
  <c r="N23" i="59"/>
  <c r="AM22" i="59"/>
  <c r="AC22" i="59"/>
  <c r="N22" i="59"/>
  <c r="AM21" i="59"/>
  <c r="AC21" i="59"/>
  <c r="N21" i="59"/>
  <c r="AM20" i="59"/>
  <c r="AC20" i="59"/>
  <c r="N20" i="59"/>
  <c r="AM19" i="59"/>
  <c r="AM18" i="59"/>
  <c r="AM17" i="59"/>
  <c r="AM16" i="59"/>
  <c r="AA16" i="59"/>
  <c r="L16" i="59"/>
  <c r="AM15" i="59"/>
  <c r="AC15" i="59"/>
  <c r="N15" i="59"/>
  <c r="AC14" i="59"/>
  <c r="N14" i="59"/>
  <c r="AC13" i="59"/>
  <c r="N13" i="59"/>
  <c r="AC12" i="59"/>
  <c r="N12" i="59"/>
  <c r="AC11" i="59"/>
  <c r="N11" i="59"/>
  <c r="AC10" i="59"/>
  <c r="N10" i="59"/>
  <c r="AC9" i="59"/>
  <c r="N9" i="59"/>
  <c r="AM8" i="59"/>
  <c r="AC8" i="59"/>
  <c r="N8" i="59"/>
  <c r="AM7" i="59"/>
  <c r="AC7" i="59"/>
  <c r="N7" i="59"/>
  <c r="AM6" i="59"/>
  <c r="AC6" i="59"/>
  <c r="M16" i="59"/>
  <c r="AL37" i="59"/>
  <c r="AC5" i="59"/>
  <c r="N5" i="59"/>
  <c r="AM4" i="59"/>
  <c r="AC4" i="59"/>
  <c r="N4" i="59"/>
  <c r="Z1" i="59"/>
  <c r="AL5" i="58"/>
  <c r="AB4" i="58"/>
  <c r="AC9" i="58"/>
  <c r="AC10" i="58"/>
  <c r="AC11" i="58"/>
  <c r="AC12" i="58"/>
  <c r="AC13" i="58"/>
  <c r="AC14" i="58"/>
  <c r="AC15" i="58"/>
  <c r="AC16" i="58"/>
  <c r="AC17" i="58"/>
  <c r="M6" i="58"/>
  <c r="AC37" i="59" l="1"/>
  <c r="N37" i="59"/>
  <c r="AB16" i="59"/>
  <c r="AM5" i="59"/>
  <c r="AM37" i="59" s="1"/>
  <c r="AC16" i="59"/>
  <c r="N6" i="59"/>
  <c r="N16" i="59" s="1"/>
  <c r="N38" i="58"/>
  <c r="N39" i="58"/>
  <c r="N40" i="58"/>
  <c r="N37" i="58"/>
  <c r="N16" i="58"/>
  <c r="N17" i="58"/>
  <c r="N30" i="58"/>
  <c r="N32" i="58"/>
  <c r="N10" i="58"/>
  <c r="N33" i="58"/>
  <c r="N34" i="58"/>
  <c r="N35" i="58"/>
  <c r="N36" i="58"/>
  <c r="N9" i="58"/>
  <c r="N11" i="58"/>
  <c r="N12" i="58"/>
  <c r="N13" i="58"/>
  <c r="N14" i="58"/>
  <c r="AL42" i="58" l="1"/>
  <c r="AK42" i="58"/>
  <c r="L42" i="58"/>
  <c r="AC41" i="58"/>
  <c r="N41" i="58"/>
  <c r="AM31" i="58"/>
  <c r="AC31" i="58"/>
  <c r="N31" i="58"/>
  <c r="AM29" i="58"/>
  <c r="AC29" i="58"/>
  <c r="N29" i="58"/>
  <c r="AM28" i="58"/>
  <c r="AC28" i="58"/>
  <c r="N28" i="58"/>
  <c r="AM27" i="58"/>
  <c r="AC27" i="58"/>
  <c r="N27" i="58"/>
  <c r="AM26" i="58"/>
  <c r="AC26" i="58"/>
  <c r="M42" i="58"/>
  <c r="AM25" i="58"/>
  <c r="AC25" i="58"/>
  <c r="N25" i="58"/>
  <c r="AM24" i="58"/>
  <c r="AC24" i="58"/>
  <c r="N24" i="58"/>
  <c r="AM23" i="58"/>
  <c r="AC23" i="58"/>
  <c r="N23" i="58"/>
  <c r="AM22" i="58"/>
  <c r="AM21" i="58"/>
  <c r="AM20" i="58"/>
  <c r="AM19" i="58"/>
  <c r="AA19" i="58"/>
  <c r="M19" i="58"/>
  <c r="L19" i="58"/>
  <c r="AM18" i="58"/>
  <c r="AC18" i="58"/>
  <c r="N18" i="58"/>
  <c r="AM15" i="58"/>
  <c r="N15" i="58"/>
  <c r="AM8" i="58"/>
  <c r="AC8" i="58"/>
  <c r="N8" i="58"/>
  <c r="AM7" i="58"/>
  <c r="AC7" i="58"/>
  <c r="N7" i="58"/>
  <c r="AM6" i="58"/>
  <c r="AC6" i="58"/>
  <c r="N6" i="58"/>
  <c r="AM5" i="58"/>
  <c r="AC5" i="58"/>
  <c r="N5" i="58"/>
  <c r="AM4" i="58"/>
  <c r="AB19" i="58"/>
  <c r="N4" i="58"/>
  <c r="Z1" i="58"/>
  <c r="AB4" i="57"/>
  <c r="M19" i="57"/>
  <c r="M18" i="57"/>
  <c r="M4" i="55"/>
  <c r="AM42" i="58" l="1"/>
  <c r="N19" i="58"/>
  <c r="AC4" i="58"/>
  <c r="AC19" i="58" s="1"/>
  <c r="N26" i="58"/>
  <c r="N42" i="58" s="1"/>
  <c r="AL25" i="57"/>
  <c r="AK25" i="57"/>
  <c r="M25" i="57"/>
  <c r="L25" i="57"/>
  <c r="AM24" i="57"/>
  <c r="AB24" i="57"/>
  <c r="AA24" i="57"/>
  <c r="N24" i="57"/>
  <c r="AC23" i="57"/>
  <c r="N23" i="57"/>
  <c r="AM22" i="57"/>
  <c r="AC22" i="57"/>
  <c r="N22" i="57"/>
  <c r="AM21" i="57"/>
  <c r="AC21" i="57"/>
  <c r="N21" i="57"/>
  <c r="AM20" i="57"/>
  <c r="AC20" i="57"/>
  <c r="N20" i="57"/>
  <c r="AM19" i="57"/>
  <c r="AC19" i="57"/>
  <c r="N19" i="57"/>
  <c r="AM18" i="57"/>
  <c r="AC18" i="57"/>
  <c r="N18" i="57"/>
  <c r="AM17" i="57"/>
  <c r="AC17" i="57"/>
  <c r="N17" i="57"/>
  <c r="AM16" i="57"/>
  <c r="AC16" i="57"/>
  <c r="N16" i="57"/>
  <c r="AM15" i="57"/>
  <c r="AC15" i="57"/>
  <c r="AC24" i="57" s="1"/>
  <c r="N15" i="57"/>
  <c r="AM14" i="57"/>
  <c r="AM13" i="57"/>
  <c r="AM12" i="57"/>
  <c r="AM11" i="57"/>
  <c r="AA11" i="57"/>
  <c r="M11" i="57"/>
  <c r="L11" i="57"/>
  <c r="AM10" i="57"/>
  <c r="AC10" i="57"/>
  <c r="N10" i="57"/>
  <c r="AM9" i="57"/>
  <c r="AC9" i="57"/>
  <c r="N9" i="57"/>
  <c r="AM8" i="57"/>
  <c r="AC8" i="57"/>
  <c r="N8" i="57"/>
  <c r="AM7" i="57"/>
  <c r="AC7" i="57"/>
  <c r="N7" i="57"/>
  <c r="AM6" i="57"/>
  <c r="AC6" i="57"/>
  <c r="N6" i="57"/>
  <c r="AM5" i="57"/>
  <c r="AC5" i="57"/>
  <c r="N5" i="57"/>
  <c r="AM4" i="57"/>
  <c r="AB11" i="57"/>
  <c r="N4" i="57"/>
  <c r="Z1" i="57"/>
  <c r="N11" i="57" l="1"/>
  <c r="N25" i="57"/>
  <c r="AM25" i="57"/>
  <c r="AC4" i="57"/>
  <c r="AC11" i="57" s="1"/>
  <c r="AB4" i="56"/>
  <c r="AK25" i="56" l="1"/>
  <c r="M25" i="56"/>
  <c r="L25" i="56"/>
  <c r="AM24" i="56"/>
  <c r="AB24" i="56"/>
  <c r="AA24" i="56"/>
  <c r="N24" i="56"/>
  <c r="AC23" i="56"/>
  <c r="N23" i="56"/>
  <c r="AM22" i="56"/>
  <c r="AC22" i="56"/>
  <c r="N22" i="56"/>
  <c r="AM21" i="56"/>
  <c r="AC21" i="56"/>
  <c r="N21" i="56"/>
  <c r="AM20" i="56"/>
  <c r="AC20" i="56"/>
  <c r="N20" i="56"/>
  <c r="AM19" i="56"/>
  <c r="AC19" i="56"/>
  <c r="N19" i="56"/>
  <c r="AM18" i="56"/>
  <c r="AC18" i="56"/>
  <c r="N18" i="56"/>
  <c r="AM17" i="56"/>
  <c r="AC17" i="56"/>
  <c r="N17" i="56"/>
  <c r="AM16" i="56"/>
  <c r="AC16" i="56"/>
  <c r="N16" i="56"/>
  <c r="AM15" i="56"/>
  <c r="AC15" i="56"/>
  <c r="N15" i="56"/>
  <c r="AM14" i="56"/>
  <c r="AM13" i="56"/>
  <c r="AM12" i="56"/>
  <c r="AM11" i="56"/>
  <c r="AB11" i="56"/>
  <c r="AA11" i="56"/>
  <c r="L11" i="56"/>
  <c r="AM10" i="56"/>
  <c r="AC10" i="56"/>
  <c r="N10" i="56"/>
  <c r="M11" i="56"/>
  <c r="AM9" i="56"/>
  <c r="AC9" i="56"/>
  <c r="N9" i="56"/>
  <c r="AM8" i="56"/>
  <c r="AC8" i="56"/>
  <c r="N8" i="56"/>
  <c r="AM7" i="56"/>
  <c r="AC7" i="56"/>
  <c r="N7" i="56"/>
  <c r="AM6" i="56"/>
  <c r="AC6" i="56"/>
  <c r="N6" i="56"/>
  <c r="AL25" i="56"/>
  <c r="AC5" i="56"/>
  <c r="N5" i="56"/>
  <c r="AM4" i="56"/>
  <c r="AC4" i="56"/>
  <c r="N4" i="56"/>
  <c r="Z1" i="56"/>
  <c r="AL5" i="55"/>
  <c r="M11" i="55"/>
  <c r="AC11" i="56" l="1"/>
  <c r="AC24" i="56"/>
  <c r="N25" i="56"/>
  <c r="N11" i="56"/>
  <c r="AM5" i="56"/>
  <c r="AM25" i="56" s="1"/>
  <c r="N5" i="55"/>
  <c r="N6" i="55"/>
  <c r="N7" i="55"/>
  <c r="AK29" i="55" l="1"/>
  <c r="L29" i="55"/>
  <c r="AM28" i="55"/>
  <c r="AB28" i="55"/>
  <c r="AA28" i="55"/>
  <c r="N28" i="55"/>
  <c r="AC27" i="55"/>
  <c r="N27" i="55"/>
  <c r="AM26" i="55"/>
  <c r="AC26" i="55"/>
  <c r="N26" i="55"/>
  <c r="AM25" i="55"/>
  <c r="AC25" i="55"/>
  <c r="N25" i="55"/>
  <c r="AM24" i="55"/>
  <c r="AC24" i="55"/>
  <c r="N24" i="55"/>
  <c r="AM23" i="55"/>
  <c r="AC23" i="55"/>
  <c r="N23" i="55"/>
  <c r="AM22" i="55"/>
  <c r="AC22" i="55"/>
  <c r="N22" i="55"/>
  <c r="AM21" i="55"/>
  <c r="AC21" i="55"/>
  <c r="N21" i="55"/>
  <c r="M29" i="55"/>
  <c r="AM20" i="55"/>
  <c r="AC20" i="55"/>
  <c r="N20" i="55"/>
  <c r="AM19" i="55"/>
  <c r="AC19" i="55"/>
  <c r="N19" i="55"/>
  <c r="AM18" i="55"/>
  <c r="AC18" i="55"/>
  <c r="N18" i="55"/>
  <c r="AM17" i="55"/>
  <c r="AM16" i="55"/>
  <c r="AM15" i="55"/>
  <c r="AM14" i="55"/>
  <c r="AB14" i="55"/>
  <c r="AA14" i="55"/>
  <c r="M14" i="55"/>
  <c r="L14" i="55"/>
  <c r="AM13" i="55"/>
  <c r="AC13" i="55"/>
  <c r="N13" i="55"/>
  <c r="AM12" i="55"/>
  <c r="AC12" i="55"/>
  <c r="N12" i="55"/>
  <c r="AM11" i="55"/>
  <c r="AC11" i="55"/>
  <c r="N11" i="55"/>
  <c r="AM10" i="55"/>
  <c r="AC10" i="55"/>
  <c r="N10" i="55"/>
  <c r="AM9" i="55"/>
  <c r="AC9" i="55"/>
  <c r="N9" i="55"/>
  <c r="AM8" i="55"/>
  <c r="AC8" i="55"/>
  <c r="N8" i="55"/>
  <c r="AM7" i="55"/>
  <c r="AC7" i="55"/>
  <c r="AM6" i="55"/>
  <c r="AC6" i="55"/>
  <c r="AL29" i="55"/>
  <c r="AC5" i="55"/>
  <c r="AM4" i="55"/>
  <c r="AC4" i="55"/>
  <c r="N4" i="55"/>
  <c r="Z1" i="55"/>
  <c r="AL5" i="54"/>
  <c r="M5" i="54"/>
  <c r="M26" i="54"/>
  <c r="AC14" i="55" l="1"/>
  <c r="AC28" i="55"/>
  <c r="N14" i="55"/>
  <c r="N29" i="55"/>
  <c r="AM5" i="55"/>
  <c r="AM29" i="55" s="1"/>
  <c r="M28" i="53"/>
  <c r="AK37" i="54" l="1"/>
  <c r="L37" i="54"/>
  <c r="AM36" i="54"/>
  <c r="AB36" i="54"/>
  <c r="AA36" i="54"/>
  <c r="N36" i="54"/>
  <c r="AC35" i="54"/>
  <c r="N35" i="54"/>
  <c r="AC34" i="54"/>
  <c r="N34" i="54"/>
  <c r="AC33" i="54"/>
  <c r="N33" i="54"/>
  <c r="AC32" i="54"/>
  <c r="N32" i="54"/>
  <c r="AM31" i="54"/>
  <c r="AC31" i="54"/>
  <c r="N31" i="54"/>
  <c r="AM30" i="54"/>
  <c r="AC30" i="54"/>
  <c r="N30" i="54"/>
  <c r="AM29" i="54"/>
  <c r="AC29" i="54"/>
  <c r="N29" i="54"/>
  <c r="AM28" i="54"/>
  <c r="AC28" i="54"/>
  <c r="N28" i="54"/>
  <c r="AM27" i="54"/>
  <c r="AC27" i="54"/>
  <c r="N27" i="54"/>
  <c r="AM26" i="54"/>
  <c r="AC26" i="54"/>
  <c r="N26" i="54"/>
  <c r="AM25" i="54"/>
  <c r="AC25" i="54"/>
  <c r="N25" i="54"/>
  <c r="AM24" i="54"/>
  <c r="AC24" i="54"/>
  <c r="M37" i="54"/>
  <c r="AM23" i="54"/>
  <c r="AC23" i="54"/>
  <c r="AC36" i="54" s="1"/>
  <c r="N23" i="54"/>
  <c r="AM22" i="54"/>
  <c r="AM21" i="54"/>
  <c r="AM20" i="54"/>
  <c r="AM19" i="54"/>
  <c r="AB19" i="54"/>
  <c r="AA19" i="54"/>
  <c r="M19" i="54"/>
  <c r="L19" i="54"/>
  <c r="AM18" i="54"/>
  <c r="AC18" i="54"/>
  <c r="N18" i="54"/>
  <c r="N17" i="54"/>
  <c r="AM16" i="54"/>
  <c r="AC16" i="54"/>
  <c r="N16" i="54"/>
  <c r="AM15" i="54"/>
  <c r="AC15" i="54"/>
  <c r="N15" i="54"/>
  <c r="AM14" i="54"/>
  <c r="AC14" i="54"/>
  <c r="N14" i="54"/>
  <c r="AM13" i="54"/>
  <c r="AC13" i="54"/>
  <c r="N13" i="54"/>
  <c r="AM12" i="54"/>
  <c r="AC12" i="54"/>
  <c r="N12" i="54"/>
  <c r="AM11" i="54"/>
  <c r="AC11" i="54"/>
  <c r="N11" i="54"/>
  <c r="AM10" i="54"/>
  <c r="AC10" i="54"/>
  <c r="N10" i="54"/>
  <c r="AM9" i="54"/>
  <c r="AC9" i="54"/>
  <c r="N9" i="54"/>
  <c r="AM8" i="54"/>
  <c r="AC8" i="54"/>
  <c r="N8" i="54"/>
  <c r="AM7" i="54"/>
  <c r="AC7" i="54"/>
  <c r="N7" i="54"/>
  <c r="AM6" i="54"/>
  <c r="AC6" i="54"/>
  <c r="N6" i="54"/>
  <c r="AL37" i="54"/>
  <c r="AC5" i="54"/>
  <c r="N5" i="54"/>
  <c r="AM4" i="54"/>
  <c r="AC4" i="54"/>
  <c r="AC19" i="54" s="1"/>
  <c r="N4" i="54"/>
  <c r="Z1" i="54"/>
  <c r="M24" i="53"/>
  <c r="AL5" i="53"/>
  <c r="AM5" i="53" s="1"/>
  <c r="N19" i="54" l="1"/>
  <c r="AM5" i="54"/>
  <c r="AM37" i="54" s="1"/>
  <c r="N24" i="54"/>
  <c r="N37" i="54" s="1"/>
  <c r="AL37" i="53"/>
  <c r="AK37" i="53"/>
  <c r="M37" i="53"/>
  <c r="L37" i="53"/>
  <c r="AM36" i="53"/>
  <c r="AB36" i="53"/>
  <c r="AA36" i="53"/>
  <c r="N36" i="53"/>
  <c r="AC35" i="53"/>
  <c r="N35" i="53"/>
  <c r="AC34" i="53"/>
  <c r="N34" i="53"/>
  <c r="AC33" i="53"/>
  <c r="N33" i="53"/>
  <c r="AC32" i="53"/>
  <c r="N32" i="53"/>
  <c r="AM31" i="53"/>
  <c r="AC31" i="53"/>
  <c r="N31" i="53"/>
  <c r="AM30" i="53"/>
  <c r="AC30" i="53"/>
  <c r="N30" i="53"/>
  <c r="AM29" i="53"/>
  <c r="AC29" i="53"/>
  <c r="N29" i="53"/>
  <c r="AM28" i="53"/>
  <c r="AC28" i="53"/>
  <c r="N28" i="53"/>
  <c r="AM27" i="53"/>
  <c r="AC27" i="53"/>
  <c r="N27" i="53"/>
  <c r="AM26" i="53"/>
  <c r="AC26" i="53"/>
  <c r="N26" i="53"/>
  <c r="AM25" i="53"/>
  <c r="AC25" i="53"/>
  <c r="N25" i="53"/>
  <c r="AM24" i="53"/>
  <c r="AC24" i="53"/>
  <c r="N24" i="53"/>
  <c r="AM23" i="53"/>
  <c r="AC23" i="53"/>
  <c r="N23" i="53"/>
  <c r="AM22" i="53"/>
  <c r="AM21" i="53"/>
  <c r="AM20" i="53"/>
  <c r="AM19" i="53"/>
  <c r="AA19" i="53"/>
  <c r="M19" i="53"/>
  <c r="L19" i="53"/>
  <c r="AM18" i="53"/>
  <c r="AC18" i="53"/>
  <c r="N18" i="53"/>
  <c r="N17" i="53"/>
  <c r="AM16" i="53"/>
  <c r="AC16" i="53"/>
  <c r="N16" i="53"/>
  <c r="AM15" i="53"/>
  <c r="AC15" i="53"/>
  <c r="N15" i="53"/>
  <c r="AM14" i="53"/>
  <c r="AC14" i="53"/>
  <c r="N14" i="53"/>
  <c r="AM13" i="53"/>
  <c r="AC13" i="53"/>
  <c r="N13" i="53"/>
  <c r="AM12" i="53"/>
  <c r="AC12" i="53"/>
  <c r="N12" i="53"/>
  <c r="AM11" i="53"/>
  <c r="AC11" i="53"/>
  <c r="N11" i="53"/>
  <c r="AM10" i="53"/>
  <c r="AC10" i="53"/>
  <c r="N10" i="53"/>
  <c r="AM9" i="53"/>
  <c r="AC9" i="53"/>
  <c r="N9" i="53"/>
  <c r="AM8" i="53"/>
  <c r="AC8" i="53"/>
  <c r="N8" i="53"/>
  <c r="AM7" i="53"/>
  <c r="AC7" i="53"/>
  <c r="N7" i="53"/>
  <c r="AM6" i="53"/>
  <c r="AC6" i="53"/>
  <c r="N6" i="53"/>
  <c r="AC5" i="53"/>
  <c r="N5" i="53"/>
  <c r="AM4" i="53"/>
  <c r="AB19" i="53"/>
  <c r="N4" i="53"/>
  <c r="Z1" i="53"/>
  <c r="AL7" i="52"/>
  <c r="AB4" i="52"/>
  <c r="M4" i="52"/>
  <c r="AC36" i="53" l="1"/>
  <c r="N37" i="53"/>
  <c r="AM37" i="53"/>
  <c r="N19" i="53"/>
  <c r="AC4" i="53"/>
  <c r="AC19" i="53" s="1"/>
  <c r="AC38" i="52"/>
  <c r="N38" i="52"/>
  <c r="AC34" i="52"/>
  <c r="AC35" i="52"/>
  <c r="AC36" i="52"/>
  <c r="AC37" i="52"/>
  <c r="N34" i="52"/>
  <c r="N35" i="52"/>
  <c r="N36" i="52"/>
  <c r="N37" i="52"/>
  <c r="AC5" i="52"/>
  <c r="AC6" i="52"/>
  <c r="N17" i="52"/>
  <c r="N5" i="52"/>
  <c r="N29" i="52"/>
  <c r="N30" i="52"/>
  <c r="N31" i="52"/>
  <c r="N32" i="52"/>
  <c r="AM29" i="52"/>
  <c r="AM30" i="52"/>
  <c r="AM31" i="52"/>
  <c r="AM32" i="52"/>
  <c r="AM14" i="52"/>
  <c r="AM15" i="52"/>
  <c r="AM16" i="52"/>
  <c r="AM11" i="52"/>
  <c r="AM12" i="52"/>
  <c r="AM13" i="52"/>
  <c r="AA39" i="52"/>
  <c r="AB39" i="52"/>
  <c r="AC26" i="52"/>
  <c r="AC27" i="52"/>
  <c r="AC28" i="52"/>
  <c r="AC29" i="52"/>
  <c r="AC30" i="52"/>
  <c r="AC31" i="52"/>
  <c r="AC32" i="52"/>
  <c r="AC11" i="52"/>
  <c r="AC12" i="52"/>
  <c r="AC13" i="52"/>
  <c r="AC14" i="52"/>
  <c r="AC15" i="52"/>
  <c r="AC16" i="52"/>
  <c r="N11" i="52" l="1"/>
  <c r="N12" i="52"/>
  <c r="N13" i="52"/>
  <c r="N14" i="52"/>
  <c r="N15" i="52"/>
  <c r="N16" i="52"/>
  <c r="AK40" i="52" l="1"/>
  <c r="L40" i="52"/>
  <c r="AM39" i="52"/>
  <c r="N39" i="52"/>
  <c r="AM33" i="52"/>
  <c r="AC33" i="52"/>
  <c r="N33" i="52"/>
  <c r="M40" i="52"/>
  <c r="AM28" i="52"/>
  <c r="N28" i="52"/>
  <c r="AM27" i="52"/>
  <c r="N27" i="52"/>
  <c r="AM26" i="52"/>
  <c r="N26" i="52"/>
  <c r="AM25" i="52"/>
  <c r="AC25" i="52"/>
  <c r="AC39" i="52" s="1"/>
  <c r="N25" i="52"/>
  <c r="AM24" i="52"/>
  <c r="AM23" i="52"/>
  <c r="AM22" i="52"/>
  <c r="AM21" i="52"/>
  <c r="AA21" i="52"/>
  <c r="L21" i="52"/>
  <c r="AM20" i="52"/>
  <c r="AC20" i="52"/>
  <c r="N20" i="52"/>
  <c r="AM19" i="52"/>
  <c r="AC19" i="52"/>
  <c r="N19" i="52"/>
  <c r="AM18" i="52"/>
  <c r="AC18" i="52"/>
  <c r="N18" i="52"/>
  <c r="AM10" i="52"/>
  <c r="AC10" i="52"/>
  <c r="N10" i="52"/>
  <c r="AM9" i="52"/>
  <c r="AC9" i="52"/>
  <c r="N9" i="52"/>
  <c r="AM8" i="52"/>
  <c r="AC8" i="52"/>
  <c r="N8" i="52"/>
  <c r="AM7" i="52"/>
  <c r="AC7" i="52"/>
  <c r="N7" i="52"/>
  <c r="AM6" i="52"/>
  <c r="N6" i="52"/>
  <c r="AM4" i="52"/>
  <c r="AC4" i="52"/>
  <c r="N4" i="52"/>
  <c r="Z1" i="52"/>
  <c r="AC21" i="52" l="1"/>
  <c r="M21" i="52"/>
  <c r="AB21" i="52"/>
  <c r="N21" i="52"/>
  <c r="N40" i="52"/>
  <c r="AM40" i="52"/>
  <c r="AL40" i="52"/>
  <c r="AL7" i="51"/>
  <c r="AL5" i="51"/>
  <c r="M21" i="51"/>
  <c r="M4" i="51"/>
  <c r="AK23" i="51" l="1"/>
  <c r="M23" i="51"/>
  <c r="L23" i="51"/>
  <c r="AM22" i="51"/>
  <c r="AB22" i="51"/>
  <c r="AA22" i="51"/>
  <c r="N22" i="51"/>
  <c r="AM21" i="51"/>
  <c r="AC21" i="51"/>
  <c r="N21" i="51"/>
  <c r="AM20" i="51"/>
  <c r="AC20" i="51"/>
  <c r="N20" i="51"/>
  <c r="AM19" i="51"/>
  <c r="AC19" i="51"/>
  <c r="N19" i="51"/>
  <c r="AM18" i="51"/>
  <c r="AC18" i="51"/>
  <c r="AC22" i="51" s="1"/>
  <c r="N18" i="51"/>
  <c r="AM17" i="51"/>
  <c r="AC17" i="51"/>
  <c r="N17" i="51"/>
  <c r="AM16" i="51"/>
  <c r="AM15" i="51"/>
  <c r="AM14" i="51"/>
  <c r="AM13" i="51"/>
  <c r="AB13" i="51"/>
  <c r="AA13" i="51"/>
  <c r="M13" i="51"/>
  <c r="L13" i="51"/>
  <c r="AM12" i="51"/>
  <c r="AC12" i="51"/>
  <c r="N12" i="51"/>
  <c r="AM11" i="51"/>
  <c r="AC11" i="51"/>
  <c r="N11" i="51"/>
  <c r="AM10" i="51"/>
  <c r="AC10" i="51"/>
  <c r="N10" i="51"/>
  <c r="AM9" i="51"/>
  <c r="AC9" i="51"/>
  <c r="N9" i="51"/>
  <c r="AM8" i="51"/>
  <c r="AC8" i="51"/>
  <c r="N8" i="51"/>
  <c r="AM7" i="51"/>
  <c r="AC7" i="51"/>
  <c r="N7" i="51"/>
  <c r="AM6" i="51"/>
  <c r="AC6" i="51"/>
  <c r="N6" i="51"/>
  <c r="AL23" i="51"/>
  <c r="AC5" i="51"/>
  <c r="N5" i="51"/>
  <c r="AM4" i="51"/>
  <c r="AB4" i="51"/>
  <c r="AC4" i="51" s="1"/>
  <c r="AC13" i="51" s="1"/>
  <c r="N4" i="51"/>
  <c r="Z1" i="51"/>
  <c r="M11" i="50"/>
  <c r="N23" i="51" l="1"/>
  <c r="N13" i="51"/>
  <c r="AM5" i="51"/>
  <c r="AM23" i="51" s="1"/>
  <c r="AL5" i="50"/>
  <c r="AB4" i="50"/>
  <c r="AC4" i="50" l="1"/>
  <c r="AK23" i="50"/>
  <c r="M23" i="50"/>
  <c r="L23" i="50"/>
  <c r="AM22" i="50"/>
  <c r="AB22" i="50"/>
  <c r="AA22" i="50"/>
  <c r="N22" i="50"/>
  <c r="AM21" i="50"/>
  <c r="AC21" i="50"/>
  <c r="N21" i="50"/>
  <c r="AM20" i="50"/>
  <c r="AC20" i="50"/>
  <c r="N20" i="50"/>
  <c r="AM19" i="50"/>
  <c r="AC19" i="50"/>
  <c r="N19" i="50"/>
  <c r="AM18" i="50"/>
  <c r="AC18" i="50"/>
  <c r="N18" i="50"/>
  <c r="AM17" i="50"/>
  <c r="AC17" i="50"/>
  <c r="AC22" i="50" s="1"/>
  <c r="N17" i="50"/>
  <c r="AM16" i="50"/>
  <c r="AM15" i="50"/>
  <c r="AM14" i="50"/>
  <c r="AM13" i="50"/>
  <c r="AA13" i="50"/>
  <c r="L13" i="50"/>
  <c r="AM12" i="50"/>
  <c r="AC12" i="50"/>
  <c r="N12" i="50"/>
  <c r="M13" i="50"/>
  <c r="AM11" i="50"/>
  <c r="AC11" i="50"/>
  <c r="N11" i="50"/>
  <c r="AM10" i="50"/>
  <c r="AC10" i="50"/>
  <c r="N10" i="50"/>
  <c r="AM9" i="50"/>
  <c r="AC9" i="50"/>
  <c r="N9" i="50"/>
  <c r="AM8" i="50"/>
  <c r="AC8" i="50"/>
  <c r="N8" i="50"/>
  <c r="AM7" i="50"/>
  <c r="AC7" i="50"/>
  <c r="N7" i="50"/>
  <c r="AM6" i="50"/>
  <c r="AC6" i="50"/>
  <c r="N6" i="50"/>
  <c r="AL23" i="50"/>
  <c r="AC5" i="50"/>
  <c r="N5" i="50"/>
  <c r="AM4" i="50"/>
  <c r="N4" i="50"/>
  <c r="Z1" i="50"/>
  <c r="AL5" i="49"/>
  <c r="AB5" i="49"/>
  <c r="AB4" i="49"/>
  <c r="M12" i="49"/>
  <c r="N23" i="50" l="1"/>
  <c r="AC13" i="50"/>
  <c r="N13" i="50"/>
  <c r="AB13" i="50"/>
  <c r="AM5" i="50"/>
  <c r="AM23" i="50" s="1"/>
  <c r="AK33" i="49"/>
  <c r="M33" i="49"/>
  <c r="L33" i="49"/>
  <c r="AM32" i="49"/>
  <c r="AB32" i="49"/>
  <c r="AA32" i="49"/>
  <c r="N32" i="49"/>
  <c r="AM31" i="49"/>
  <c r="N31" i="49"/>
  <c r="AM30" i="49"/>
  <c r="AC30" i="49"/>
  <c r="N30" i="49"/>
  <c r="AM29" i="49"/>
  <c r="AC29" i="49"/>
  <c r="N29" i="49"/>
  <c r="AM28" i="49"/>
  <c r="AC28" i="49"/>
  <c r="N28" i="49"/>
  <c r="AM27" i="49"/>
  <c r="AC27" i="49"/>
  <c r="N27" i="49"/>
  <c r="AM26" i="49"/>
  <c r="AC26" i="49"/>
  <c r="N26" i="49"/>
  <c r="AM25" i="49"/>
  <c r="AC25" i="49"/>
  <c r="N25" i="49"/>
  <c r="AM24" i="49"/>
  <c r="AC24" i="49"/>
  <c r="AC32" i="49" s="1"/>
  <c r="N24" i="49"/>
  <c r="AM23" i="49"/>
  <c r="AM22" i="49"/>
  <c r="AM21" i="49"/>
  <c r="AM20" i="49"/>
  <c r="AB20" i="49"/>
  <c r="AA20" i="49"/>
  <c r="M20" i="49"/>
  <c r="L20" i="49"/>
  <c r="AM19" i="49"/>
  <c r="AC19" i="49"/>
  <c r="N19" i="49"/>
  <c r="AM18" i="49"/>
  <c r="AC18" i="49"/>
  <c r="N18" i="49"/>
  <c r="AM17" i="49"/>
  <c r="AC17" i="49"/>
  <c r="N17" i="49"/>
  <c r="AM16" i="49"/>
  <c r="AC16" i="49"/>
  <c r="N16" i="49"/>
  <c r="AM15" i="49"/>
  <c r="AC15" i="49"/>
  <c r="N15" i="49"/>
  <c r="AM14" i="49"/>
  <c r="AC14" i="49"/>
  <c r="N14" i="49"/>
  <c r="AM13" i="49"/>
  <c r="AC13" i="49"/>
  <c r="N13" i="49"/>
  <c r="AM12" i="49"/>
  <c r="AC12" i="49"/>
  <c r="N12" i="49"/>
  <c r="AM11" i="49"/>
  <c r="AC11" i="49"/>
  <c r="N11" i="49"/>
  <c r="AM10" i="49"/>
  <c r="AC10" i="49"/>
  <c r="N10" i="49"/>
  <c r="AM9" i="49"/>
  <c r="AC9" i="49"/>
  <c r="N9" i="49"/>
  <c r="AM8" i="49"/>
  <c r="AC8" i="49"/>
  <c r="N8" i="49"/>
  <c r="AM7" i="49"/>
  <c r="AC7" i="49"/>
  <c r="N7" i="49"/>
  <c r="AM6" i="49"/>
  <c r="AC6" i="49"/>
  <c r="N6" i="49"/>
  <c r="AM5" i="49"/>
  <c r="AC5" i="49"/>
  <c r="N5" i="49"/>
  <c r="AM4" i="49"/>
  <c r="AC4" i="49"/>
  <c r="N4" i="49"/>
  <c r="Z1" i="49"/>
  <c r="AL8" i="48"/>
  <c r="AB4" i="48"/>
  <c r="M8" i="48"/>
  <c r="AC20" i="49" l="1"/>
  <c r="AM33" i="49"/>
  <c r="N33" i="49"/>
  <c r="N20" i="49"/>
  <c r="AL33" i="49"/>
  <c r="AK33" i="48"/>
  <c r="L33" i="48"/>
  <c r="AM32" i="48"/>
  <c r="AB32" i="48"/>
  <c r="AA32" i="48"/>
  <c r="N32" i="48"/>
  <c r="AM31" i="48"/>
  <c r="N31" i="48"/>
  <c r="AM30" i="48"/>
  <c r="AC30" i="48"/>
  <c r="N30" i="48"/>
  <c r="AM29" i="48"/>
  <c r="AC29" i="48"/>
  <c r="N29" i="48"/>
  <c r="AM28" i="48"/>
  <c r="AC28" i="48"/>
  <c r="N28" i="48"/>
  <c r="AM27" i="48"/>
  <c r="AC27" i="48"/>
  <c r="N27" i="48"/>
  <c r="AM26" i="48"/>
  <c r="AC26" i="48"/>
  <c r="N26" i="48"/>
  <c r="AM25" i="48"/>
  <c r="AC25" i="48"/>
  <c r="M33" i="48"/>
  <c r="AM24" i="48"/>
  <c r="AC24" i="48"/>
  <c r="N24" i="48"/>
  <c r="AM23" i="48"/>
  <c r="AM22" i="48"/>
  <c r="AM21" i="48"/>
  <c r="AM20" i="48"/>
  <c r="AA20" i="48"/>
  <c r="M20" i="48"/>
  <c r="L20" i="48"/>
  <c r="AM19" i="48"/>
  <c r="AC19" i="48"/>
  <c r="N19" i="48"/>
  <c r="AM18" i="48"/>
  <c r="AC18" i="48"/>
  <c r="N18" i="48"/>
  <c r="AM17" i="48"/>
  <c r="AC17" i="48"/>
  <c r="N17" i="48"/>
  <c r="AM16" i="48"/>
  <c r="AC16" i="48"/>
  <c r="N16" i="48"/>
  <c r="AM15" i="48"/>
  <c r="AC15" i="48"/>
  <c r="N15" i="48"/>
  <c r="AM14" i="48"/>
  <c r="AC14" i="48"/>
  <c r="N14" i="48"/>
  <c r="AM13" i="48"/>
  <c r="AC13" i="48"/>
  <c r="N13" i="48"/>
  <c r="AM12" i="48"/>
  <c r="AC12" i="48"/>
  <c r="N12" i="48"/>
  <c r="AM11" i="48"/>
  <c r="AC11" i="48"/>
  <c r="N11" i="48"/>
  <c r="AM10" i="48"/>
  <c r="AC10" i="48"/>
  <c r="N10" i="48"/>
  <c r="AL9" i="48"/>
  <c r="AL33" i="48" s="1"/>
  <c r="AC9" i="48"/>
  <c r="N9" i="48"/>
  <c r="AM8" i="48"/>
  <c r="AC8" i="48"/>
  <c r="N8" i="48"/>
  <c r="AM7" i="48"/>
  <c r="AC7" i="48"/>
  <c r="N7" i="48"/>
  <c r="AM6" i="48"/>
  <c r="AC6" i="48"/>
  <c r="N6" i="48"/>
  <c r="AM5" i="48"/>
  <c r="AC5" i="48"/>
  <c r="N5" i="48"/>
  <c r="AM4" i="48"/>
  <c r="AC4" i="48"/>
  <c r="N4" i="48"/>
  <c r="Z1" i="48"/>
  <c r="AL9" i="47"/>
  <c r="AB4" i="47"/>
  <c r="M28" i="47"/>
  <c r="M25" i="47"/>
  <c r="AC20" i="48" l="1"/>
  <c r="N20" i="48"/>
  <c r="AC32" i="48"/>
  <c r="AB20" i="48"/>
  <c r="N25" i="48"/>
  <c r="N33" i="48" s="1"/>
  <c r="AM9" i="48"/>
  <c r="AM33" i="48" s="1"/>
  <c r="AM34" i="47"/>
  <c r="AM35" i="47"/>
  <c r="AM36" i="47"/>
  <c r="AM37" i="47"/>
  <c r="N35" i="47" l="1"/>
  <c r="N36" i="47"/>
  <c r="N34" i="47"/>
  <c r="N37" i="47"/>
  <c r="AK39" i="47" l="1"/>
  <c r="L39" i="47"/>
  <c r="AM38" i="47"/>
  <c r="AB38" i="47"/>
  <c r="AA38" i="47"/>
  <c r="N38" i="47"/>
  <c r="AM33" i="47"/>
  <c r="AC33" i="47"/>
  <c r="N33" i="47"/>
  <c r="AM32" i="47"/>
  <c r="AC32" i="47"/>
  <c r="N32" i="47"/>
  <c r="AM31" i="47"/>
  <c r="AC31" i="47"/>
  <c r="N31" i="47"/>
  <c r="AM30" i="47"/>
  <c r="AC30" i="47"/>
  <c r="N30" i="47"/>
  <c r="AM29" i="47"/>
  <c r="AC29" i="47"/>
  <c r="N29" i="47"/>
  <c r="AM28" i="47"/>
  <c r="AC28" i="47"/>
  <c r="M39" i="47"/>
  <c r="AM27" i="47"/>
  <c r="AC27" i="47"/>
  <c r="N27" i="47"/>
  <c r="AM26" i="47"/>
  <c r="AC26" i="47"/>
  <c r="N26" i="47"/>
  <c r="AM25" i="47"/>
  <c r="AC25" i="47"/>
  <c r="N25" i="47"/>
  <c r="AM24" i="47"/>
  <c r="AC24" i="47"/>
  <c r="N24" i="47"/>
  <c r="AM23" i="47"/>
  <c r="AM22" i="47"/>
  <c r="AM21" i="47"/>
  <c r="AM20" i="47"/>
  <c r="AA20" i="47"/>
  <c r="L20" i="47"/>
  <c r="AM19" i="47"/>
  <c r="AC19" i="47"/>
  <c r="N19" i="47"/>
  <c r="AM18" i="47"/>
  <c r="AC18" i="47"/>
  <c r="N18" i="47"/>
  <c r="AM17" i="47"/>
  <c r="AC17" i="47"/>
  <c r="N17" i="47"/>
  <c r="AM16" i="47"/>
  <c r="AC16" i="47"/>
  <c r="N16" i="47"/>
  <c r="AM15" i="47"/>
  <c r="AC15" i="47"/>
  <c r="N15" i="47"/>
  <c r="AM14" i="47"/>
  <c r="AC14" i="47"/>
  <c r="N14" i="47"/>
  <c r="AM13" i="47"/>
  <c r="AC13" i="47"/>
  <c r="N13" i="47"/>
  <c r="AM12" i="47"/>
  <c r="AC12" i="47"/>
  <c r="N12" i="47"/>
  <c r="AM11" i="47"/>
  <c r="AC11" i="47"/>
  <c r="N11" i="47"/>
  <c r="AM10" i="47"/>
  <c r="AC10" i="47"/>
  <c r="N10" i="47"/>
  <c r="AM9" i="47"/>
  <c r="AC9" i="47"/>
  <c r="N9" i="47"/>
  <c r="AL39" i="47"/>
  <c r="AC8" i="47"/>
  <c r="M20" i="47"/>
  <c r="AM7" i="47"/>
  <c r="AC7" i="47"/>
  <c r="N7" i="47"/>
  <c r="AM6" i="47"/>
  <c r="AC6" i="47"/>
  <c r="N6" i="47"/>
  <c r="AM5" i="47"/>
  <c r="AC5" i="47"/>
  <c r="N5" i="47"/>
  <c r="AM4" i="47"/>
  <c r="AB20" i="47"/>
  <c r="N4" i="47"/>
  <c r="Z1" i="47"/>
  <c r="AL8" i="46"/>
  <c r="AB4" i="46"/>
  <c r="M32" i="46"/>
  <c r="M28" i="46"/>
  <c r="M8" i="46"/>
  <c r="AC38" i="47" l="1"/>
  <c r="AC4" i="47"/>
  <c r="AC20" i="47" s="1"/>
  <c r="N8" i="47"/>
  <c r="N20" i="47" s="1"/>
  <c r="N28" i="47"/>
  <c r="N39" i="47" s="1"/>
  <c r="AM8" i="47"/>
  <c r="AM39" i="47" s="1"/>
  <c r="AK37" i="46"/>
  <c r="L37" i="46"/>
  <c r="AM36" i="46"/>
  <c r="AB36" i="46"/>
  <c r="AA36" i="46"/>
  <c r="N36" i="46"/>
  <c r="AM33" i="46"/>
  <c r="AC33" i="46"/>
  <c r="N33" i="46"/>
  <c r="AM32" i="46"/>
  <c r="AC32" i="46"/>
  <c r="M37" i="46"/>
  <c r="AM31" i="46"/>
  <c r="AC31" i="46"/>
  <c r="N31" i="46"/>
  <c r="AM30" i="46"/>
  <c r="AC30" i="46"/>
  <c r="N30" i="46"/>
  <c r="AM29" i="46"/>
  <c r="AC29" i="46"/>
  <c r="N29" i="46"/>
  <c r="AM28" i="46"/>
  <c r="AC28" i="46"/>
  <c r="N28" i="46"/>
  <c r="AM27" i="46"/>
  <c r="AC27" i="46"/>
  <c r="N27" i="46"/>
  <c r="AM26" i="46"/>
  <c r="AC26" i="46"/>
  <c r="N26" i="46"/>
  <c r="AM25" i="46"/>
  <c r="AC25" i="46"/>
  <c r="N25" i="46"/>
  <c r="AM24" i="46"/>
  <c r="AC24" i="46"/>
  <c r="N24" i="46"/>
  <c r="AM23" i="46"/>
  <c r="AM22" i="46"/>
  <c r="AM21" i="46"/>
  <c r="AM20" i="46"/>
  <c r="AA20" i="46"/>
  <c r="L20" i="46"/>
  <c r="AM19" i="46"/>
  <c r="AC19" i="46"/>
  <c r="N19" i="46"/>
  <c r="AM18" i="46"/>
  <c r="AC18" i="46"/>
  <c r="N18" i="46"/>
  <c r="AM17" i="46"/>
  <c r="AC17" i="46"/>
  <c r="N17" i="46"/>
  <c r="AM16" i="46"/>
  <c r="AC16" i="46"/>
  <c r="N16" i="46"/>
  <c r="AM15" i="46"/>
  <c r="AC15" i="46"/>
  <c r="N15" i="46"/>
  <c r="AM14" i="46"/>
  <c r="AC14" i="46"/>
  <c r="N14" i="46"/>
  <c r="AM13" i="46"/>
  <c r="AC13" i="46"/>
  <c r="N13" i="46"/>
  <c r="AM12" i="46"/>
  <c r="AC12" i="46"/>
  <c r="N12" i="46"/>
  <c r="AM11" i="46"/>
  <c r="AC11" i="46"/>
  <c r="N11" i="46"/>
  <c r="AM10" i="46"/>
  <c r="AC10" i="46"/>
  <c r="N10" i="46"/>
  <c r="AM9" i="46"/>
  <c r="AC9" i="46"/>
  <c r="N9" i="46"/>
  <c r="AL37" i="46"/>
  <c r="AC8" i="46"/>
  <c r="N8" i="46"/>
  <c r="AM7" i="46"/>
  <c r="AC7" i="46"/>
  <c r="N7" i="46"/>
  <c r="AM6" i="46"/>
  <c r="AC6" i="46"/>
  <c r="N6" i="46"/>
  <c r="AM5" i="46"/>
  <c r="AC5" i="46"/>
  <c r="N5" i="46"/>
  <c r="AM4" i="46"/>
  <c r="AB20" i="46"/>
  <c r="N4" i="46"/>
  <c r="Z1" i="46"/>
  <c r="AL8" i="45"/>
  <c r="AB4" i="45"/>
  <c r="M33" i="45"/>
  <c r="M32" i="45"/>
  <c r="M10" i="45"/>
  <c r="M8" i="45"/>
  <c r="AC36" i="46" l="1"/>
  <c r="N20" i="46"/>
  <c r="N32" i="46"/>
  <c r="N37" i="46" s="1"/>
  <c r="AM8" i="46"/>
  <c r="AM37" i="46" s="1"/>
  <c r="M20" i="46"/>
  <c r="AC4" i="46"/>
  <c r="AC20" i="46" s="1"/>
  <c r="AK41" i="45"/>
  <c r="L41" i="45"/>
  <c r="AM40" i="45"/>
  <c r="AC40" i="45"/>
  <c r="AB40" i="45"/>
  <c r="AA40" i="45"/>
  <c r="N40" i="45"/>
  <c r="AM37" i="45"/>
  <c r="AC37" i="45"/>
  <c r="N37" i="45"/>
  <c r="AM36" i="45"/>
  <c r="AC36" i="45"/>
  <c r="N36" i="45"/>
  <c r="AM35" i="45"/>
  <c r="AC35" i="45"/>
  <c r="N35" i="45"/>
  <c r="AM34" i="45"/>
  <c r="AC34" i="45"/>
  <c r="N34" i="45"/>
  <c r="AM33" i="45"/>
  <c r="AC33" i="45"/>
  <c r="N33" i="45"/>
  <c r="AM32" i="45"/>
  <c r="AC32" i="45"/>
  <c r="N32" i="45"/>
  <c r="AM31" i="45"/>
  <c r="AC31" i="45"/>
  <c r="N31" i="45"/>
  <c r="AM30" i="45"/>
  <c r="AC30" i="45"/>
  <c r="N30" i="45"/>
  <c r="AM29" i="45"/>
  <c r="AC29" i="45"/>
  <c r="N29" i="45"/>
  <c r="AM28" i="45"/>
  <c r="AC28" i="45"/>
  <c r="N28" i="45"/>
  <c r="AM27" i="45"/>
  <c r="AC27" i="45"/>
  <c r="N27" i="45"/>
  <c r="AM26" i="45"/>
  <c r="AC26" i="45"/>
  <c r="N26" i="45"/>
  <c r="AM25" i="45"/>
  <c r="AC25" i="45"/>
  <c r="N25" i="45"/>
  <c r="AM24" i="45"/>
  <c r="AC24" i="45"/>
  <c r="M41" i="45"/>
  <c r="AM23" i="45"/>
  <c r="AM22" i="45"/>
  <c r="AM21" i="45"/>
  <c r="AM20" i="45"/>
  <c r="AA20" i="45"/>
  <c r="M20" i="45"/>
  <c r="L20" i="45"/>
  <c r="AM19" i="45"/>
  <c r="AC19" i="45"/>
  <c r="N19" i="45"/>
  <c r="AM18" i="45"/>
  <c r="AC18" i="45"/>
  <c r="N18" i="45"/>
  <c r="AM17" i="45"/>
  <c r="AC17" i="45"/>
  <c r="N17" i="45"/>
  <c r="AM16" i="45"/>
  <c r="AC16" i="45"/>
  <c r="N16" i="45"/>
  <c r="AM15" i="45"/>
  <c r="AC15" i="45"/>
  <c r="N15" i="45"/>
  <c r="AM14" i="45"/>
  <c r="AC14" i="45"/>
  <c r="N14" i="45"/>
  <c r="AM13" i="45"/>
  <c r="AC13" i="45"/>
  <c r="N13" i="45"/>
  <c r="AM12" i="45"/>
  <c r="AC12" i="45"/>
  <c r="N12" i="45"/>
  <c r="AM11" i="45"/>
  <c r="AC11" i="45"/>
  <c r="N11" i="45"/>
  <c r="AM10" i="45"/>
  <c r="AC10" i="45"/>
  <c r="N10" i="45"/>
  <c r="AM9" i="45"/>
  <c r="AC9" i="45"/>
  <c r="N9" i="45"/>
  <c r="AM8" i="45"/>
  <c r="AC8" i="45"/>
  <c r="N8" i="45"/>
  <c r="AM7" i="45"/>
  <c r="AC7" i="45"/>
  <c r="N7" i="45"/>
  <c r="AL41" i="45"/>
  <c r="AC6" i="45"/>
  <c r="N6" i="45"/>
  <c r="AM5" i="45"/>
  <c r="AC5" i="45"/>
  <c r="N5" i="45"/>
  <c r="AM4" i="45"/>
  <c r="AC4" i="45"/>
  <c r="AB20" i="45"/>
  <c r="N4" i="45"/>
  <c r="Z1" i="45"/>
  <c r="AL6" i="44"/>
  <c r="AB4" i="44"/>
  <c r="M35" i="44"/>
  <c r="M24" i="44"/>
  <c r="AC20" i="45" l="1"/>
  <c r="N20" i="45"/>
  <c r="N24" i="45"/>
  <c r="N41" i="45" s="1"/>
  <c r="AM6" i="45"/>
  <c r="AM41" i="45" s="1"/>
  <c r="AK41" i="44"/>
  <c r="L41" i="44"/>
  <c r="AM40" i="44"/>
  <c r="AB40" i="44"/>
  <c r="AA40" i="44"/>
  <c r="N40" i="44"/>
  <c r="AM37" i="44"/>
  <c r="AC37" i="44"/>
  <c r="N37" i="44"/>
  <c r="AM36" i="44"/>
  <c r="AC36" i="44"/>
  <c r="N36" i="44"/>
  <c r="AM35" i="44"/>
  <c r="AC35" i="44"/>
  <c r="N35" i="44"/>
  <c r="AM34" i="44"/>
  <c r="AC34" i="44"/>
  <c r="N34" i="44"/>
  <c r="AM33" i="44"/>
  <c r="AC33" i="44"/>
  <c r="N33" i="44"/>
  <c r="AM32" i="44"/>
  <c r="AC32" i="44"/>
  <c r="N32" i="44"/>
  <c r="AM31" i="44"/>
  <c r="AC31" i="44"/>
  <c r="N31" i="44"/>
  <c r="AM30" i="44"/>
  <c r="AC30" i="44"/>
  <c r="N30" i="44"/>
  <c r="AM29" i="44"/>
  <c r="AC29" i="44"/>
  <c r="N29" i="44"/>
  <c r="AM28" i="44"/>
  <c r="AC28" i="44"/>
  <c r="N28" i="44"/>
  <c r="AM27" i="44"/>
  <c r="AC27" i="44"/>
  <c r="N27" i="44"/>
  <c r="AM26" i="44"/>
  <c r="AC26" i="44"/>
  <c r="N26" i="44"/>
  <c r="AM25" i="44"/>
  <c r="AC25" i="44"/>
  <c r="N25" i="44"/>
  <c r="AM24" i="44"/>
  <c r="AC24" i="44"/>
  <c r="N24" i="44"/>
  <c r="M41" i="44"/>
  <c r="AM23" i="44"/>
  <c r="AM22" i="44"/>
  <c r="AM21" i="44"/>
  <c r="AM20" i="44"/>
  <c r="AA20" i="44"/>
  <c r="L20" i="44"/>
  <c r="AM19" i="44"/>
  <c r="AC19" i="44"/>
  <c r="N19" i="44"/>
  <c r="AM18" i="44"/>
  <c r="AC18" i="44"/>
  <c r="N18" i="44"/>
  <c r="AM17" i="44"/>
  <c r="AC17" i="44"/>
  <c r="N17" i="44"/>
  <c r="AM16" i="44"/>
  <c r="AC16" i="44"/>
  <c r="N16" i="44"/>
  <c r="AM15" i="44"/>
  <c r="AC15" i="44"/>
  <c r="N15" i="44"/>
  <c r="AM14" i="44"/>
  <c r="AC14" i="44"/>
  <c r="N14" i="44"/>
  <c r="AM13" i="44"/>
  <c r="AC13" i="44"/>
  <c r="N13" i="44"/>
  <c r="AM12" i="44"/>
  <c r="AC12" i="44"/>
  <c r="N12" i="44"/>
  <c r="AM11" i="44"/>
  <c r="AC11" i="44"/>
  <c r="N11" i="44"/>
  <c r="AM10" i="44"/>
  <c r="AC10" i="44"/>
  <c r="N10" i="44"/>
  <c r="AM9" i="44"/>
  <c r="AC9" i="44"/>
  <c r="N9" i="44"/>
  <c r="AM8" i="44"/>
  <c r="AC8" i="44"/>
  <c r="N8" i="44"/>
  <c r="AM7" i="44"/>
  <c r="AC7" i="44"/>
  <c r="N7" i="44"/>
  <c r="AM6" i="44"/>
  <c r="AC6" i="44"/>
  <c r="N6" i="44"/>
  <c r="AL41" i="44"/>
  <c r="AC5" i="44"/>
  <c r="N5" i="44"/>
  <c r="AM4" i="44"/>
  <c r="AC4" i="44"/>
  <c r="N4" i="44"/>
  <c r="M20" i="44"/>
  <c r="Z1" i="44"/>
  <c r="AL5" i="43"/>
  <c r="AB4" i="43"/>
  <c r="M27" i="43"/>
  <c r="AC40" i="44" l="1"/>
  <c r="AB20" i="44"/>
  <c r="N20" i="44"/>
  <c r="AC20" i="44"/>
  <c r="N41" i="44"/>
  <c r="AM5" i="44"/>
  <c r="AM41" i="44" s="1"/>
  <c r="M4" i="43"/>
  <c r="AK48" i="43" l="1"/>
  <c r="L48" i="43"/>
  <c r="AM47" i="43"/>
  <c r="AB47" i="43"/>
  <c r="AA47" i="43"/>
  <c r="N47" i="43"/>
  <c r="AM44" i="43"/>
  <c r="AC44" i="43"/>
  <c r="N44" i="43"/>
  <c r="AM43" i="43"/>
  <c r="AC43" i="43"/>
  <c r="N43" i="43"/>
  <c r="AM42" i="43"/>
  <c r="AC42" i="43"/>
  <c r="N42" i="43"/>
  <c r="AM41" i="43"/>
  <c r="AC41" i="43"/>
  <c r="N41" i="43"/>
  <c r="AM40" i="43"/>
  <c r="AC40" i="43"/>
  <c r="N40" i="43"/>
  <c r="AM39" i="43"/>
  <c r="AC39" i="43"/>
  <c r="N39" i="43"/>
  <c r="AM38" i="43"/>
  <c r="AC38" i="43"/>
  <c r="N38" i="43"/>
  <c r="AM37" i="43"/>
  <c r="AC37" i="43"/>
  <c r="N37" i="43"/>
  <c r="AM36" i="43"/>
  <c r="AC36" i="43"/>
  <c r="N36" i="43"/>
  <c r="AM35" i="43"/>
  <c r="AC35" i="43"/>
  <c r="N35" i="43"/>
  <c r="AM34" i="43"/>
  <c r="AC34" i="43"/>
  <c r="N34" i="43"/>
  <c r="AM33" i="43"/>
  <c r="AC33" i="43"/>
  <c r="N33" i="43"/>
  <c r="AM32" i="43"/>
  <c r="AC32" i="43"/>
  <c r="N32" i="43"/>
  <c r="AM31" i="43"/>
  <c r="AC31" i="43"/>
  <c r="N31" i="43"/>
  <c r="AM30" i="43"/>
  <c r="AC30" i="43"/>
  <c r="N30" i="43"/>
  <c r="AM29" i="43"/>
  <c r="AC29" i="43"/>
  <c r="N29" i="43"/>
  <c r="AM28" i="43"/>
  <c r="AC28" i="43"/>
  <c r="N28" i="43"/>
  <c r="AM27" i="43"/>
  <c r="AC27" i="43"/>
  <c r="AC47" i="43" s="1"/>
  <c r="N27" i="43"/>
  <c r="M48" i="43"/>
  <c r="AM26" i="43"/>
  <c r="AM25" i="43"/>
  <c r="AM24" i="43"/>
  <c r="AM23" i="43"/>
  <c r="AB23" i="43"/>
  <c r="AA23" i="43"/>
  <c r="L23" i="43"/>
  <c r="AM22" i="43"/>
  <c r="AC22" i="43"/>
  <c r="N22" i="43"/>
  <c r="AM21" i="43"/>
  <c r="N21" i="43"/>
  <c r="AM20" i="43"/>
  <c r="N20" i="43"/>
  <c r="AM19" i="43"/>
  <c r="N19" i="43"/>
  <c r="AM18" i="43"/>
  <c r="AC18" i="43"/>
  <c r="N18" i="43"/>
  <c r="AM17" i="43"/>
  <c r="AC17" i="43"/>
  <c r="N17" i="43"/>
  <c r="AM16" i="43"/>
  <c r="AC16" i="43"/>
  <c r="N16" i="43"/>
  <c r="AM15" i="43"/>
  <c r="AC15" i="43"/>
  <c r="N15" i="43"/>
  <c r="AM14" i="43"/>
  <c r="AC14" i="43"/>
  <c r="N14" i="43"/>
  <c r="AM13" i="43"/>
  <c r="AC13" i="43"/>
  <c r="N13" i="43"/>
  <c r="AM12" i="43"/>
  <c r="AC12" i="43"/>
  <c r="N12" i="43"/>
  <c r="AL48" i="43"/>
  <c r="AC11" i="43"/>
  <c r="N11" i="43"/>
  <c r="AM10" i="43"/>
  <c r="AC10" i="43"/>
  <c r="N10" i="43"/>
  <c r="AM9" i="43"/>
  <c r="AC9" i="43"/>
  <c r="N9" i="43"/>
  <c r="AM8" i="43"/>
  <c r="AC8" i="43"/>
  <c r="N8" i="43"/>
  <c r="AM7" i="43"/>
  <c r="AC7" i="43"/>
  <c r="N7" i="43"/>
  <c r="AM6" i="43"/>
  <c r="AC6" i="43"/>
  <c r="N6" i="43"/>
  <c r="AM5" i="43"/>
  <c r="AC5" i="43"/>
  <c r="N5" i="43"/>
  <c r="AM4" i="43"/>
  <c r="AC4" i="43"/>
  <c r="N4" i="43"/>
  <c r="Z1" i="43"/>
  <c r="AL11" i="42"/>
  <c r="M4" i="42"/>
  <c r="M27" i="42"/>
  <c r="N48" i="43" l="1"/>
  <c r="N23" i="43"/>
  <c r="AC23" i="43"/>
  <c r="AM11" i="43"/>
  <c r="AM48" i="43" s="1"/>
  <c r="M23" i="43"/>
  <c r="AM32" i="42"/>
  <c r="AM33" i="42"/>
  <c r="AM34" i="42"/>
  <c r="AM35" i="42"/>
  <c r="AM36" i="42"/>
  <c r="AM37" i="42"/>
  <c r="AM38" i="42"/>
  <c r="AM39" i="42"/>
  <c r="AM40" i="42"/>
  <c r="AM41" i="42"/>
  <c r="AM42" i="42"/>
  <c r="AM43" i="42"/>
  <c r="AC32" i="42"/>
  <c r="AC33" i="42"/>
  <c r="AC34" i="42"/>
  <c r="AC35" i="42"/>
  <c r="AC36" i="42"/>
  <c r="AC37" i="42"/>
  <c r="AC38" i="42"/>
  <c r="AC39" i="42"/>
  <c r="AC40" i="42"/>
  <c r="AC41" i="42"/>
  <c r="AC42" i="42"/>
  <c r="AC43" i="42"/>
  <c r="AL11" i="41"/>
  <c r="AC29" i="41"/>
  <c r="AC30" i="41"/>
  <c r="AC31" i="41"/>
  <c r="AC32" i="41"/>
  <c r="AC33" i="41"/>
  <c r="AM29" i="41"/>
  <c r="AM30" i="41"/>
  <c r="AM31" i="41"/>
  <c r="AM32" i="41"/>
  <c r="AM33" i="41"/>
  <c r="AB4" i="41"/>
  <c r="M5" i="41"/>
  <c r="AM19" i="42" l="1"/>
  <c r="AM20" i="42"/>
  <c r="AM21" i="42"/>
  <c r="N21" i="42"/>
  <c r="N20" i="42"/>
  <c r="N19" i="42"/>
  <c r="N39" i="42"/>
  <c r="N34" i="42"/>
  <c r="N35" i="42"/>
  <c r="N36" i="42"/>
  <c r="N37" i="42"/>
  <c r="N38" i="42"/>
  <c r="N40" i="42"/>
  <c r="AL48" i="42"/>
  <c r="AK48" i="42"/>
  <c r="L48" i="42"/>
  <c r="AM47" i="42"/>
  <c r="AB47" i="42"/>
  <c r="AA47" i="42"/>
  <c r="N47" i="42"/>
  <c r="AM44" i="42"/>
  <c r="AC44" i="42"/>
  <c r="N44" i="42"/>
  <c r="N43" i="42"/>
  <c r="N42" i="42"/>
  <c r="N41" i="42"/>
  <c r="N33" i="42"/>
  <c r="N32" i="42"/>
  <c r="AM31" i="42"/>
  <c r="AC31" i="42"/>
  <c r="N31" i="42"/>
  <c r="AM30" i="42"/>
  <c r="AC30" i="42"/>
  <c r="N30" i="42"/>
  <c r="AM29" i="42"/>
  <c r="AC29" i="42"/>
  <c r="M48" i="42"/>
  <c r="AM28" i="42"/>
  <c r="AC28" i="42"/>
  <c r="N28" i="42"/>
  <c r="AM27" i="42"/>
  <c r="AC27" i="42"/>
  <c r="N27" i="42"/>
  <c r="AM26" i="42"/>
  <c r="AM25" i="42"/>
  <c r="AM24" i="42"/>
  <c r="AM23" i="42"/>
  <c r="AA23" i="42"/>
  <c r="M23" i="42"/>
  <c r="L23" i="42"/>
  <c r="AM22" i="42"/>
  <c r="AC22" i="42"/>
  <c r="N22" i="42"/>
  <c r="AM18" i="42"/>
  <c r="AC18" i="42"/>
  <c r="N18" i="42"/>
  <c r="AM17" i="42"/>
  <c r="AC17" i="42"/>
  <c r="N17" i="42"/>
  <c r="AM16" i="42"/>
  <c r="AC16" i="42"/>
  <c r="N16" i="42"/>
  <c r="AM15" i="42"/>
  <c r="AC15" i="42"/>
  <c r="N15" i="42"/>
  <c r="AM14" i="42"/>
  <c r="AC14" i="42"/>
  <c r="N14" i="42"/>
  <c r="AM13" i="42"/>
  <c r="AC13" i="42"/>
  <c r="N13" i="42"/>
  <c r="AM12" i="42"/>
  <c r="AC12" i="42"/>
  <c r="N12" i="42"/>
  <c r="AM11" i="42"/>
  <c r="AC11" i="42"/>
  <c r="N11" i="42"/>
  <c r="AM10" i="42"/>
  <c r="AC10" i="42"/>
  <c r="N10" i="42"/>
  <c r="AM9" i="42"/>
  <c r="AC9" i="42"/>
  <c r="N9" i="42"/>
  <c r="AM8" i="42"/>
  <c r="AC8" i="42"/>
  <c r="N8" i="42"/>
  <c r="AM7" i="42"/>
  <c r="AC7" i="42"/>
  <c r="N7" i="42"/>
  <c r="AM6" i="42"/>
  <c r="AC6" i="42"/>
  <c r="N6" i="42"/>
  <c r="AM5" i="42"/>
  <c r="AC5" i="42"/>
  <c r="N5" i="42"/>
  <c r="AM4" i="42"/>
  <c r="AB23" i="42"/>
  <c r="N4" i="42"/>
  <c r="Z1" i="42"/>
  <c r="N29" i="41"/>
  <c r="N30" i="41"/>
  <c r="N31" i="41"/>
  <c r="N32" i="41"/>
  <c r="N33" i="41"/>
  <c r="AC4" i="42" l="1"/>
  <c r="AC23" i="42" s="1"/>
  <c r="AC47" i="42"/>
  <c r="AM48" i="42"/>
  <c r="N23" i="42"/>
  <c r="N29" i="42"/>
  <c r="N48" i="42" s="1"/>
  <c r="M26" i="41"/>
  <c r="N27" i="41"/>
  <c r="AK38" i="41"/>
  <c r="M38" i="41"/>
  <c r="L38" i="41"/>
  <c r="AM37" i="41"/>
  <c r="AB37" i="41"/>
  <c r="AA37" i="41"/>
  <c r="N37" i="41"/>
  <c r="AM36" i="41"/>
  <c r="AC36" i="41"/>
  <c r="N36" i="41"/>
  <c r="AM35" i="41"/>
  <c r="AC35" i="41"/>
  <c r="N35" i="41"/>
  <c r="AM34" i="41"/>
  <c r="AC34" i="41"/>
  <c r="N34" i="41"/>
  <c r="AM28" i="41"/>
  <c r="AC28" i="41"/>
  <c r="N28" i="41"/>
  <c r="AM27" i="41"/>
  <c r="AC27" i="41"/>
  <c r="AM26" i="41"/>
  <c r="AC26" i="41"/>
  <c r="N26" i="41"/>
  <c r="AM25" i="41"/>
  <c r="AC25" i="41"/>
  <c r="N25" i="41"/>
  <c r="AM24" i="41"/>
  <c r="AC24" i="41"/>
  <c r="N24" i="41"/>
  <c r="AM23" i="41"/>
  <c r="AM22" i="41"/>
  <c r="AM21" i="41"/>
  <c r="AM20" i="41"/>
  <c r="AA20" i="41"/>
  <c r="L20" i="41"/>
  <c r="AM19" i="41"/>
  <c r="AC19" i="41"/>
  <c r="N19" i="41"/>
  <c r="AM18" i="41"/>
  <c r="AC18" i="41"/>
  <c r="N18" i="41"/>
  <c r="AM17" i="41"/>
  <c r="AC17" i="41"/>
  <c r="N17" i="41"/>
  <c r="AM16" i="41"/>
  <c r="AC16" i="41"/>
  <c r="N16" i="41"/>
  <c r="AM15" i="41"/>
  <c r="AC15" i="41"/>
  <c r="N15" i="41"/>
  <c r="AM14" i="41"/>
  <c r="AC14" i="41"/>
  <c r="N14" i="41"/>
  <c r="AM13" i="41"/>
  <c r="AC13" i="41"/>
  <c r="N13" i="41"/>
  <c r="AM12" i="41"/>
  <c r="AC12" i="41"/>
  <c r="N12" i="41"/>
  <c r="AM11" i="41"/>
  <c r="AC11" i="41"/>
  <c r="N11" i="41"/>
  <c r="AM10" i="41"/>
  <c r="AC10" i="41"/>
  <c r="N10" i="41"/>
  <c r="AM9" i="41"/>
  <c r="AC9" i="41"/>
  <c r="N9" i="41"/>
  <c r="AM8" i="41"/>
  <c r="AC8" i="41"/>
  <c r="N8" i="41"/>
  <c r="AL38" i="41"/>
  <c r="AC7" i="41"/>
  <c r="N7" i="41"/>
  <c r="AM6" i="41"/>
  <c r="AC6" i="41"/>
  <c r="N6" i="41"/>
  <c r="AM5" i="41"/>
  <c r="AC5" i="41"/>
  <c r="M20" i="41"/>
  <c r="AM4" i="41"/>
  <c r="AB20" i="41"/>
  <c r="N4" i="41"/>
  <c r="Z1" i="41"/>
  <c r="AL7" i="39"/>
  <c r="AB4" i="39"/>
  <c r="M27" i="39"/>
  <c r="M5" i="39"/>
  <c r="M5" i="38"/>
  <c r="M4" i="39"/>
  <c r="N4" i="39" s="1"/>
  <c r="N5" i="39"/>
  <c r="N38" i="41" l="1"/>
  <c r="AC37" i="41"/>
  <c r="AM7" i="41"/>
  <c r="AM38" i="41" s="1"/>
  <c r="AC4" i="41"/>
  <c r="AC20" i="41" s="1"/>
  <c r="N5" i="41"/>
  <c r="N20" i="41" s="1"/>
  <c r="AM5" i="39"/>
  <c r="N29" i="39" l="1"/>
  <c r="N28" i="39"/>
  <c r="N27" i="39"/>
  <c r="N26" i="39"/>
  <c r="N25" i="39"/>
  <c r="N24" i="39"/>
  <c r="AK33" i="39"/>
  <c r="L33" i="39"/>
  <c r="AM32" i="39"/>
  <c r="AB32" i="39"/>
  <c r="AA32" i="39"/>
  <c r="N32" i="39"/>
  <c r="AM31" i="39"/>
  <c r="AC31" i="39"/>
  <c r="N31" i="39"/>
  <c r="AM30" i="39"/>
  <c r="AC30" i="39"/>
  <c r="N30" i="39"/>
  <c r="AM29" i="39"/>
  <c r="AC29" i="39"/>
  <c r="AM28" i="39"/>
  <c r="AC28" i="39"/>
  <c r="AM27" i="39"/>
  <c r="AC27" i="39"/>
  <c r="AM26" i="39"/>
  <c r="AC26" i="39"/>
  <c r="AM25" i="39"/>
  <c r="AC25" i="39"/>
  <c r="AM24" i="39"/>
  <c r="AC24" i="39"/>
  <c r="AC32" i="39" s="1"/>
  <c r="M33" i="39"/>
  <c r="AM23" i="39"/>
  <c r="AM22" i="39"/>
  <c r="AM21" i="39"/>
  <c r="AM20" i="39"/>
  <c r="AA20" i="39"/>
  <c r="L20" i="39"/>
  <c r="AM19" i="39"/>
  <c r="AC19" i="39"/>
  <c r="N19" i="39"/>
  <c r="AM18" i="39"/>
  <c r="AC18" i="39"/>
  <c r="N18" i="39"/>
  <c r="AM17" i="39"/>
  <c r="AC17" i="39"/>
  <c r="N17" i="39"/>
  <c r="AM16" i="39"/>
  <c r="AC16" i="39"/>
  <c r="N16" i="39"/>
  <c r="AM15" i="39"/>
  <c r="AC15" i="39"/>
  <c r="N15" i="39"/>
  <c r="AM14" i="39"/>
  <c r="AC14" i="39"/>
  <c r="N14" i="39"/>
  <c r="AM13" i="39"/>
  <c r="AC13" i="39"/>
  <c r="N13" i="39"/>
  <c r="AM12" i="39"/>
  <c r="AC12" i="39"/>
  <c r="N12" i="39"/>
  <c r="AM11" i="39"/>
  <c r="AC11" i="39"/>
  <c r="N11" i="39"/>
  <c r="AM10" i="39"/>
  <c r="AC10" i="39"/>
  <c r="N10" i="39"/>
  <c r="AM9" i="39"/>
  <c r="AC9" i="39"/>
  <c r="N9" i="39"/>
  <c r="AM8" i="39"/>
  <c r="AC8" i="39"/>
  <c r="N8" i="39"/>
  <c r="AM7" i="39"/>
  <c r="AC7" i="39"/>
  <c r="N7" i="39"/>
  <c r="AM6" i="39"/>
  <c r="AC6" i="39"/>
  <c r="N6" i="39"/>
  <c r="AL33" i="39"/>
  <c r="AC5" i="39"/>
  <c r="M20" i="39"/>
  <c r="AM4" i="39"/>
  <c r="AB20" i="39"/>
  <c r="Z1" i="39"/>
  <c r="AL5" i="38"/>
  <c r="AB4" i="38"/>
  <c r="M24" i="38"/>
  <c r="M4" i="38"/>
  <c r="N20" i="39" l="1"/>
  <c r="AC4" i="39"/>
  <c r="AC20" i="39" s="1"/>
  <c r="N33" i="39"/>
  <c r="AM33" i="39"/>
  <c r="N24" i="38"/>
  <c r="N25" i="38"/>
  <c r="N26" i="38"/>
  <c r="N4" i="38"/>
  <c r="M5" i="37" l="1"/>
  <c r="N5" i="38"/>
  <c r="N6" i="38"/>
  <c r="N7" i="38"/>
  <c r="N8" i="38"/>
  <c r="N9" i="38"/>
  <c r="N10" i="38"/>
  <c r="N11" i="38"/>
  <c r="N12" i="38"/>
  <c r="N13" i="38"/>
  <c r="N14" i="38"/>
  <c r="N15" i="38"/>
  <c r="N16" i="38"/>
  <c r="N17" i="38"/>
  <c r="N18" i="38"/>
  <c r="N19" i="38"/>
  <c r="L20" i="38"/>
  <c r="N27" i="38"/>
  <c r="N28" i="38"/>
  <c r="N29" i="38"/>
  <c r="N30" i="38"/>
  <c r="N31" i="38"/>
  <c r="N32" i="38"/>
  <c r="L33" i="38"/>
  <c r="M33" i="38"/>
  <c r="N20" i="38" l="1"/>
  <c r="N33" i="38"/>
  <c r="M20" i="38"/>
  <c r="AL33" i="38" l="1"/>
  <c r="AK33" i="38"/>
  <c r="AM32" i="38"/>
  <c r="AB32" i="38"/>
  <c r="AA32" i="38"/>
  <c r="AM31" i="38"/>
  <c r="AC31" i="38"/>
  <c r="AM30" i="38"/>
  <c r="AC30" i="38"/>
  <c r="AM29" i="38"/>
  <c r="AC29" i="38"/>
  <c r="AM28" i="38"/>
  <c r="AC28" i="38"/>
  <c r="AM27" i="38"/>
  <c r="AC27" i="38"/>
  <c r="AM26" i="38"/>
  <c r="AC26" i="38"/>
  <c r="AM25" i="38"/>
  <c r="AC25" i="38"/>
  <c r="AM24" i="38"/>
  <c r="AC24" i="38"/>
  <c r="AC32" i="38" s="1"/>
  <c r="AM23" i="38"/>
  <c r="AM22" i="38"/>
  <c r="AM21" i="38"/>
  <c r="AM20" i="38"/>
  <c r="AB20" i="38"/>
  <c r="AA20" i="38"/>
  <c r="AM19" i="38"/>
  <c r="AC19" i="38"/>
  <c r="AM18" i="38"/>
  <c r="AC18" i="38"/>
  <c r="AM17" i="38"/>
  <c r="AC17" i="38"/>
  <c r="AM16" i="38"/>
  <c r="AC16" i="38"/>
  <c r="AM15" i="38"/>
  <c r="AC15" i="38"/>
  <c r="AM14" i="38"/>
  <c r="AC14" i="38"/>
  <c r="AM13" i="38"/>
  <c r="AC13" i="38"/>
  <c r="AM12" i="38"/>
  <c r="AC12" i="38"/>
  <c r="AM11" i="38"/>
  <c r="AC11" i="38"/>
  <c r="AM10" i="38"/>
  <c r="AC10" i="38"/>
  <c r="AM9" i="38"/>
  <c r="AC9" i="38"/>
  <c r="AM8" i="38"/>
  <c r="AC8" i="38"/>
  <c r="AM7" i="38"/>
  <c r="AC7" i="38"/>
  <c r="AM6" i="38"/>
  <c r="AC6" i="38"/>
  <c r="AM5" i="38"/>
  <c r="AC5" i="38"/>
  <c r="AM4" i="38"/>
  <c r="AC4" i="38"/>
  <c r="Z1" i="38"/>
  <c r="AM33" i="38" l="1"/>
  <c r="AC20" i="38"/>
  <c r="AL7" i="36"/>
  <c r="AL33" i="37"/>
  <c r="AK33" i="37"/>
  <c r="L33" i="37"/>
  <c r="AM32" i="37"/>
  <c r="AB32" i="37"/>
  <c r="AA32" i="37"/>
  <c r="N32" i="37"/>
  <c r="AM31" i="37"/>
  <c r="AC31" i="37"/>
  <c r="N31" i="37"/>
  <c r="AM30" i="37"/>
  <c r="AC30" i="37"/>
  <c r="N30" i="37"/>
  <c r="AM29" i="37"/>
  <c r="AC29" i="37"/>
  <c r="N29" i="37"/>
  <c r="AM28" i="37"/>
  <c r="AC28" i="37"/>
  <c r="N28" i="37"/>
  <c r="AM27" i="37"/>
  <c r="AC27" i="37"/>
  <c r="N27" i="37"/>
  <c r="AM26" i="37"/>
  <c r="AC26" i="37"/>
  <c r="N26" i="37"/>
  <c r="AM25" i="37"/>
  <c r="AC25" i="37"/>
  <c r="N25" i="37"/>
  <c r="AM24" i="37"/>
  <c r="AC24" i="37"/>
  <c r="AC32" i="37" s="1"/>
  <c r="M33" i="37"/>
  <c r="AM23" i="37"/>
  <c r="AM22" i="37"/>
  <c r="AM21" i="37"/>
  <c r="AM20" i="37"/>
  <c r="AB20" i="37"/>
  <c r="AA20" i="37"/>
  <c r="L20" i="37"/>
  <c r="AM19" i="37"/>
  <c r="AC19" i="37"/>
  <c r="N19" i="37"/>
  <c r="AM18" i="37"/>
  <c r="AC18" i="37"/>
  <c r="N18" i="37"/>
  <c r="AM17" i="37"/>
  <c r="AC17" i="37"/>
  <c r="N17" i="37"/>
  <c r="AM16" i="37"/>
  <c r="AC16" i="37"/>
  <c r="N16" i="37"/>
  <c r="AM15" i="37"/>
  <c r="AC15" i="37"/>
  <c r="N15" i="37"/>
  <c r="AM14" i="37"/>
  <c r="AC14" i="37"/>
  <c r="N14" i="37"/>
  <c r="AM13" i="37"/>
  <c r="AC13" i="37"/>
  <c r="N13" i="37"/>
  <c r="AM12" i="37"/>
  <c r="AC12" i="37"/>
  <c r="N12" i="37"/>
  <c r="AM11" i="37"/>
  <c r="AC11" i="37"/>
  <c r="N11" i="37"/>
  <c r="AM10" i="37"/>
  <c r="AC10" i="37"/>
  <c r="N10" i="37"/>
  <c r="AM9" i="37"/>
  <c r="AC9" i="37"/>
  <c r="N9" i="37"/>
  <c r="AM8" i="37"/>
  <c r="AC8" i="37"/>
  <c r="N8" i="37"/>
  <c r="AM7" i="37"/>
  <c r="AC7" i="37"/>
  <c r="N7" i="37"/>
  <c r="AM6" i="37"/>
  <c r="AC6" i="37"/>
  <c r="N6" i="37"/>
  <c r="AM5" i="37"/>
  <c r="AC5" i="37"/>
  <c r="N5" i="37"/>
  <c r="AM4" i="37"/>
  <c r="AC4" i="37"/>
  <c r="M20" i="37"/>
  <c r="Z1" i="37"/>
  <c r="M24" i="36"/>
  <c r="M4" i="36"/>
  <c r="M6" i="36"/>
  <c r="AC20" i="37" l="1"/>
  <c r="AM33" i="37"/>
  <c r="N24" i="37"/>
  <c r="N33" i="37" s="1"/>
  <c r="N4" i="37"/>
  <c r="N20" i="37" s="1"/>
  <c r="AL33" i="36"/>
  <c r="AK33" i="36"/>
  <c r="M33" i="36"/>
  <c r="L33" i="36"/>
  <c r="AM32" i="36"/>
  <c r="AB32" i="36"/>
  <c r="AA32" i="36"/>
  <c r="N32" i="36"/>
  <c r="AM31" i="36"/>
  <c r="AC31" i="36"/>
  <c r="N31" i="36"/>
  <c r="AM30" i="36"/>
  <c r="AC30" i="36"/>
  <c r="N30" i="36"/>
  <c r="AM29" i="36"/>
  <c r="AC29" i="36"/>
  <c r="N29" i="36"/>
  <c r="AM28" i="36"/>
  <c r="AC28" i="36"/>
  <c r="N28" i="36"/>
  <c r="AM27" i="36"/>
  <c r="AC27" i="36"/>
  <c r="N27" i="36"/>
  <c r="AM26" i="36"/>
  <c r="AC26" i="36"/>
  <c r="N26" i="36"/>
  <c r="AM25" i="36"/>
  <c r="AC25" i="36"/>
  <c r="N25" i="36"/>
  <c r="AM24" i="36"/>
  <c r="AC24" i="36"/>
  <c r="N24" i="36"/>
  <c r="AM23" i="36"/>
  <c r="AM22" i="36"/>
  <c r="AM21" i="36"/>
  <c r="AM20" i="36"/>
  <c r="AB20" i="36"/>
  <c r="AA20" i="36"/>
  <c r="M20" i="36"/>
  <c r="L20" i="36"/>
  <c r="AM19" i="36"/>
  <c r="AC19" i="36"/>
  <c r="N19" i="36"/>
  <c r="AM18" i="36"/>
  <c r="AC18" i="36"/>
  <c r="N18" i="36"/>
  <c r="AM17" i="36"/>
  <c r="AC17" i="36"/>
  <c r="N17" i="36"/>
  <c r="AM16" i="36"/>
  <c r="AC16" i="36"/>
  <c r="N16" i="36"/>
  <c r="AM15" i="36"/>
  <c r="AC15" i="36"/>
  <c r="N15" i="36"/>
  <c r="AM14" i="36"/>
  <c r="AC14" i="36"/>
  <c r="N14" i="36"/>
  <c r="AM13" i="36"/>
  <c r="AC13" i="36"/>
  <c r="N13" i="36"/>
  <c r="AM12" i="36"/>
  <c r="AC12" i="36"/>
  <c r="N12" i="36"/>
  <c r="AM11" i="36"/>
  <c r="AC11" i="36"/>
  <c r="N11" i="36"/>
  <c r="AM10" i="36"/>
  <c r="AC10" i="36"/>
  <c r="N10" i="36"/>
  <c r="AM9" i="36"/>
  <c r="AC9" i="36"/>
  <c r="N9" i="36"/>
  <c r="AM8" i="36"/>
  <c r="AC8" i="36"/>
  <c r="N8" i="36"/>
  <c r="AC7" i="36"/>
  <c r="N7" i="36"/>
  <c r="AM6" i="36"/>
  <c r="AC6" i="36"/>
  <c r="N6" i="36"/>
  <c r="AM5" i="36"/>
  <c r="AC5" i="36"/>
  <c r="N5" i="36"/>
  <c r="AC4" i="36"/>
  <c r="N4" i="36"/>
  <c r="Z1" i="36"/>
  <c r="AL9" i="35"/>
  <c r="AL20" i="35"/>
  <c r="M7" i="35"/>
  <c r="M4" i="35"/>
  <c r="AC32" i="36" l="1"/>
  <c r="AC20" i="36"/>
  <c r="AM7" i="36"/>
  <c r="N33" i="36"/>
  <c r="N20" i="36"/>
  <c r="AM4" i="36"/>
  <c r="AL33" i="35"/>
  <c r="AK33" i="35"/>
  <c r="M33" i="35"/>
  <c r="L33" i="35"/>
  <c r="AM32" i="35"/>
  <c r="AB32" i="35"/>
  <c r="AA32" i="35"/>
  <c r="N32" i="35"/>
  <c r="AM31" i="35"/>
  <c r="AC31" i="35"/>
  <c r="N31" i="35"/>
  <c r="AM30" i="35"/>
  <c r="AC30" i="35"/>
  <c r="N30" i="35"/>
  <c r="AM29" i="35"/>
  <c r="AC29" i="35"/>
  <c r="N29" i="35"/>
  <c r="AM28" i="35"/>
  <c r="AC28" i="35"/>
  <c r="N28" i="35"/>
  <c r="AM27" i="35"/>
  <c r="AC27" i="35"/>
  <c r="N27" i="35"/>
  <c r="AM26" i="35"/>
  <c r="AC26" i="35"/>
  <c r="N26" i="35"/>
  <c r="AM25" i="35"/>
  <c r="AC25" i="35"/>
  <c r="N25" i="35"/>
  <c r="AM24" i="35"/>
  <c r="AC24" i="35"/>
  <c r="AC32" i="35" s="1"/>
  <c r="N24" i="35"/>
  <c r="AM23" i="35"/>
  <c r="AM22" i="35"/>
  <c r="AM21" i="35"/>
  <c r="AM20" i="35"/>
  <c r="AB20" i="35"/>
  <c r="AA20" i="35"/>
  <c r="L20" i="35"/>
  <c r="AM19" i="35"/>
  <c r="AC19" i="35"/>
  <c r="N19" i="35"/>
  <c r="AM18" i="35"/>
  <c r="AC18" i="35"/>
  <c r="N18" i="35"/>
  <c r="AM17" i="35"/>
  <c r="AC17" i="35"/>
  <c r="N17" i="35"/>
  <c r="AM16" i="35"/>
  <c r="AC16" i="35"/>
  <c r="N16" i="35"/>
  <c r="AM15" i="35"/>
  <c r="AC15" i="35"/>
  <c r="N15" i="35"/>
  <c r="AM14" i="35"/>
  <c r="AC14" i="35"/>
  <c r="N14" i="35"/>
  <c r="AM13" i="35"/>
  <c r="AC13" i="35"/>
  <c r="N13" i="35"/>
  <c r="AM12" i="35"/>
  <c r="AC12" i="35"/>
  <c r="N12" i="35"/>
  <c r="AM11" i="35"/>
  <c r="AC11" i="35"/>
  <c r="N11" i="35"/>
  <c r="AM10" i="35"/>
  <c r="AC10" i="35"/>
  <c r="N10" i="35"/>
  <c r="AM9" i="35"/>
  <c r="AC9" i="35"/>
  <c r="N9" i="35"/>
  <c r="AM8" i="35"/>
  <c r="AC8" i="35"/>
  <c r="N8" i="35"/>
  <c r="AM7" i="35"/>
  <c r="AC7" i="35"/>
  <c r="N7" i="35"/>
  <c r="AM6" i="35"/>
  <c r="AC6" i="35"/>
  <c r="N6" i="35"/>
  <c r="AM5" i="35"/>
  <c r="AC5" i="35"/>
  <c r="N5" i="35"/>
  <c r="AL4" i="35"/>
  <c r="AM4" i="35" s="1"/>
  <c r="AC4" i="35"/>
  <c r="AC20" i="35" s="1"/>
  <c r="N4" i="35"/>
  <c r="Z1" i="35"/>
  <c r="M4" i="34"/>
  <c r="AK33" i="34"/>
  <c r="M33" i="34"/>
  <c r="L33" i="34"/>
  <c r="AM32" i="34"/>
  <c r="AC32" i="34"/>
  <c r="AB32" i="34"/>
  <c r="AA32" i="34"/>
  <c r="N32" i="34"/>
  <c r="AM31" i="34"/>
  <c r="AC31" i="34"/>
  <c r="N31" i="34"/>
  <c r="AM30" i="34"/>
  <c r="AC30" i="34"/>
  <c r="N30" i="34"/>
  <c r="AM29" i="34"/>
  <c r="AC29" i="34"/>
  <c r="N29" i="34"/>
  <c r="AM28" i="34"/>
  <c r="AC28" i="34"/>
  <c r="N28" i="34"/>
  <c r="AM27" i="34"/>
  <c r="AC27" i="34"/>
  <c r="N27" i="34"/>
  <c r="AM26" i="34"/>
  <c r="AC26" i="34"/>
  <c r="N26" i="34"/>
  <c r="AM25" i="34"/>
  <c r="AC25" i="34"/>
  <c r="N25" i="34"/>
  <c r="AM24" i="34"/>
  <c r="AC24" i="34"/>
  <c r="N24" i="34"/>
  <c r="AM23" i="34"/>
  <c r="AM22" i="34"/>
  <c r="AM21" i="34"/>
  <c r="AM20" i="34"/>
  <c r="AB20" i="34"/>
  <c r="AA20" i="34"/>
  <c r="M20" i="34"/>
  <c r="L20" i="34"/>
  <c r="AM19" i="34"/>
  <c r="AC19" i="34"/>
  <c r="N19" i="34"/>
  <c r="AM18" i="34"/>
  <c r="AC18" i="34"/>
  <c r="N18" i="34"/>
  <c r="AM17" i="34"/>
  <c r="AC17" i="34"/>
  <c r="N17" i="34"/>
  <c r="AM16" i="34"/>
  <c r="AC16" i="34"/>
  <c r="N16" i="34"/>
  <c r="AM15" i="34"/>
  <c r="AC15" i="34"/>
  <c r="N15" i="34"/>
  <c r="AM14" i="34"/>
  <c r="AC14" i="34"/>
  <c r="N14" i="34"/>
  <c r="AM13" i="34"/>
  <c r="AC13" i="34"/>
  <c r="N13" i="34"/>
  <c r="AM12" i="34"/>
  <c r="AC12" i="34"/>
  <c r="N12" i="34"/>
  <c r="AM11" i="34"/>
  <c r="AC11" i="34"/>
  <c r="N11" i="34"/>
  <c r="AM10" i="34"/>
  <c r="AC10" i="34"/>
  <c r="N10" i="34"/>
  <c r="AM9" i="34"/>
  <c r="AC9" i="34"/>
  <c r="N9" i="34"/>
  <c r="AM8" i="34"/>
  <c r="AC8" i="34"/>
  <c r="N8" i="34"/>
  <c r="AM7" i="34"/>
  <c r="AC7" i="34"/>
  <c r="N7" i="34"/>
  <c r="AM6" i="34"/>
  <c r="AC6" i="34"/>
  <c r="N6" i="34"/>
  <c r="AM5" i="34"/>
  <c r="AC5" i="34"/>
  <c r="N5" i="34"/>
  <c r="AL4" i="34"/>
  <c r="AL33" i="34" s="1"/>
  <c r="AC4" i="34"/>
  <c r="AC20" i="34" s="1"/>
  <c r="N4" i="34"/>
  <c r="Z1" i="34"/>
  <c r="AL4" i="33"/>
  <c r="AM33" i="36" l="1"/>
  <c r="AM33" i="35"/>
  <c r="N33" i="35"/>
  <c r="N20" i="35"/>
  <c r="M20" i="35"/>
  <c r="N20" i="34"/>
  <c r="N33" i="34"/>
  <c r="AM4" i="34"/>
  <c r="AM33" i="34" s="1"/>
  <c r="AM28" i="33"/>
  <c r="AM29" i="33"/>
  <c r="AM30" i="33"/>
  <c r="AM31" i="33"/>
  <c r="AL4" i="31"/>
  <c r="AB5" i="31"/>
  <c r="AB4" i="31"/>
  <c r="AB5" i="30"/>
  <c r="AB4" i="30"/>
  <c r="M4" i="32"/>
  <c r="N13" i="31"/>
  <c r="M5" i="31"/>
  <c r="N28" i="33"/>
  <c r="N29" i="33"/>
  <c r="N30" i="33"/>
  <c r="N31" i="33"/>
  <c r="AC28" i="33"/>
  <c r="AC29" i="33"/>
  <c r="AC30" i="33"/>
  <c r="AC31" i="33"/>
  <c r="N24" i="33"/>
  <c r="N25" i="33"/>
  <c r="N26" i="33"/>
  <c r="N27" i="33"/>
  <c r="AL33" i="33" l="1"/>
  <c r="AK33" i="33"/>
  <c r="M33" i="33"/>
  <c r="L33" i="33"/>
  <c r="AM32" i="33"/>
  <c r="AB32" i="33"/>
  <c r="AA32" i="33"/>
  <c r="N32" i="33"/>
  <c r="N33" i="33" s="1"/>
  <c r="AM27" i="33"/>
  <c r="AC27" i="33"/>
  <c r="AM26" i="33"/>
  <c r="AC26" i="33"/>
  <c r="AM25" i="33"/>
  <c r="AC25" i="33"/>
  <c r="AM24" i="33"/>
  <c r="AC24" i="33"/>
  <c r="AM23" i="33"/>
  <c r="AM22" i="33"/>
  <c r="AM21" i="33"/>
  <c r="AM20" i="33"/>
  <c r="AA20" i="33"/>
  <c r="M20" i="33"/>
  <c r="L20" i="33"/>
  <c r="AM19" i="33"/>
  <c r="AC19" i="33"/>
  <c r="N19" i="33"/>
  <c r="AM18" i="33"/>
  <c r="AC18" i="33"/>
  <c r="N18" i="33"/>
  <c r="AM17" i="33"/>
  <c r="AC17" i="33"/>
  <c r="N17" i="33"/>
  <c r="AM16" i="33"/>
  <c r="AC16" i="33"/>
  <c r="N16" i="33"/>
  <c r="AM15" i="33"/>
  <c r="AC15" i="33"/>
  <c r="N15" i="33"/>
  <c r="AM14" i="33"/>
  <c r="AC14" i="33"/>
  <c r="N14" i="33"/>
  <c r="AM13" i="33"/>
  <c r="AC13" i="33"/>
  <c r="N13" i="33"/>
  <c r="AM12" i="33"/>
  <c r="AC12" i="33"/>
  <c r="N12" i="33"/>
  <c r="AM11" i="33"/>
  <c r="AC11" i="33"/>
  <c r="N11" i="33"/>
  <c r="AM10" i="33"/>
  <c r="AC10" i="33"/>
  <c r="N10" i="33"/>
  <c r="AM9" i="33"/>
  <c r="AC9" i="33"/>
  <c r="N9" i="33"/>
  <c r="AM8" i="33"/>
  <c r="AC8" i="33"/>
  <c r="N8" i="33"/>
  <c r="AM7" i="33"/>
  <c r="AC7" i="33"/>
  <c r="N7" i="33"/>
  <c r="AM6" i="33"/>
  <c r="AC6" i="33"/>
  <c r="N6" i="33"/>
  <c r="AM5" i="33"/>
  <c r="AC5" i="33"/>
  <c r="N5" i="33"/>
  <c r="AM4" i="33"/>
  <c r="AC4" i="33"/>
  <c r="N4" i="33"/>
  <c r="Z1" i="33"/>
  <c r="AL29" i="32"/>
  <c r="AK29" i="32"/>
  <c r="M29" i="32"/>
  <c r="L29" i="32"/>
  <c r="AM28" i="32"/>
  <c r="AB28" i="32"/>
  <c r="AA28" i="32"/>
  <c r="N28" i="32"/>
  <c r="AM27" i="32"/>
  <c r="AC27" i="32"/>
  <c r="N27" i="32"/>
  <c r="AM26" i="32"/>
  <c r="AC26" i="32"/>
  <c r="N26" i="32"/>
  <c r="AM25" i="32"/>
  <c r="AC25" i="32"/>
  <c r="N25" i="32"/>
  <c r="AM24" i="32"/>
  <c r="AC24" i="32"/>
  <c r="AC28" i="32" s="1"/>
  <c r="N24" i="32"/>
  <c r="N29" i="32" s="1"/>
  <c r="AM23" i="32"/>
  <c r="AM22" i="32"/>
  <c r="AM21" i="32"/>
  <c r="AM20" i="32"/>
  <c r="AA20" i="32"/>
  <c r="M20" i="32"/>
  <c r="L20" i="32"/>
  <c r="AM19" i="32"/>
  <c r="AC19" i="32"/>
  <c r="N19" i="32"/>
  <c r="AM18" i="32"/>
  <c r="AC18" i="32"/>
  <c r="N18" i="32"/>
  <c r="AM17" i="32"/>
  <c r="AC17" i="32"/>
  <c r="N17" i="32"/>
  <c r="AM16" i="32"/>
  <c r="AC16" i="32"/>
  <c r="N16" i="32"/>
  <c r="AM15" i="32"/>
  <c r="AC15" i="32"/>
  <c r="N15" i="32"/>
  <c r="AM14" i="32"/>
  <c r="AC14" i="32"/>
  <c r="N14" i="32"/>
  <c r="AM13" i="32"/>
  <c r="AC13" i="32"/>
  <c r="N13" i="32"/>
  <c r="AM12" i="32"/>
  <c r="AC12" i="32"/>
  <c r="N12" i="32"/>
  <c r="AM11" i="32"/>
  <c r="AC11" i="32"/>
  <c r="N11" i="32"/>
  <c r="AM10" i="32"/>
  <c r="AC10" i="32"/>
  <c r="N10" i="32"/>
  <c r="AM9" i="32"/>
  <c r="AC9" i="32"/>
  <c r="N9" i="32"/>
  <c r="AM8" i="32"/>
  <c r="AC8" i="32"/>
  <c r="N8" i="32"/>
  <c r="AM7" i="32"/>
  <c r="AC7" i="32"/>
  <c r="N7" i="32"/>
  <c r="AM6" i="32"/>
  <c r="AC6" i="32"/>
  <c r="N6" i="32"/>
  <c r="AM5" i="32"/>
  <c r="AC5" i="32"/>
  <c r="N5" i="32"/>
  <c r="AM4" i="32"/>
  <c r="AB20" i="32"/>
  <c r="N4" i="32"/>
  <c r="Z1" i="32"/>
  <c r="AM29" i="32" l="1"/>
  <c r="AM33" i="33"/>
  <c r="AC32" i="33"/>
  <c r="AC20" i="33"/>
  <c r="N20" i="33"/>
  <c r="AB20" i="33"/>
  <c r="N20" i="32"/>
  <c r="AC4" i="32"/>
  <c r="AC20" i="32" s="1"/>
  <c r="N5" i="31"/>
  <c r="AK29" i="31"/>
  <c r="M29" i="31"/>
  <c r="L29" i="31"/>
  <c r="AM28" i="31"/>
  <c r="AB28" i="31"/>
  <c r="AA28" i="31"/>
  <c r="N28" i="31"/>
  <c r="AM27" i="31"/>
  <c r="AC27" i="31"/>
  <c r="N27" i="31"/>
  <c r="AM26" i="31"/>
  <c r="AC26" i="31"/>
  <c r="N26" i="31"/>
  <c r="AM25" i="31"/>
  <c r="AC25" i="31"/>
  <c r="N25" i="31"/>
  <c r="AM24" i="31"/>
  <c r="AC24" i="31"/>
  <c r="N24" i="31"/>
  <c r="N29" i="31" s="1"/>
  <c r="AM23" i="31"/>
  <c r="AM22" i="31"/>
  <c r="AM21" i="31"/>
  <c r="AM20" i="31"/>
  <c r="AA20" i="31"/>
  <c r="L20" i="31"/>
  <c r="AM19" i="31"/>
  <c r="AC19" i="31"/>
  <c r="N19" i="31"/>
  <c r="AM18" i="31"/>
  <c r="AC18" i="31"/>
  <c r="N18" i="31"/>
  <c r="AM17" i="31"/>
  <c r="AC17" i="31"/>
  <c r="N17" i="31"/>
  <c r="AM16" i="31"/>
  <c r="AC16" i="31"/>
  <c r="N16" i="31"/>
  <c r="AM15" i="31"/>
  <c r="AC15" i="31"/>
  <c r="N15" i="31"/>
  <c r="AM14" i="31"/>
  <c r="AC14" i="31"/>
  <c r="N14" i="31"/>
  <c r="AM13" i="31"/>
  <c r="AC13" i="31"/>
  <c r="AM12" i="31"/>
  <c r="AC12" i="31"/>
  <c r="N12" i="31"/>
  <c r="AM11" i="31"/>
  <c r="AC11" i="31"/>
  <c r="N11" i="31"/>
  <c r="AM10" i="31"/>
  <c r="AC10" i="31"/>
  <c r="N10" i="31"/>
  <c r="AM9" i="31"/>
  <c r="AC9" i="31"/>
  <c r="N9" i="31"/>
  <c r="AM8" i="31"/>
  <c r="AC8" i="31"/>
  <c r="N8" i="31"/>
  <c r="AM7" i="31"/>
  <c r="AC7" i="31"/>
  <c r="N7" i="31"/>
  <c r="AM6" i="31"/>
  <c r="AC6" i="31"/>
  <c r="N6" i="31"/>
  <c r="AM5" i="31"/>
  <c r="AC5" i="31"/>
  <c r="AL29" i="31"/>
  <c r="AC4" i="31"/>
  <c r="AB20" i="31"/>
  <c r="N4" i="31"/>
  <c r="Z1" i="31"/>
  <c r="M6" i="30"/>
  <c r="M4" i="30"/>
  <c r="M8" i="30"/>
  <c r="AC28" i="31" l="1"/>
  <c r="N20" i="31"/>
  <c r="AC20" i="31"/>
  <c r="AM4" i="31"/>
  <c r="AM29" i="31" s="1"/>
  <c r="M20" i="31"/>
  <c r="AL4" i="30"/>
  <c r="AK29" i="30"/>
  <c r="M29" i="30"/>
  <c r="L29" i="30"/>
  <c r="AM28" i="30"/>
  <c r="AB28" i="30"/>
  <c r="AA28" i="30"/>
  <c r="N28" i="30"/>
  <c r="AM27" i="30"/>
  <c r="AC27" i="30"/>
  <c r="N27" i="30"/>
  <c r="AM26" i="30"/>
  <c r="AC26" i="30"/>
  <c r="N26" i="30"/>
  <c r="AM25" i="30"/>
  <c r="AC25" i="30"/>
  <c r="N25" i="30"/>
  <c r="N29" i="30" s="1"/>
  <c r="AM24" i="30"/>
  <c r="AC24" i="30"/>
  <c r="N24" i="30"/>
  <c r="AM23" i="30"/>
  <c r="AM22" i="30"/>
  <c r="AM21" i="30"/>
  <c r="AM20" i="30"/>
  <c r="AA20" i="30"/>
  <c r="L20" i="30"/>
  <c r="AM19" i="30"/>
  <c r="AC19" i="30"/>
  <c r="N19" i="30"/>
  <c r="AM18" i="30"/>
  <c r="AC18" i="30"/>
  <c r="N18" i="30"/>
  <c r="AM17" i="30"/>
  <c r="AC17" i="30"/>
  <c r="N17" i="30"/>
  <c r="AM16" i="30"/>
  <c r="AC16" i="30"/>
  <c r="N16" i="30"/>
  <c r="AM15" i="30"/>
  <c r="AC15" i="30"/>
  <c r="N15" i="30"/>
  <c r="AM14" i="30"/>
  <c r="AC14" i="30"/>
  <c r="N14" i="30"/>
  <c r="AM13" i="30"/>
  <c r="AC13" i="30"/>
  <c r="N13" i="30"/>
  <c r="AM12" i="30"/>
  <c r="AC12" i="30"/>
  <c r="N12" i="30"/>
  <c r="AM11" i="30"/>
  <c r="AC11" i="30"/>
  <c r="N11" i="30"/>
  <c r="AM10" i="30"/>
  <c r="AC10" i="30"/>
  <c r="N10" i="30"/>
  <c r="AM9" i="30"/>
  <c r="AC9" i="30"/>
  <c r="N9" i="30"/>
  <c r="AM8" i="30"/>
  <c r="AC8" i="30"/>
  <c r="N8" i="30"/>
  <c r="AM7" i="30"/>
  <c r="AC7" i="30"/>
  <c r="N7" i="30"/>
  <c r="AM6" i="30"/>
  <c r="AC6" i="30"/>
  <c r="N6" i="30"/>
  <c r="AM5" i="30"/>
  <c r="AC5" i="30"/>
  <c r="N5" i="30"/>
  <c r="AL29" i="30"/>
  <c r="AC4" i="30"/>
  <c r="N4" i="30"/>
  <c r="Z1" i="30"/>
  <c r="AL5" i="29"/>
  <c r="AL4" i="29"/>
  <c r="AB4" i="29"/>
  <c r="AB8" i="29"/>
  <c r="M9" i="29"/>
  <c r="M5" i="29"/>
  <c r="M4" i="29"/>
  <c r="AC28" i="30" l="1"/>
  <c r="AC20" i="30"/>
  <c r="N20" i="30"/>
  <c r="AM4" i="30"/>
  <c r="AM29" i="30" s="1"/>
  <c r="M20" i="30"/>
  <c r="AB20" i="30"/>
  <c r="AK29" i="29"/>
  <c r="N29" i="29"/>
  <c r="M29" i="29"/>
  <c r="L29" i="29"/>
  <c r="AM28" i="29"/>
  <c r="AB28" i="29"/>
  <c r="AA28" i="29"/>
  <c r="N28" i="29"/>
  <c r="AM27" i="29"/>
  <c r="AC27" i="29"/>
  <c r="N27" i="29"/>
  <c r="AM26" i="29"/>
  <c r="AC26" i="29"/>
  <c r="N26" i="29"/>
  <c r="AM25" i="29"/>
  <c r="AC25" i="29"/>
  <c r="N25" i="29"/>
  <c r="AM24" i="29"/>
  <c r="AC24" i="29"/>
  <c r="AC28" i="29" s="1"/>
  <c r="N24" i="29"/>
  <c r="AM23" i="29"/>
  <c r="AM22" i="29"/>
  <c r="AM21" i="29"/>
  <c r="AM20" i="29"/>
  <c r="AA20" i="29"/>
  <c r="M20" i="29"/>
  <c r="L20" i="29"/>
  <c r="AM19" i="29"/>
  <c r="AC19" i="29"/>
  <c r="N19" i="29"/>
  <c r="AM18" i="29"/>
  <c r="AC18" i="29"/>
  <c r="N18" i="29"/>
  <c r="AM17" i="29"/>
  <c r="AC17" i="29"/>
  <c r="N17" i="29"/>
  <c r="AM16" i="29"/>
  <c r="AC16" i="29"/>
  <c r="N16" i="29"/>
  <c r="AM15" i="29"/>
  <c r="AC15" i="29"/>
  <c r="N15" i="29"/>
  <c r="AM14" i="29"/>
  <c r="AC14" i="29"/>
  <c r="N14" i="29"/>
  <c r="AM13" i="29"/>
  <c r="AC13" i="29"/>
  <c r="N13" i="29"/>
  <c r="AM12" i="29"/>
  <c r="AC12" i="29"/>
  <c r="N12" i="29"/>
  <c r="AM11" i="29"/>
  <c r="AC11" i="29"/>
  <c r="N11" i="29"/>
  <c r="AM10" i="29"/>
  <c r="AC10" i="29"/>
  <c r="N10" i="29"/>
  <c r="AM9" i="29"/>
  <c r="AC9" i="29"/>
  <c r="N9" i="29"/>
  <c r="AM8" i="29"/>
  <c r="AC8" i="29"/>
  <c r="N8" i="29"/>
  <c r="AM7" i="29"/>
  <c r="AC7" i="29"/>
  <c r="N7" i="29"/>
  <c r="AM6" i="29"/>
  <c r="AC6" i="29"/>
  <c r="N6" i="29"/>
  <c r="AM5" i="29"/>
  <c r="AC5" i="29"/>
  <c r="N5" i="29"/>
  <c r="AL29" i="29"/>
  <c r="AB20" i="29"/>
  <c r="N4" i="29"/>
  <c r="Z1" i="29"/>
  <c r="N20" i="29" l="1"/>
  <c r="AC4" i="29"/>
  <c r="AC20" i="29" s="1"/>
  <c r="AM4" i="29"/>
  <c r="AM29" i="29" s="1"/>
  <c r="AL4" i="28"/>
  <c r="AB9" i="28"/>
  <c r="AB4" i="28"/>
  <c r="M4" i="28" l="1"/>
  <c r="AM14" i="28" l="1"/>
  <c r="AK29" i="28" l="1"/>
  <c r="M29" i="28"/>
  <c r="L29" i="28"/>
  <c r="AM28" i="28"/>
  <c r="AB28" i="28"/>
  <c r="AA28" i="28"/>
  <c r="N28" i="28"/>
  <c r="AM27" i="28"/>
  <c r="AC27" i="28"/>
  <c r="N27" i="28"/>
  <c r="AM26" i="28"/>
  <c r="AC26" i="28"/>
  <c r="N26" i="28"/>
  <c r="AM25" i="28"/>
  <c r="AC25" i="28"/>
  <c r="N25" i="28"/>
  <c r="AM24" i="28"/>
  <c r="AC24" i="28"/>
  <c r="AC28" i="28" s="1"/>
  <c r="N24" i="28"/>
  <c r="N29" i="28" s="1"/>
  <c r="AM23" i="28"/>
  <c r="AM22" i="28"/>
  <c r="AM21" i="28"/>
  <c r="AM20" i="28"/>
  <c r="AA20" i="28"/>
  <c r="M20" i="28"/>
  <c r="L20" i="28"/>
  <c r="AM19" i="28"/>
  <c r="AC19" i="28"/>
  <c r="N19" i="28"/>
  <c r="AM18" i="28"/>
  <c r="AC18" i="28"/>
  <c r="N18" i="28"/>
  <c r="AM17" i="28"/>
  <c r="AC17" i="28"/>
  <c r="N17" i="28"/>
  <c r="AM16" i="28"/>
  <c r="AC16" i="28"/>
  <c r="N16" i="28"/>
  <c r="AM15" i="28"/>
  <c r="AC15" i="28"/>
  <c r="N15" i="28"/>
  <c r="AC14" i="28"/>
  <c r="N14" i="28"/>
  <c r="AM13" i="28"/>
  <c r="AC13" i="28"/>
  <c r="N13" i="28"/>
  <c r="AM12" i="28"/>
  <c r="AC12" i="28"/>
  <c r="N12" i="28"/>
  <c r="AM11" i="28"/>
  <c r="AC11" i="28"/>
  <c r="N11" i="28"/>
  <c r="AM10" i="28"/>
  <c r="AC10" i="28"/>
  <c r="N10" i="28"/>
  <c r="AM9" i="28"/>
  <c r="AC9" i="28"/>
  <c r="N9" i="28"/>
  <c r="AM8" i="28"/>
  <c r="AC8" i="28"/>
  <c r="N8" i="28"/>
  <c r="AM7" i="28"/>
  <c r="AC7" i="28"/>
  <c r="N7" i="28"/>
  <c r="AM6" i="28"/>
  <c r="AC6" i="28"/>
  <c r="N6" i="28"/>
  <c r="AM5" i="28"/>
  <c r="AC5" i="28"/>
  <c r="N5" i="28"/>
  <c r="AL29" i="28"/>
  <c r="AB20" i="28"/>
  <c r="N4" i="28"/>
  <c r="Z1" i="28"/>
  <c r="AL5" i="27"/>
  <c r="AL4" i="27"/>
  <c r="N20" i="28" l="1"/>
  <c r="AC4" i="28"/>
  <c r="AC20" i="28" s="1"/>
  <c r="AM4" i="28"/>
  <c r="AM29" i="28" s="1"/>
  <c r="AC18" i="27"/>
  <c r="AC17" i="27"/>
  <c r="AC16" i="27"/>
  <c r="AC15" i="27"/>
  <c r="AC14" i="27"/>
  <c r="AC13" i="27"/>
  <c r="AC12" i="27"/>
  <c r="AC11" i="27"/>
  <c r="AC10" i="27"/>
  <c r="AC9" i="27"/>
  <c r="AB4" i="27"/>
  <c r="AB5" i="26"/>
  <c r="AB5" i="25"/>
  <c r="AB4" i="26"/>
  <c r="M5" i="27"/>
  <c r="M4" i="27"/>
  <c r="AM8" i="27" l="1"/>
  <c r="AM9" i="27"/>
  <c r="AM10" i="27"/>
  <c r="AM11" i="27"/>
  <c r="AM12" i="27"/>
  <c r="AM13" i="27"/>
  <c r="AM15" i="27"/>
  <c r="AM16" i="27"/>
  <c r="AM17" i="27"/>
  <c r="AM18" i="27"/>
  <c r="AM28" i="27"/>
  <c r="AC8" i="27" l="1"/>
  <c r="N17" i="27" l="1"/>
  <c r="N18" i="27"/>
  <c r="N15" i="27"/>
  <c r="N12" i="27"/>
  <c r="N13" i="27"/>
  <c r="N14" i="27"/>
  <c r="N16" i="27"/>
  <c r="N19" i="27" l="1"/>
  <c r="N11" i="27"/>
  <c r="N10" i="27"/>
  <c r="N9" i="27"/>
  <c r="N8" i="27"/>
  <c r="L20" i="27"/>
  <c r="AK29" i="27" l="1"/>
  <c r="M29" i="27"/>
  <c r="L29" i="27"/>
  <c r="AB28" i="27"/>
  <c r="AA28" i="27"/>
  <c r="N28" i="27"/>
  <c r="AM27" i="27"/>
  <c r="AC27" i="27"/>
  <c r="N27" i="27"/>
  <c r="AM26" i="27"/>
  <c r="AC26" i="27"/>
  <c r="N26" i="27"/>
  <c r="AM25" i="27"/>
  <c r="AC25" i="27"/>
  <c r="N25" i="27"/>
  <c r="AM24" i="27"/>
  <c r="AC24" i="27"/>
  <c r="N24" i="27"/>
  <c r="AM23" i="27"/>
  <c r="AM22" i="27"/>
  <c r="AM21" i="27"/>
  <c r="AM20" i="27"/>
  <c r="AA20" i="27"/>
  <c r="AM19" i="27"/>
  <c r="AC19" i="27"/>
  <c r="AM7" i="27"/>
  <c r="AC7" i="27"/>
  <c r="N7" i="27"/>
  <c r="AM6" i="27"/>
  <c r="N6" i="27"/>
  <c r="AM5" i="27"/>
  <c r="AC5" i="27"/>
  <c r="N5" i="27"/>
  <c r="AM4" i="27"/>
  <c r="AC4" i="27"/>
  <c r="M20" i="27"/>
  <c r="Z1" i="27"/>
  <c r="AL6" i="26"/>
  <c r="M4" i="26"/>
  <c r="AM6" i="26"/>
  <c r="AC4" i="26"/>
  <c r="N4" i="26"/>
  <c r="AK18" i="26"/>
  <c r="M18" i="26"/>
  <c r="L18" i="26"/>
  <c r="AB17" i="26"/>
  <c r="AA17" i="26"/>
  <c r="N17" i="26"/>
  <c r="AM16" i="26"/>
  <c r="AC16" i="26"/>
  <c r="N16" i="26"/>
  <c r="AM15" i="26"/>
  <c r="AC15" i="26"/>
  <c r="N15" i="26"/>
  <c r="AM14" i="26"/>
  <c r="AC14" i="26"/>
  <c r="N14" i="26"/>
  <c r="AM13" i="26"/>
  <c r="AC13" i="26"/>
  <c r="N13" i="26"/>
  <c r="N18" i="26" s="1"/>
  <c r="AM12" i="26"/>
  <c r="AM11" i="26"/>
  <c r="AM10" i="26"/>
  <c r="AM9" i="26"/>
  <c r="AA9" i="26"/>
  <c r="L9" i="26"/>
  <c r="AM8" i="26"/>
  <c r="AC8" i="26"/>
  <c r="N8" i="26"/>
  <c r="AM7" i="26"/>
  <c r="AC7" i="26"/>
  <c r="N7" i="26"/>
  <c r="AC6" i="26"/>
  <c r="N6" i="26"/>
  <c r="AM5" i="26"/>
  <c r="AC5" i="26"/>
  <c r="M9" i="26"/>
  <c r="AM4" i="26"/>
  <c r="Z1" i="26"/>
  <c r="Z1" i="25"/>
  <c r="AL7" i="25"/>
  <c r="AL10" i="25"/>
  <c r="M5" i="25"/>
  <c r="M4" i="25"/>
  <c r="AK18" i="25"/>
  <c r="M18" i="25"/>
  <c r="L18" i="25"/>
  <c r="AB17" i="25"/>
  <c r="AA17" i="25"/>
  <c r="N17" i="25"/>
  <c r="AM16" i="25"/>
  <c r="AC16" i="25"/>
  <c r="N16" i="25"/>
  <c r="AM15" i="25"/>
  <c r="AC15" i="25"/>
  <c r="N15" i="25"/>
  <c r="AM14" i="25"/>
  <c r="AC14" i="25"/>
  <c r="N14" i="25"/>
  <c r="AM13" i="25"/>
  <c r="AC13" i="25"/>
  <c r="AC17" i="25" s="1"/>
  <c r="N13" i="25"/>
  <c r="N18" i="25" s="1"/>
  <c r="AM12" i="25"/>
  <c r="AM11" i="25"/>
  <c r="AM10" i="25"/>
  <c r="AM9" i="25"/>
  <c r="AA9" i="25"/>
  <c r="M9" i="25"/>
  <c r="L9" i="25"/>
  <c r="AM8" i="25"/>
  <c r="AC8" i="25"/>
  <c r="N8" i="25"/>
  <c r="AM7" i="25"/>
  <c r="AC7" i="25"/>
  <c r="N7" i="25"/>
  <c r="AM6" i="25"/>
  <c r="AC6" i="25"/>
  <c r="N6" i="25"/>
  <c r="AM5" i="25"/>
  <c r="AC5" i="25"/>
  <c r="N5" i="25"/>
  <c r="AL4" i="25"/>
  <c r="AL18" i="25" s="1"/>
  <c r="AB4" i="25"/>
  <c r="AC4" i="25" s="1"/>
  <c r="N4" i="25"/>
  <c r="N9" i="25" s="1"/>
  <c r="AL4" i="24"/>
  <c r="AB4" i="24"/>
  <c r="M4" i="24"/>
  <c r="AC17" i="26" l="1"/>
  <c r="AB20" i="27"/>
  <c r="N4" i="27"/>
  <c r="AC28" i="27"/>
  <c r="N29" i="27"/>
  <c r="AL29" i="27"/>
  <c r="N20" i="27"/>
  <c r="AM29" i="27"/>
  <c r="AC6" i="27"/>
  <c r="AC20" i="27" s="1"/>
  <c r="AC9" i="26"/>
  <c r="AM18" i="26"/>
  <c r="N5" i="26"/>
  <c r="N9" i="26" s="1"/>
  <c r="AB9" i="26"/>
  <c r="AL18" i="26"/>
  <c r="AC9" i="25"/>
  <c r="AM4" i="25"/>
  <c r="AM18" i="25" s="1"/>
  <c r="AB9" i="25"/>
  <c r="AL4" i="23"/>
  <c r="AB4" i="23"/>
  <c r="M4" i="23"/>
  <c r="N6" i="24"/>
  <c r="N5" i="24"/>
  <c r="N4" i="24"/>
  <c r="M5" i="23"/>
  <c r="AK18" i="24"/>
  <c r="M18" i="24"/>
  <c r="L18" i="24"/>
  <c r="AB17" i="24"/>
  <c r="AA17" i="24"/>
  <c r="N17" i="24"/>
  <c r="AM16" i="24"/>
  <c r="AC16" i="24"/>
  <c r="N16" i="24"/>
  <c r="AM15" i="24"/>
  <c r="AC15" i="24"/>
  <c r="N15" i="24"/>
  <c r="AM14" i="24"/>
  <c r="AC14" i="24"/>
  <c r="N14" i="24"/>
  <c r="AM13" i="24"/>
  <c r="AC13" i="24"/>
  <c r="AC17" i="24" s="1"/>
  <c r="N13" i="24"/>
  <c r="N18" i="24" s="1"/>
  <c r="AM12" i="24"/>
  <c r="AM11" i="24"/>
  <c r="AM10" i="24"/>
  <c r="AM9" i="24"/>
  <c r="AA9" i="24"/>
  <c r="M9" i="24"/>
  <c r="L9" i="24"/>
  <c r="AM8" i="24"/>
  <c r="AC8" i="24"/>
  <c r="N8" i="24"/>
  <c r="AM7" i="24"/>
  <c r="AC7" i="24"/>
  <c r="N7" i="24"/>
  <c r="AM6" i="24"/>
  <c r="AC6" i="24"/>
  <c r="AM5" i="24"/>
  <c r="AC5" i="24"/>
  <c r="AL18" i="24"/>
  <c r="AB9" i="24"/>
  <c r="Z1" i="24"/>
  <c r="N9" i="24" l="1"/>
  <c r="AC4" i="24"/>
  <c r="AC9" i="24" s="1"/>
  <c r="AM4" i="24"/>
  <c r="AM18" i="24" s="1"/>
  <c r="AK18" i="23"/>
  <c r="M18" i="23"/>
  <c r="L18" i="23"/>
  <c r="AB17" i="23"/>
  <c r="AA17" i="23"/>
  <c r="N17" i="23"/>
  <c r="AM16" i="23"/>
  <c r="AC16" i="23"/>
  <c r="N16" i="23"/>
  <c r="AM15" i="23"/>
  <c r="AC15" i="23"/>
  <c r="N15" i="23"/>
  <c r="AM14" i="23"/>
  <c r="AC14" i="23"/>
  <c r="N14" i="23"/>
  <c r="AM13" i="23"/>
  <c r="AC13" i="23"/>
  <c r="AC17" i="23" s="1"/>
  <c r="N13" i="23"/>
  <c r="N18" i="23" s="1"/>
  <c r="AM12" i="23"/>
  <c r="AM11" i="23"/>
  <c r="AM10" i="23"/>
  <c r="AM9" i="23"/>
  <c r="AA9" i="23"/>
  <c r="M9" i="23"/>
  <c r="L9" i="23"/>
  <c r="AM8" i="23"/>
  <c r="AC8" i="23"/>
  <c r="N8" i="23"/>
  <c r="AM7" i="23"/>
  <c r="AC7" i="23"/>
  <c r="N7" i="23"/>
  <c r="AM6" i="23"/>
  <c r="AC6" i="23"/>
  <c r="N6" i="23"/>
  <c r="AM5" i="23"/>
  <c r="AC5" i="23"/>
  <c r="N5" i="23"/>
  <c r="AL18" i="23"/>
  <c r="AB9" i="23"/>
  <c r="N4" i="23"/>
  <c r="Z1" i="23"/>
  <c r="N9" i="23" l="1"/>
  <c r="AC4" i="23"/>
  <c r="AC9" i="23" s="1"/>
  <c r="AM4" i="23"/>
  <c r="AM18" i="23" s="1"/>
  <c r="M4" i="22" l="1"/>
  <c r="N13" i="22" l="1"/>
  <c r="N14" i="22"/>
  <c r="AK18" i="22"/>
  <c r="L18" i="22"/>
  <c r="AB17" i="22"/>
  <c r="AA17" i="22"/>
  <c r="N17" i="22"/>
  <c r="AM16" i="22"/>
  <c r="AC16" i="22"/>
  <c r="N16" i="22"/>
  <c r="AM15" i="22"/>
  <c r="AC15" i="22"/>
  <c r="N15" i="22"/>
  <c r="AM14" i="22"/>
  <c r="AC14" i="22"/>
  <c r="AM13" i="22"/>
  <c r="AC13" i="22"/>
  <c r="AM12" i="22"/>
  <c r="AM11" i="22"/>
  <c r="AM10" i="22"/>
  <c r="AM9" i="22"/>
  <c r="AA9" i="22"/>
  <c r="L9" i="22"/>
  <c r="AM8" i="22"/>
  <c r="AC8" i="22"/>
  <c r="N8" i="22"/>
  <c r="AM7" i="22"/>
  <c r="AC7" i="22"/>
  <c r="N7" i="22"/>
  <c r="AM6" i="22"/>
  <c r="AC6" i="22"/>
  <c r="N6" i="22"/>
  <c r="AM5" i="22"/>
  <c r="AB5" i="22"/>
  <c r="AC5" i="22" s="1"/>
  <c r="N5" i="22"/>
  <c r="AL4" i="22"/>
  <c r="AL18" i="22" s="1"/>
  <c r="AB4" i="22"/>
  <c r="AC4" i="22" s="1"/>
  <c r="N4" i="22"/>
  <c r="Z1" i="22"/>
  <c r="AL4" i="20"/>
  <c r="AA9" i="20"/>
  <c r="AB5" i="20"/>
  <c r="M14" i="20"/>
  <c r="N14" i="20" s="1"/>
  <c r="M4" i="20"/>
  <c r="AC17" i="22" l="1"/>
  <c r="N9" i="22"/>
  <c r="M18" i="22"/>
  <c r="AC9" i="22"/>
  <c r="AM4" i="22"/>
  <c r="AM18" i="22" s="1"/>
  <c r="M9" i="22"/>
  <c r="N18" i="22"/>
  <c r="AB9" i="22"/>
  <c r="AM16" i="20"/>
  <c r="AM11" i="20"/>
  <c r="AM10" i="20"/>
  <c r="AM15" i="20"/>
  <c r="AM14" i="20"/>
  <c r="AM13" i="20"/>
  <c r="AM12" i="20"/>
  <c r="AM9" i="20"/>
  <c r="AM8" i="20"/>
  <c r="AM7" i="20"/>
  <c r="AM6" i="20"/>
  <c r="M18" i="20" l="1"/>
  <c r="L18" i="20"/>
  <c r="AB17" i="20"/>
  <c r="AA17" i="20"/>
  <c r="N17" i="20"/>
  <c r="AC16" i="20"/>
  <c r="N16" i="20"/>
  <c r="AC15" i="20"/>
  <c r="N15" i="20"/>
  <c r="AC14" i="20"/>
  <c r="AC13" i="20"/>
  <c r="N13" i="20"/>
  <c r="AK18" i="20"/>
  <c r="L9" i="20"/>
  <c r="AC8" i="20"/>
  <c r="N8" i="20"/>
  <c r="AC7" i="20"/>
  <c r="N7" i="20"/>
  <c r="AC6" i="20"/>
  <c r="N6" i="20"/>
  <c r="AM5" i="20"/>
  <c r="AC5" i="20"/>
  <c r="N5" i="20"/>
  <c r="AM4" i="20"/>
  <c r="AB4" i="20"/>
  <c r="AB9" i="20" s="1"/>
  <c r="N4" i="20"/>
  <c r="Z1" i="20"/>
  <c r="N9" i="20" l="1"/>
  <c r="AC4" i="20"/>
  <c r="AC9" i="20" s="1"/>
  <c r="M9" i="20"/>
  <c r="N18" i="20"/>
  <c r="AC17" i="20"/>
  <c r="AM18" i="20"/>
  <c r="AL18" i="20"/>
  <c r="M18" i="19"/>
  <c r="L18" i="19"/>
  <c r="AB17" i="19"/>
  <c r="AA17" i="19"/>
  <c r="N17" i="19"/>
  <c r="AC16" i="19"/>
  <c r="N16" i="19"/>
  <c r="AC15" i="19"/>
  <c r="N15" i="19"/>
  <c r="AC14" i="19"/>
  <c r="N14" i="19"/>
  <c r="AC13" i="19"/>
  <c r="N13" i="19"/>
  <c r="N18" i="19" s="1"/>
  <c r="AQ9" i="19"/>
  <c r="AP9" i="19"/>
  <c r="AB9" i="19"/>
  <c r="AA9" i="19"/>
  <c r="M9" i="19"/>
  <c r="L9" i="19"/>
  <c r="AR8" i="19"/>
  <c r="AC8" i="19"/>
  <c r="N8" i="19"/>
  <c r="AR7" i="19"/>
  <c r="AC7" i="19"/>
  <c r="N7" i="19"/>
  <c r="AR6" i="19"/>
  <c r="AC6" i="19"/>
  <c r="N6" i="19"/>
  <c r="AR5" i="19"/>
  <c r="AC5" i="19"/>
  <c r="N5" i="19"/>
  <c r="AR4" i="19"/>
  <c r="AR9" i="19" s="1"/>
  <c r="AC4" i="19"/>
  <c r="AC9" i="19" s="1"/>
  <c r="N4" i="19"/>
  <c r="N9" i="19" s="1"/>
  <c r="AO1" i="19"/>
  <c r="Z1" i="19"/>
  <c r="AC17" i="19" l="1"/>
  <c r="AB17" i="18"/>
  <c r="AA17" i="18"/>
  <c r="AC16" i="18"/>
  <c r="AC15" i="18"/>
  <c r="AC14" i="18"/>
  <c r="AC13" i="18"/>
  <c r="AC17" i="18"/>
  <c r="Z1" i="18"/>
  <c r="AP9" i="18"/>
  <c r="AR8" i="18"/>
  <c r="AR7" i="18"/>
  <c r="AR6" i="18"/>
  <c r="AR5" i="18"/>
  <c r="AQ4" i="18"/>
  <c r="AQ9" i="18" s="1"/>
  <c r="AA9" i="18"/>
  <c r="AC8" i="18"/>
  <c r="AC7" i="18"/>
  <c r="AC6" i="18"/>
  <c r="AC5" i="18"/>
  <c r="AB4" i="18"/>
  <c r="AC4" i="18" s="1"/>
  <c r="M4" i="18"/>
  <c r="AC9" i="18" l="1"/>
  <c r="AR4" i="18"/>
  <c r="AR9" i="18" s="1"/>
  <c r="AB9" i="18"/>
  <c r="M18" i="18"/>
  <c r="L18" i="18"/>
  <c r="N17" i="18"/>
  <c r="N16" i="18"/>
  <c r="N15" i="18"/>
  <c r="N14" i="18"/>
  <c r="N13" i="18"/>
  <c r="L9" i="18"/>
  <c r="N8" i="18"/>
  <c r="N7" i="18"/>
  <c r="N6" i="18"/>
  <c r="N5" i="18"/>
  <c r="M9" i="18"/>
  <c r="M37" i="17"/>
  <c r="M24" i="17"/>
  <c r="M4" i="17"/>
  <c r="N18" i="18" l="1"/>
  <c r="N4" i="18"/>
  <c r="N9" i="18" s="1"/>
  <c r="N37" i="17"/>
  <c r="N46" i="17" s="1"/>
  <c r="N5" i="17"/>
  <c r="N6" i="17"/>
  <c r="N7" i="17"/>
  <c r="N8" i="17"/>
  <c r="M46" i="17"/>
  <c r="L46" i="17"/>
  <c r="N45" i="17"/>
  <c r="N44" i="17"/>
  <c r="N43" i="17"/>
  <c r="N42" i="17"/>
  <c r="N41" i="17"/>
  <c r="N40" i="17"/>
  <c r="N39" i="17"/>
  <c r="N38" i="17"/>
  <c r="L33" i="17"/>
  <c r="N32" i="17"/>
  <c r="N31" i="17"/>
  <c r="N30" i="17"/>
  <c r="N29" i="17"/>
  <c r="N28" i="17"/>
  <c r="N27" i="17"/>
  <c r="N26" i="17"/>
  <c r="N25" i="17"/>
  <c r="N24" i="17"/>
  <c r="M33" i="17"/>
  <c r="M20" i="17"/>
  <c r="L20" i="17"/>
  <c r="N19" i="17"/>
  <c r="N18" i="17"/>
  <c r="N17" i="17"/>
  <c r="N16" i="17"/>
  <c r="N15" i="17"/>
  <c r="N14" i="17"/>
  <c r="M10" i="17"/>
  <c r="L10" i="17"/>
  <c r="N9" i="17"/>
  <c r="N4" i="17"/>
  <c r="M24" i="16"/>
  <c r="N33" i="17" l="1"/>
  <c r="N20" i="17"/>
  <c r="N10" i="17"/>
  <c r="M46" i="16"/>
  <c r="L46" i="16"/>
  <c r="N45" i="16"/>
  <c r="N44" i="16"/>
  <c r="N43" i="16"/>
  <c r="N42" i="16"/>
  <c r="N41" i="16"/>
  <c r="N40" i="16"/>
  <c r="N39" i="16"/>
  <c r="N38" i="16"/>
  <c r="N37" i="16"/>
  <c r="N31" i="16"/>
  <c r="N30" i="16"/>
  <c r="N29" i="16"/>
  <c r="N28" i="16"/>
  <c r="M33" i="16"/>
  <c r="L33" i="16"/>
  <c r="N32" i="16"/>
  <c r="N27" i="16"/>
  <c r="N26" i="16"/>
  <c r="N25" i="16"/>
  <c r="N24" i="16"/>
  <c r="N46" i="16" l="1"/>
  <c r="N33" i="16"/>
  <c r="M20" i="16"/>
  <c r="L20" i="16"/>
  <c r="N19" i="16"/>
  <c r="N18" i="16"/>
  <c r="N17" i="16"/>
  <c r="N16" i="16"/>
  <c r="N15" i="16"/>
  <c r="N14" i="16"/>
  <c r="M10" i="16"/>
  <c r="L10" i="16"/>
  <c r="N9" i="16"/>
  <c r="N8" i="16"/>
  <c r="N7" i="16"/>
  <c r="N6" i="16"/>
  <c r="N5" i="16"/>
  <c r="N4" i="16"/>
  <c r="N20" i="16" l="1"/>
  <c r="N10" i="16"/>
  <c r="O86" i="12" l="1"/>
  <c r="P86" i="12" s="1"/>
  <c r="O89" i="12"/>
  <c r="N89" i="12"/>
  <c r="P88" i="12"/>
  <c r="P87" i="12"/>
  <c r="P85" i="12"/>
  <c r="N81" i="12"/>
  <c r="P81" i="12" s="1"/>
  <c r="P80" i="12"/>
  <c r="P79" i="12"/>
  <c r="P78" i="12"/>
  <c r="O77" i="12"/>
  <c r="O81" i="12" s="1"/>
  <c r="O73" i="12"/>
  <c r="N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O50" i="12"/>
  <c r="N50" i="12"/>
  <c r="P49" i="12"/>
  <c r="P48" i="12"/>
  <c r="P47" i="12"/>
  <c r="P46" i="12"/>
  <c r="P45" i="12"/>
  <c r="P44" i="12"/>
  <c r="P43" i="12"/>
  <c r="P42" i="12"/>
  <c r="P41" i="12"/>
  <c r="O37" i="12"/>
  <c r="N37" i="12"/>
  <c r="P37" i="12" s="1"/>
  <c r="P36" i="12"/>
  <c r="P35" i="12"/>
  <c r="P34" i="12"/>
  <c r="P29" i="12"/>
  <c r="P28" i="12"/>
  <c r="N24" i="12"/>
  <c r="P23" i="12"/>
  <c r="P22" i="12"/>
  <c r="P21" i="12"/>
  <c r="P20" i="12"/>
  <c r="P19" i="12"/>
  <c r="P18" i="12"/>
  <c r="O18" i="12"/>
  <c r="O17" i="12"/>
  <c r="P17" i="12" s="1"/>
  <c r="P16" i="12"/>
  <c r="O24" i="12"/>
  <c r="N12" i="12"/>
  <c r="P12" i="12" s="1"/>
  <c r="P11" i="12"/>
  <c r="P10" i="12"/>
  <c r="P9" i="12"/>
  <c r="P8" i="12"/>
  <c r="P7" i="12"/>
  <c r="O6" i="12"/>
  <c r="P6" i="12" s="1"/>
  <c r="O5" i="12"/>
  <c r="P5" i="12" s="1"/>
  <c r="P4" i="12"/>
  <c r="O12" i="12"/>
  <c r="O1" i="12"/>
  <c r="O77" i="11"/>
  <c r="P50" i="12" l="1"/>
  <c r="P77" i="12"/>
  <c r="O91" i="12"/>
  <c r="N91" i="12"/>
  <c r="P73" i="12"/>
  <c r="P24" i="12"/>
  <c r="P89" i="12"/>
  <c r="P91" i="12" s="1"/>
  <c r="O18" i="11" l="1"/>
  <c r="P18" i="11" s="1"/>
  <c r="O6" i="11"/>
  <c r="P6" i="11" s="1"/>
  <c r="O77" i="9"/>
  <c r="O89" i="11"/>
  <c r="N89" i="11"/>
  <c r="P88" i="11"/>
  <c r="P87" i="11"/>
  <c r="P86" i="11"/>
  <c r="P85" i="11"/>
  <c r="N81" i="11"/>
  <c r="P80" i="11"/>
  <c r="P79" i="11"/>
  <c r="P78" i="11"/>
  <c r="P77" i="11"/>
  <c r="N73" i="11"/>
  <c r="P72" i="11"/>
  <c r="P71" i="11"/>
  <c r="P70" i="11"/>
  <c r="P69" i="11"/>
  <c r="P68" i="11"/>
  <c r="P67" i="11"/>
  <c r="P66" i="11"/>
  <c r="P65" i="11"/>
  <c r="P64" i="11"/>
  <c r="O73" i="11"/>
  <c r="P62" i="11"/>
  <c r="P61" i="11"/>
  <c r="P60" i="11"/>
  <c r="P59" i="11"/>
  <c r="P58" i="11"/>
  <c r="P57" i="11"/>
  <c r="P56" i="11"/>
  <c r="P55" i="11"/>
  <c r="P54" i="11"/>
  <c r="O50" i="11"/>
  <c r="N50" i="11"/>
  <c r="P50" i="11" s="1"/>
  <c r="P49" i="11"/>
  <c r="P48" i="11"/>
  <c r="P47" i="11"/>
  <c r="P46" i="11"/>
  <c r="P45" i="11"/>
  <c r="P44" i="11"/>
  <c r="P43" i="11"/>
  <c r="P42" i="11"/>
  <c r="P41" i="11"/>
  <c r="O37" i="11"/>
  <c r="N37" i="11"/>
  <c r="P37" i="11" s="1"/>
  <c r="P36" i="11"/>
  <c r="P35" i="11"/>
  <c r="P34" i="11"/>
  <c r="P29" i="11"/>
  <c r="P28" i="11"/>
  <c r="N24" i="11"/>
  <c r="P23" i="11"/>
  <c r="P22" i="11"/>
  <c r="P21" i="11"/>
  <c r="P20" i="11"/>
  <c r="P19" i="11"/>
  <c r="O17" i="11"/>
  <c r="P17" i="11" s="1"/>
  <c r="O16" i="11"/>
  <c r="N12" i="11"/>
  <c r="P11" i="11"/>
  <c r="P10" i="11"/>
  <c r="P9" i="11"/>
  <c r="P8" i="11"/>
  <c r="P7" i="11"/>
  <c r="O5" i="11"/>
  <c r="O4" i="11"/>
  <c r="P4" i="11" s="1"/>
  <c r="O1" i="11"/>
  <c r="O1" i="8"/>
  <c r="N91" i="11" l="1"/>
  <c r="O24" i="11"/>
  <c r="P24" i="11" s="1"/>
  <c r="O12" i="11"/>
  <c r="P12" i="11"/>
  <c r="P73" i="11"/>
  <c r="P63" i="11"/>
  <c r="P5" i="11"/>
  <c r="O81" i="11"/>
  <c r="P81" i="11" s="1"/>
  <c r="P89" i="11"/>
  <c r="P16" i="11"/>
  <c r="P77" i="9"/>
  <c r="O17" i="9"/>
  <c r="P17" i="9" s="1"/>
  <c r="O55" i="9"/>
  <c r="O63" i="9"/>
  <c r="P63" i="9" s="1"/>
  <c r="O5" i="9"/>
  <c r="O54" i="9"/>
  <c r="P54" i="9" s="1"/>
  <c r="O89" i="9"/>
  <c r="N89" i="9"/>
  <c r="P88" i="9"/>
  <c r="P87" i="9"/>
  <c r="P86" i="9"/>
  <c r="P85" i="9"/>
  <c r="N81" i="9"/>
  <c r="P80" i="9"/>
  <c r="P79" i="9"/>
  <c r="P78" i="9"/>
  <c r="N73" i="9"/>
  <c r="P72" i="9"/>
  <c r="P71" i="9"/>
  <c r="P70" i="9"/>
  <c r="P69" i="9"/>
  <c r="P68" i="9"/>
  <c r="P67" i="9"/>
  <c r="P66" i="9"/>
  <c r="P65" i="9"/>
  <c r="P64" i="9"/>
  <c r="P62" i="9"/>
  <c r="P61" i="9"/>
  <c r="P60" i="9"/>
  <c r="P59" i="9"/>
  <c r="P58" i="9"/>
  <c r="P57" i="9"/>
  <c r="P56" i="9"/>
  <c r="P55" i="9"/>
  <c r="O50" i="9"/>
  <c r="N50" i="9"/>
  <c r="P50" i="9" s="1"/>
  <c r="P49" i="9"/>
  <c r="P48" i="9"/>
  <c r="P47" i="9"/>
  <c r="P46" i="9"/>
  <c r="P45" i="9"/>
  <c r="P44" i="9"/>
  <c r="P43" i="9"/>
  <c r="P42" i="9"/>
  <c r="P41" i="9"/>
  <c r="O37" i="9"/>
  <c r="N37" i="9"/>
  <c r="P36" i="9"/>
  <c r="P35" i="9"/>
  <c r="P34" i="9"/>
  <c r="P29" i="9"/>
  <c r="P28" i="9"/>
  <c r="N24" i="9"/>
  <c r="P23" i="9"/>
  <c r="P22" i="9"/>
  <c r="P21" i="9"/>
  <c r="P20" i="9"/>
  <c r="P19" i="9"/>
  <c r="P18" i="9"/>
  <c r="O16" i="9"/>
  <c r="P16" i="9" s="1"/>
  <c r="N12" i="9"/>
  <c r="P11" i="9"/>
  <c r="P10" i="9"/>
  <c r="P9" i="9"/>
  <c r="P8" i="9"/>
  <c r="P7" i="9"/>
  <c r="P6" i="9"/>
  <c r="O4" i="9"/>
  <c r="P4" i="9" s="1"/>
  <c r="O1" i="9"/>
  <c r="P61" i="8"/>
  <c r="P60" i="8"/>
  <c r="P59" i="8"/>
  <c r="P58" i="8"/>
  <c r="P57" i="8"/>
  <c r="P56" i="8"/>
  <c r="P55" i="8"/>
  <c r="O16" i="8"/>
  <c r="P22" i="8"/>
  <c r="P21" i="8"/>
  <c r="P20" i="8"/>
  <c r="P19" i="8"/>
  <c r="P18" i="8"/>
  <c r="P17" i="8"/>
  <c r="O4" i="8"/>
  <c r="P37" i="9" l="1"/>
  <c r="O12" i="9"/>
  <c r="O91" i="11"/>
  <c r="P91" i="11"/>
  <c r="O81" i="9"/>
  <c r="P81" i="9" s="1"/>
  <c r="N91" i="9"/>
  <c r="O73" i="9"/>
  <c r="P73" i="9" s="1"/>
  <c r="O24" i="9"/>
  <c r="P24" i="9" s="1"/>
  <c r="P5" i="9"/>
  <c r="P12" i="9"/>
  <c r="P89" i="9"/>
  <c r="O89" i="8"/>
  <c r="N89" i="8"/>
  <c r="P88" i="8"/>
  <c r="P87" i="8"/>
  <c r="P86" i="8"/>
  <c r="P85" i="8"/>
  <c r="O81" i="8"/>
  <c r="N81" i="8"/>
  <c r="P80" i="8"/>
  <c r="P79" i="8"/>
  <c r="P78" i="8"/>
  <c r="P77" i="8"/>
  <c r="O73" i="8"/>
  <c r="N73" i="8"/>
  <c r="P72" i="8"/>
  <c r="P71" i="8"/>
  <c r="P70" i="8"/>
  <c r="P69" i="8"/>
  <c r="P68" i="8"/>
  <c r="P67" i="8"/>
  <c r="P66" i="8"/>
  <c r="P65" i="8"/>
  <c r="P64" i="8"/>
  <c r="P63" i="8"/>
  <c r="P62" i="8"/>
  <c r="P54" i="8"/>
  <c r="O50" i="8"/>
  <c r="N50" i="8"/>
  <c r="P49" i="8"/>
  <c r="P48" i="8"/>
  <c r="P47" i="8"/>
  <c r="P46" i="8"/>
  <c r="P45" i="8"/>
  <c r="P44" i="8"/>
  <c r="P43" i="8"/>
  <c r="P42" i="8"/>
  <c r="P41" i="8"/>
  <c r="O37" i="8"/>
  <c r="N37" i="8"/>
  <c r="P36" i="8"/>
  <c r="P35" i="8"/>
  <c r="P34" i="8"/>
  <c r="P29" i="8"/>
  <c r="P28" i="8"/>
  <c r="O24" i="8"/>
  <c r="N24" i="8"/>
  <c r="P23" i="8"/>
  <c r="P16" i="8"/>
  <c r="O12" i="8"/>
  <c r="N12" i="8"/>
  <c r="P11" i="8"/>
  <c r="P10" i="8"/>
  <c r="P9" i="8"/>
  <c r="P8" i="8"/>
  <c r="P7" i="8"/>
  <c r="P6" i="8"/>
  <c r="P5" i="8"/>
  <c r="P4" i="8"/>
  <c r="P41" i="1"/>
  <c r="P61" i="1"/>
  <c r="P60" i="1"/>
  <c r="P59" i="1"/>
  <c r="P58" i="1"/>
  <c r="P57" i="1"/>
  <c r="P56" i="1"/>
  <c r="P55" i="1"/>
  <c r="P54" i="1"/>
  <c r="P53" i="1"/>
  <c r="P52" i="1"/>
  <c r="P24" i="1"/>
  <c r="P9" i="1"/>
  <c r="P8" i="1"/>
  <c r="P7" i="1"/>
  <c r="P6" i="1"/>
  <c r="P40" i="1"/>
  <c r="P39" i="1"/>
  <c r="P38" i="1"/>
  <c r="P37" i="1"/>
  <c r="P36" i="1"/>
  <c r="O63" i="1"/>
  <c r="N63" i="1"/>
  <c r="P62" i="1"/>
  <c r="P51" i="1"/>
  <c r="P50" i="1"/>
  <c r="P49" i="1"/>
  <c r="O45" i="1"/>
  <c r="N45" i="1"/>
  <c r="P44" i="1"/>
  <c r="P43" i="1"/>
  <c r="P42" i="1"/>
  <c r="O32" i="1"/>
  <c r="N32" i="1"/>
  <c r="P31" i="1"/>
  <c r="P30" i="1"/>
  <c r="P29" i="1"/>
  <c r="P23" i="1"/>
  <c r="P50" i="8" l="1"/>
  <c r="P91" i="9"/>
  <c r="O91" i="9"/>
  <c r="P37" i="8"/>
  <c r="P73" i="8"/>
  <c r="P81" i="8"/>
  <c r="P24" i="8"/>
  <c r="P12" i="8"/>
  <c r="N91" i="8"/>
  <c r="O91" i="8"/>
  <c r="P89" i="8"/>
  <c r="P63" i="1"/>
  <c r="P45" i="1"/>
  <c r="P32" i="1"/>
  <c r="P91" i="8" l="1"/>
  <c r="O79" i="1" l="1"/>
  <c r="N79" i="1"/>
  <c r="O71" i="1"/>
  <c r="N71" i="1"/>
  <c r="O19" i="1"/>
  <c r="N19" i="1"/>
  <c r="O12" i="1"/>
  <c r="N12" i="1"/>
  <c r="P78" i="1"/>
  <c r="P77" i="1"/>
  <c r="P76" i="1"/>
  <c r="P75" i="1"/>
  <c r="P70" i="1"/>
  <c r="P69" i="1"/>
  <c r="P68" i="1"/>
  <c r="P67" i="1"/>
  <c r="P18" i="1"/>
  <c r="P17" i="1"/>
  <c r="P16" i="1"/>
  <c r="P5" i="1"/>
  <c r="P10" i="1"/>
  <c r="P11" i="1"/>
  <c r="P4" i="1"/>
  <c r="N81" i="1" l="1"/>
  <c r="O81" i="1"/>
  <c r="P79" i="1"/>
  <c r="P19" i="1"/>
  <c r="P71" i="1"/>
  <c r="P12" i="1"/>
  <c r="P81" i="1" s="1"/>
</calcChain>
</file>

<file path=xl/comments1.xml><?xml version="1.0" encoding="utf-8"?>
<comments xmlns="http://schemas.openxmlformats.org/spreadsheetml/2006/main">
  <authors>
    <author>Author</author>
  </authors>
  <commentList>
    <comment ref="F5" authorId="0" shapeId="0">
      <text>
        <r>
          <rPr>
            <b/>
            <sz val="36"/>
            <color indexed="81"/>
            <rFont val="Tahoma"/>
            <family val="2"/>
            <charset val="162"/>
          </rPr>
          <t>Author:</t>
        </r>
        <r>
          <rPr>
            <sz val="36"/>
            <color indexed="81"/>
            <rFont val="Tahoma"/>
            <family val="2"/>
            <charset val="162"/>
          </rPr>
          <t xml:space="preserve">
DİK TABAN
</t>
        </r>
      </text>
    </comment>
    <comment ref="G5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140MM KAPSÜL PUL ÇAPI
</t>
        </r>
      </text>
    </comment>
    <comment ref="H5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0,60 MM KALINLIK
</t>
        </r>
      </text>
    </comment>
    <comment ref="I5" authorId="0" shapeId="0">
      <text>
        <r>
          <rPr>
            <b/>
            <sz val="36"/>
            <color indexed="81"/>
            <rFont val="Tahoma"/>
            <family val="2"/>
            <charset val="162"/>
          </rPr>
          <t>111 ÇAP</t>
        </r>
      </text>
    </comment>
    <comment ref="J5" authorId="0" shapeId="0">
      <text>
        <r>
          <rPr>
            <b/>
            <sz val="36"/>
            <color indexed="81"/>
            <rFont val="Tahoma"/>
            <family val="2"/>
            <charset val="162"/>
          </rPr>
          <t>ALÜMİNYUM KALINLIK 4 MM</t>
        </r>
      </text>
    </comment>
    <comment ref="F6" authorId="0" shapeId="0">
      <text>
        <r>
          <rPr>
            <b/>
            <sz val="36"/>
            <color indexed="81"/>
            <rFont val="Tahoma"/>
            <family val="2"/>
            <charset val="162"/>
          </rPr>
          <t>Author:</t>
        </r>
        <r>
          <rPr>
            <sz val="36"/>
            <color indexed="81"/>
            <rFont val="Tahoma"/>
            <family val="2"/>
            <charset val="162"/>
          </rPr>
          <t xml:space="preserve">
DİK TABAN
</t>
        </r>
      </text>
    </comment>
    <comment ref="G6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140MM KAPSÜL PUL ÇAPI
</t>
        </r>
      </text>
    </comment>
    <comment ref="H6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0,60 MM KALINLIK
</t>
        </r>
      </text>
    </comment>
    <comment ref="I6" authorId="0" shapeId="0">
      <text>
        <r>
          <rPr>
            <b/>
            <sz val="36"/>
            <color indexed="81"/>
            <rFont val="Tahoma"/>
            <family val="2"/>
            <charset val="162"/>
          </rPr>
          <t>111 ÇAP</t>
        </r>
      </text>
    </comment>
    <comment ref="J6" authorId="0" shapeId="0">
      <text>
        <r>
          <rPr>
            <b/>
            <sz val="36"/>
            <color indexed="81"/>
            <rFont val="Tahoma"/>
            <family val="2"/>
            <charset val="162"/>
          </rPr>
          <t>ALÜMİNYUM KALINLIK 4 MM</t>
        </r>
      </text>
    </comment>
    <comment ref="F7" authorId="0" shapeId="0">
      <text>
        <r>
          <rPr>
            <b/>
            <sz val="36"/>
            <color indexed="81"/>
            <rFont val="Tahoma"/>
            <family val="2"/>
            <charset val="162"/>
          </rPr>
          <t>Author:</t>
        </r>
        <r>
          <rPr>
            <sz val="36"/>
            <color indexed="81"/>
            <rFont val="Tahoma"/>
            <family val="2"/>
            <charset val="162"/>
          </rPr>
          <t xml:space="preserve">
DİK TABAN
</t>
        </r>
      </text>
    </comment>
    <comment ref="G7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140MM KAPSÜL PUL ÇAPI
</t>
        </r>
      </text>
    </comment>
    <comment ref="H7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0,60 MM KALINLIK
</t>
        </r>
      </text>
    </comment>
    <comment ref="I7" authorId="0" shapeId="0">
      <text>
        <r>
          <rPr>
            <b/>
            <sz val="36"/>
            <color indexed="81"/>
            <rFont val="Tahoma"/>
            <family val="2"/>
            <charset val="162"/>
          </rPr>
          <t>111 ÇAP</t>
        </r>
      </text>
    </comment>
    <comment ref="J7" authorId="0" shapeId="0">
      <text>
        <r>
          <rPr>
            <b/>
            <sz val="36"/>
            <color indexed="81"/>
            <rFont val="Tahoma"/>
            <family val="2"/>
            <charset val="162"/>
          </rPr>
          <t>ALÜMİNYUM KALINLIK 4 MM</t>
        </r>
      </text>
    </comment>
    <comment ref="F8" authorId="0" shapeId="0">
      <text>
        <r>
          <rPr>
            <b/>
            <sz val="36"/>
            <color indexed="81"/>
            <rFont val="Tahoma"/>
            <family val="2"/>
            <charset val="162"/>
          </rPr>
          <t>Author:</t>
        </r>
        <r>
          <rPr>
            <sz val="36"/>
            <color indexed="81"/>
            <rFont val="Tahoma"/>
            <family val="2"/>
            <charset val="162"/>
          </rPr>
          <t xml:space="preserve">
DİK TABAN
</t>
        </r>
      </text>
    </comment>
    <comment ref="G8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140MM KAPSÜL PUL ÇAPI
</t>
        </r>
      </text>
    </comment>
    <comment ref="H8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0,60 MM KALINLIK
</t>
        </r>
      </text>
    </comment>
    <comment ref="I8" authorId="0" shapeId="0">
      <text>
        <r>
          <rPr>
            <b/>
            <sz val="36"/>
            <color indexed="81"/>
            <rFont val="Tahoma"/>
            <family val="2"/>
            <charset val="162"/>
          </rPr>
          <t>111 ÇAP</t>
        </r>
      </text>
    </comment>
    <comment ref="J8" authorId="0" shapeId="0">
      <text>
        <r>
          <rPr>
            <b/>
            <sz val="36"/>
            <color indexed="81"/>
            <rFont val="Tahoma"/>
            <family val="2"/>
            <charset val="162"/>
          </rPr>
          <t>ALÜMİNYUM KALINLIK 4 MM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L4" authorId="0" shapeId="0">
      <text>
        <r>
          <rPr>
            <sz val="48"/>
            <color indexed="81"/>
            <rFont val="Tahoma"/>
            <family val="2"/>
            <charset val="162"/>
          </rPr>
          <t xml:space="preserve">FERHAT AKSU:
Pakette 1000 adet stok var.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N4" authorId="0" shapeId="0">
      <text>
        <r>
          <rPr>
            <sz val="36"/>
            <color indexed="81"/>
            <rFont val="Tahoma"/>
            <family val="2"/>
            <charset val="162"/>
          </rPr>
          <t xml:space="preserve">Ferhat Aksu:
elimizde 100 adet olduğu için eksik basıldı.
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E13" authorId="0" shapeId="0">
      <text>
        <r>
          <rPr>
            <b/>
            <sz val="36"/>
            <color indexed="81"/>
            <rFont val="Tahoma"/>
            <family val="2"/>
            <charset val="162"/>
          </rPr>
          <t xml:space="preserve">gümrükleri basıldı.
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I17" authorId="0" shapeId="0">
      <text>
        <r>
          <rPr>
            <b/>
            <sz val="36"/>
            <color indexed="81"/>
            <rFont val="Tahoma"/>
            <family val="2"/>
            <charset val="162"/>
          </rPr>
          <t>FERHAT AKSU: STOKTA OLAN KAPAKLAR DÜŞÜRÜLDÜ.</t>
        </r>
      </text>
    </comment>
  </commentList>
</comments>
</file>

<file path=xl/sharedStrings.xml><?xml version="1.0" encoding="utf-8"?>
<sst xmlns="http://schemas.openxmlformats.org/spreadsheetml/2006/main" count="11351" uniqueCount="381">
  <si>
    <t>Takip No</t>
  </si>
  <si>
    <t>Ürün Adı</t>
  </si>
  <si>
    <t>Pul</t>
  </si>
  <si>
    <t>Dudak</t>
  </si>
  <si>
    <t>Saten</t>
  </si>
  <si>
    <t>Üretim</t>
  </si>
  <si>
    <t>Kalan</t>
  </si>
  <si>
    <t>Miktar</t>
  </si>
  <si>
    <t>Kapsül</t>
  </si>
  <si>
    <t>Kalite</t>
  </si>
  <si>
    <t>Kapsül 
Kalınlık</t>
  </si>
  <si>
    <t>Gövde Kalınlık</t>
  </si>
  <si>
    <t>Alüminyum
Çap</t>
  </si>
  <si>
    <t>Alüminyum Kalınlık</t>
  </si>
  <si>
    <t>Taban</t>
  </si>
  <si>
    <t>PRES-4 (ÇAYDANLIK KAPAK)</t>
  </si>
  <si>
    <t>TARİH :</t>
  </si>
  <si>
    <t>GENEL TOPLAM :</t>
  </si>
  <si>
    <t>PRES-6</t>
  </si>
  <si>
    <t>PRES-8</t>
  </si>
  <si>
    <t>PRES-5</t>
  </si>
  <si>
    <t>PRES-3</t>
  </si>
  <si>
    <t>PRES- ÇAYDANLIK OTOMASYON</t>
  </si>
  <si>
    <t>HELVANE</t>
  </si>
  <si>
    <t>**</t>
  </si>
  <si>
    <t>YONCA Ø22 8 LT DÜDÜKLÜ 1.EL</t>
  </si>
  <si>
    <t>OSCAR Ø22 8 LT DÜDÜKLÜ 1.EL</t>
  </si>
  <si>
    <t>Kapak</t>
  </si>
  <si>
    <t>Düdüklü + T Tipi</t>
  </si>
  <si>
    <t>PRES-7</t>
  </si>
  <si>
    <t>YONCA Ø22 8 LT DÜDÜKLÜ 2.EL</t>
  </si>
  <si>
    <t>OSCAR Ø22 8 LT DÜDÜKLÜ 2.EL</t>
  </si>
  <si>
    <t>YONCA Ø22 10 LT DÜDÜKLÜ 1.EL</t>
  </si>
  <si>
    <t>OSCAR Ø22 10 LT DÜDÜKLÜ 1.EL</t>
  </si>
  <si>
    <t>YONCA Ø22 10 LT DÜDÜKLÜ 2.EL</t>
  </si>
  <si>
    <t>OSCAR Ø22 10 LT DÜDÜKLÜ 2.EL</t>
  </si>
  <si>
    <t>MAKİNA REVİZYONDA</t>
  </si>
  <si>
    <t>D</t>
  </si>
  <si>
    <t>KAPASKIZ</t>
  </si>
  <si>
    <t>KISA DUDAK</t>
  </si>
  <si>
    <t>T TİPİ CAM</t>
  </si>
  <si>
    <t>YONCA 18 TENCERE 6 PCS</t>
  </si>
  <si>
    <t>DİK</t>
  </si>
  <si>
    <t>ARA KAPAKLI</t>
  </si>
  <si>
    <t>ÇAYDANLIK</t>
  </si>
  <si>
    <t>YONCA JUMBO DAMLA ÇAYDANLIK 1,EL</t>
  </si>
  <si>
    <t>JUMBO DAMLA DEMLİK1,EL</t>
  </si>
  <si>
    <t>METAL KAPAK</t>
  </si>
  <si>
    <t>YONCA JUMBO DAMLA ÇAYDANLIK 2.EL</t>
  </si>
  <si>
    <t>JUMBO DAMLA DEMLİK 2.EL</t>
  </si>
  <si>
    <t>BEST MARK 14 KAÇEROL 5 PCS</t>
  </si>
  <si>
    <t>ERESS 14 KAÇEROL 5 PCS</t>
  </si>
  <si>
    <t>YONCA 14 TENCERE 6 PCS</t>
  </si>
  <si>
    <t>BEST MARK 12 KAÇEROL 5 PCS</t>
  </si>
  <si>
    <t>ERESS 12 KAÇEROL 5 PCS</t>
  </si>
  <si>
    <t>LİNES 1,5 LT MERCAN</t>
  </si>
  <si>
    <t>MERCAN METAL</t>
  </si>
  <si>
    <t>YONCA JUMBO DAMLA ÇAYDANLIK ARA KAPAK</t>
  </si>
  <si>
    <t>ARA KAPAK</t>
  </si>
  <si>
    <t>JUMBO DAMLA DEMLİK KAPAK</t>
  </si>
  <si>
    <t>YONCA JUMBO DAMLA ÇAYDANLIK</t>
  </si>
  <si>
    <t>JUMBO DAMLA DEMLİK</t>
  </si>
  <si>
    <t>h</t>
  </si>
  <si>
    <t>BEST MARK 18 KASEROL 5 PCS</t>
  </si>
  <si>
    <t>ERESS 18 KASEROL 5 PCS</t>
  </si>
  <si>
    <t>JUMBO DAMLA DEMLİK 1.EL</t>
  </si>
  <si>
    <t>32.7</t>
  </si>
  <si>
    <t>ŞAHMERAN SEMAVER ETEK</t>
  </si>
  <si>
    <t>SEMAVER DUDAK</t>
  </si>
  <si>
    <t>TABANSIZ ÇAY KEYFİ ETEK</t>
  </si>
  <si>
    <t>*</t>
  </si>
  <si>
    <t>SOR</t>
  </si>
  <si>
    <t>PRESHANE HAT 1 (PRES-5 VE PRES-6)</t>
  </si>
  <si>
    <t>GEMAK 1 LT KÜRE TEK DEMLİK</t>
  </si>
  <si>
    <t>YOK</t>
  </si>
  <si>
    <t>GEMAK 1,5 LT KÜRE TEK DEMLİK</t>
  </si>
  <si>
    <t>GEMAK 2,0 LT KÜRE TEK DEMLİK</t>
  </si>
  <si>
    <t>TABANSIZ 2 LT KIZARTMALIK</t>
  </si>
  <si>
    <t>TABANSIZ 2 LT KIZARTMALIK TERS KAPAK</t>
  </si>
  <si>
    <t>UZUN</t>
  </si>
  <si>
    <t>TABANSIZ LİNES 1,5 LT SÜTLÜK KORDONLU</t>
  </si>
  <si>
    <t>TABANSIZ</t>
  </si>
  <si>
    <t>TABANSIZ LİNES 1,5 LT SÜTLÜK ALTIN ÇEMBER</t>
  </si>
  <si>
    <t>TABANSIZ LİNES 2,0 LT SÜTLÜK ALTIN ÇEMBER</t>
  </si>
  <si>
    <t>TABANSIZ LİNES 2,0 LT SÜTLÜK KORDONLU</t>
  </si>
  <si>
    <t>BEST MARK 12x7 KASEROLLA</t>
  </si>
  <si>
    <t>KISA</t>
  </si>
  <si>
    <t>ERESS 12x7 KASEROLLA</t>
  </si>
  <si>
    <t>TABANSIZ JUMBO 10 NO BELİNDA DEMLİK</t>
  </si>
  <si>
    <t>10925-1</t>
  </si>
  <si>
    <t>LİNES 7 NO AYPERİ ÇAYDANLIK</t>
  </si>
  <si>
    <t>YONCA AİLE 3,5 NO BELİNDA ÇAYDANLIK</t>
  </si>
  <si>
    <t>TABANSIZ AİLE 3,5NI BELİDA DEMLİK</t>
  </si>
  <si>
    <t>ÇAYDANLIK KAPAK</t>
  </si>
  <si>
    <t>ÖZELLİKLERİ (VİDA BOYU)</t>
  </si>
  <si>
    <t>TABANSIZ 12,5X4 2 LT KIZARTMALIK SÜZEK</t>
  </si>
  <si>
    <t xml:space="preserve">HELVANE, TABANSIZ </t>
  </si>
  <si>
    <t>PRESHANE ÇAYDANLIK KAPAK OTOMASYON</t>
  </si>
  <si>
    <t>PRESHANE ÇAYDANLIK OTOMASYON</t>
  </si>
  <si>
    <t>PRESHANE ÇAYDANLIK</t>
  </si>
  <si>
    <t>PRESHANE HAT 1 (PRES-5 // PRES-6)</t>
  </si>
  <si>
    <t>PRESHANE HAT-2 (PRES-3 // PRES-7 // PRES-8)</t>
  </si>
  <si>
    <t>TABANSIZ AİLE 3,5NO BELİDA DEMLİK</t>
  </si>
  <si>
    <t>BELİNDA JUMBO 10 NO DEMLİK KAPAK</t>
  </si>
  <si>
    <t>BELİNDA MEGA 7 NO ÇAYNDALIK KAPAK</t>
  </si>
  <si>
    <t>BELİNDA MEGA 7 NO DEMLİK KAPAK</t>
  </si>
  <si>
    <t>BELİNDA AİLE 3,5 NO ÇAYNDALIK KAPAK</t>
  </si>
  <si>
    <t>BELİNDA AİLE 3,5 NO DEMLİK KAPAK</t>
  </si>
  <si>
    <t>BELİNDA JUMBO 15,3 10 NO ÇAYNDALIK KAPAK</t>
  </si>
  <si>
    <t>AYPERİ AİLE 7 NO DEMLİK KAPAK</t>
  </si>
  <si>
    <t>AYPERİ AİLE 7 NO ÇAYNDALIK KAPAK</t>
  </si>
  <si>
    <t>AYCAN ORTA 3 NO BUHARLI ARA KAPAK</t>
  </si>
  <si>
    <t>AYCAN ORTA 3 NO DEMLİK KAPAK</t>
  </si>
  <si>
    <t>ARA KAPAK MODELİ SORGULACAK</t>
  </si>
  <si>
    <t>AYCAN AİLE 7 NO BUHARLI ARA KAPAK</t>
  </si>
  <si>
    <t>AYCAN AİLE 7 NO DEMLİK KAPAK</t>
  </si>
  <si>
    <t>AYCAN AİLE 7 NO ÇAYARDANLIK KAPAK</t>
  </si>
  <si>
    <t>YONCA MEGA 7NO BELİNDA ÇAYDANLIK</t>
  </si>
  <si>
    <t>DÜDÜKLÜ LİSTELERİNE BAŞLANACAK</t>
  </si>
  <si>
    <r>
      <t xml:space="preserve">5M*8 </t>
    </r>
    <r>
      <rPr>
        <b/>
        <sz val="40"/>
        <color rgb="FFFF0000"/>
        <rFont val="Calibri"/>
        <family val="2"/>
        <charset val="162"/>
        <scheme val="minor"/>
      </rPr>
      <t>(KAPAK ÇAPI SORLUACAK)</t>
    </r>
  </si>
  <si>
    <t>TABANSIZ MEGA 7NO BELİNDA DEMLİK</t>
  </si>
  <si>
    <t>GENİŞ</t>
  </si>
  <si>
    <t>YONCA ÇAP 22 7 LİTRE DÜDÜKLÜ</t>
  </si>
  <si>
    <t>YONCA ÇAP 22 5 LİTRE DÜDÜKLÜ</t>
  </si>
  <si>
    <t>YONCA ÇAP  9 LİTRE DÜDÜKLÜ</t>
  </si>
  <si>
    <t>YONCA ÇAP 22 9 LİTRE DÜDÜKLÜ</t>
  </si>
  <si>
    <t>100925-1</t>
  </si>
  <si>
    <t>COOKER 10 NO MEGA YILDIZ DEMLİK TBSZ</t>
  </si>
  <si>
    <t>LİNES Ø22 10 LT DÜDÜKLÜ GÜVEÇ (ALTIN KEMERLİ)GÜMRÜK</t>
  </si>
  <si>
    <t>LİNES Ø22 10 LT DÜDÜKLÜ ( KORDON ALTI Z.GÜVEÇ) GÜMRÜK</t>
  </si>
  <si>
    <t>LİNES Ø22 10 LT DÜDÜKLÜ (ALTIN KEMERLİ)</t>
  </si>
  <si>
    <t>LİNES Ø22 10 LT DÜDÜKLÜ  (KORDON ALTI ZIMP. GÜVEÇ)</t>
  </si>
  <si>
    <t>LİNES Ø22 8 LT DÜDÜKLÜ(KORDON ALTI Z. GÜVEÇ)</t>
  </si>
  <si>
    <t>LİNES Ø22 8 LT DÜDÜKLÜ(KORDON ALTI Z. GÜVEÇ) GÜMRÜK</t>
  </si>
  <si>
    <t>LİNES Ø22 8 LT DÜDÜKLÜ (ALTIN KEMERLİ)</t>
  </si>
  <si>
    <t>LİNES Ø22 8 LT DÜDÜKLÜ (ALTIN KEMERLİ) GÜMRÜK</t>
  </si>
  <si>
    <t>250043 TAKİP NOLU DÜDÜKLÜLER ANGOLA BOY OLACAK</t>
  </si>
  <si>
    <t>LİNES Ø24 12 LT DÜDÜKLÜ (KORDON ALTI Z GÜVEÇ)</t>
  </si>
  <si>
    <t>LİNES Ø24 12 LT DÜDÜKLÜ (KORDON ALTI Z GÜVEÇ) GÜMRÜK</t>
  </si>
  <si>
    <t>LİNES Ø24 12 LT DÜDÜKLÜ (ALTIN KEMERLİ)</t>
  </si>
  <si>
    <t>LİNES Ø24 12 LT DÜDÜKLÜ (ALTIN KEMERLİ) GÜMRÜK</t>
  </si>
  <si>
    <t>COOKER 7 NO AİLE YILDIZ ÇAYDANLIK</t>
  </si>
  <si>
    <t>COOKER 10 NO MEGA YILDIZ ÇAYDANLIK</t>
  </si>
  <si>
    <t>TABANSIZ AİLE 3,5NO BELİNDA DEMLİK</t>
  </si>
  <si>
    <t>TABANSIZ 7 NO MEGA BELİNDA DEMLİK</t>
  </si>
  <si>
    <t>010925-1</t>
  </si>
  <si>
    <t>TABANSIZ 7 NO AİLE AYPERİ DEMLİK</t>
  </si>
  <si>
    <t>COOKER 7 NO ORTA AYCAN ÇAYDANLIK</t>
  </si>
  <si>
    <t>COOKER 10 AİLE AYCAN ÇAYDANLIK</t>
  </si>
  <si>
    <t>LİNES 10 AİLE AYCAN ÇAYDANLIK</t>
  </si>
  <si>
    <t>LİNES 3 NO ORTA KÜRE ZEYCAN ÇAYDANLIK</t>
  </si>
  <si>
    <t>COOKER 3 NO ORTA YILDIZ ÇAYDANLIK</t>
  </si>
  <si>
    <t>YONCA BELİNDA MEGA 7 NO ÇAYNDALIK KAPAK</t>
  </si>
  <si>
    <t>LİNES AYPERİ AİLE 7 NO ÇAYNDALIK KAPAK</t>
  </si>
  <si>
    <t>LİNES AYPERİ AİLE 7 NO DEMLİK KAPAK</t>
  </si>
  <si>
    <t>COOKER 7 NO ORTA AYCAN BUHARLI ARA KAPAK</t>
  </si>
  <si>
    <t>TABANSIZ COOKER 7 NO ORTA AYCAN DEMLİK KAPAK</t>
  </si>
  <si>
    <t>COOKER 10 NO AİLE AYCAN BUHARLI ARA KAPAK</t>
  </si>
  <si>
    <t>LİNES 10 NO AİLE AYCAN ÇAYDANLIK KAPAK</t>
  </si>
  <si>
    <t>TABANSIZ LİNES 10 NO AİLE AYCAN DEMLİK KAPAK</t>
  </si>
  <si>
    <t>COOKER 3 NO ORTA YILDIZ BUHARLI ARA KAPAK</t>
  </si>
  <si>
    <t>COOKER 7 NO AİLE YILDIZ BUHARLI ARA KAPAK</t>
  </si>
  <si>
    <t>COOKER 10 NO MEGA YILDIZ BUHARLI ARA KAPAK</t>
  </si>
  <si>
    <t>TABANSIZ 10 NO MEGA YILDIZ DEMLİK KAPAK</t>
  </si>
  <si>
    <t>TABANSIZ 7 AİLE YILDIZ DEMLİK KAPAK</t>
  </si>
  <si>
    <t>TABANSIZ 3 NO ORTA YILDIZ DEMLİK KAPAĞI</t>
  </si>
  <si>
    <t>TABANSIZ 10 NO AİLE AYCAN DEMLİK DEMLİK</t>
  </si>
  <si>
    <t>LİNES 3 NO ORTA KÜRE ZEYCAN ÇAYDANLIK KAPAK</t>
  </si>
  <si>
    <t>TABANSIZ 3 NO ORTA KÜRE ZEYCAN DEMLİK KAPAK</t>
  </si>
  <si>
    <r>
      <t xml:space="preserve">5M*8 </t>
    </r>
    <r>
      <rPr>
        <b/>
        <sz val="40"/>
        <color rgb="FFFF0000"/>
        <rFont val="Calibri"/>
        <family val="2"/>
        <charset val="162"/>
        <scheme val="minor"/>
      </rPr>
      <t>(9,7)</t>
    </r>
  </si>
  <si>
    <t>GEMAK 26x16 OSCAR TENCERE</t>
  </si>
  <si>
    <t>GEMAK 26x16 ZEYCAN MODEL</t>
  </si>
  <si>
    <t>GEMAK 26x16 GÜVEÇ MODEL ÇİFT KORDON ARASI SATEN</t>
  </si>
  <si>
    <t>GEMAK 24x14 OSCAR TENCERE</t>
  </si>
  <si>
    <t>GEMAK 24x14 ZEYCAN MODEL</t>
  </si>
  <si>
    <t>GEMAK 24x14 GÜVEÇ MODEL ÇİFT KORDON ARASI SATEN</t>
  </si>
  <si>
    <t>80 BARDAK ÇAY OTOMATI GÖVDE</t>
  </si>
  <si>
    <t>80 BARDAK ÇAY OTOMATI DEMLİK</t>
  </si>
  <si>
    <t>80 BARDAK ÇAY OTOMATI ETEK</t>
  </si>
  <si>
    <t>80 BARDAK ÇAY OTOMATI KAPAK</t>
  </si>
  <si>
    <t>80 BARDAK ÇAY OTOMATI SÜZEK</t>
  </si>
  <si>
    <t xml:space="preserve">HELVANE </t>
  </si>
  <si>
    <t xml:space="preserve">TEFLON </t>
  </si>
  <si>
    <t>TEFLON 1,70 PİRAMİT DEMLİK KAPAK</t>
  </si>
  <si>
    <t>1,70 PİRAMİT KAPAK</t>
  </si>
  <si>
    <t>GEMAK 20x10 OSCAR TENCERE</t>
  </si>
  <si>
    <t xml:space="preserve">KISA </t>
  </si>
  <si>
    <t>GEMAK 20x11 GÜVEÇ MODEL ÇİFT KORDON ARASI SATEN</t>
  </si>
  <si>
    <t>GEMAK 20x11 ZEYCAN MODEL</t>
  </si>
  <si>
    <t>GEMAK 20x11 OSCAR TENCERE</t>
  </si>
  <si>
    <t>GEMAK 18x10 OSCAR TENCERE</t>
  </si>
  <si>
    <t>GEMAK 18x10 ZEYCAN MODEL</t>
  </si>
  <si>
    <t>GEMAK 18x10 GÜVEÇ MODEL ÇİFT KORDON ARASI SATEN</t>
  </si>
  <si>
    <t>HOMY MARKA 28 KUSKUS ALT TENCERE DÜZ SADE MODEL</t>
  </si>
  <si>
    <t>LİNES 5 NO AİLE NAZ ÇAYDANLIK ÇİZGİLİ SADE</t>
  </si>
  <si>
    <t>LİNES 3 NO ORTA AYPERİ ÇAYDANLIK ÇİZGİLİ SADE</t>
  </si>
  <si>
    <t>LİNES 1,5 LT KÜRE ÇAYDANLIK YARI SATENLİ</t>
  </si>
  <si>
    <t>LİNES 1,5 LT KÜRE ÇAYDANLIK YARI SATENLİ GÜMRÜK</t>
  </si>
  <si>
    <t>LİNES 1 LT KÜRE ÇAYDANLIK YARI SATENLI</t>
  </si>
  <si>
    <t>LİNES 1 LT KÜRE ÇAYDANLIK YARI SATENLI GÜMRÜK</t>
  </si>
  <si>
    <t xml:space="preserve">TABANSIZ 10 NO AİLE AYCAN DEMLİK </t>
  </si>
  <si>
    <t>LİNES 5 NO AİLE NAZ ÇAYDANLIK ARA KAPAK</t>
  </si>
  <si>
    <t>LİNES TABANSIZ 5 NO AİLE DEMLİK KAPAK</t>
  </si>
  <si>
    <t>LİNES 3 NO ORTA AYPERİ ÇAYDANLIK KAPAK</t>
  </si>
  <si>
    <t>LİNES TABANSIZ 3 NO ORTA AYPERİ DEMLİK KAPAK</t>
  </si>
  <si>
    <t>LİNES 18x10 ZEYCAN KÜRE MODEL TENCERE</t>
  </si>
  <si>
    <t>LİNES 20x10 ZEYCAN KÜRE MODEL TENCERE</t>
  </si>
  <si>
    <t>LİNES 20x10 PIRIL MODEL(HALKALI DESEN) TENCERE</t>
  </si>
  <si>
    <t>LİNES 24x14 PIRIL MODEL ( HALKALI TABAN ) TENCERE</t>
  </si>
  <si>
    <t>LİNES 24x14 ZEYCAN KÜRE MODEL TENCERE</t>
  </si>
  <si>
    <t>LİNES 24 BASIK ZEYCAN KÜRE MODEL TENCERE</t>
  </si>
  <si>
    <t>LİNES Ø22 8 LT CLİPSO DÜDÜKLÜ (ANGOLA BOY)</t>
  </si>
  <si>
    <t>DÜDÜKLÜ</t>
  </si>
  <si>
    <t>TABANSIZ Ø28 KUSKUS ÜSTÜ DÜZ SADE MODEL PARLAK</t>
  </si>
  <si>
    <t>TABANSIZ Ø20 KUSKUS ÜSTÜ DÜZ SADE MODEL PARLAK</t>
  </si>
  <si>
    <t>LİNES 18x10 ZEYCAN KÜRE MODEL TENCEERE</t>
  </si>
  <si>
    <t>LİNES 24x14 PIRIL MODEL(HALKALI TABAN) TENCERE GÜVEÇ</t>
  </si>
  <si>
    <t>LİNES Ø24 BASIK ZEYCAN KÜRE MODEL TENCERE</t>
  </si>
  <si>
    <t>LİNES 20x10 PIRIL MODEL(HALKALI TABAN) TENCERE GÜVEÇ</t>
  </si>
  <si>
    <t>LİNES 26x16 PIRIL MODEL( HALKALI TABAN)TENCERE GÜVEÇ</t>
  </si>
  <si>
    <t>LİNES Ø26 BASIK PIRIL MODEL(HALKALI TABAN) TENCERE GÜVEÇ</t>
  </si>
  <si>
    <t>HOMY Ø20 KUSKUS ALTI DÜZ SADE MODEL PARLAK</t>
  </si>
  <si>
    <t>KUSKUS</t>
  </si>
  <si>
    <t>CLİPSO</t>
  </si>
  <si>
    <t>LİNES Ø22 10 LT CLİPSO DÜDÜKLÜ (ANGOLA BOY)</t>
  </si>
  <si>
    <t>LİNES Ø24 12 LT CLİPSO DÜDÜKLÜ (ANGOLA BOY)</t>
  </si>
  <si>
    <t>LİNES 24x14 TENCERE(TEK ÇİZGİ ALTI SATEN GÜVEÇ MODEL) 
+15 GÜMRÜK</t>
  </si>
  <si>
    <t>LİNES 24x7,5 TAVA (TEK ÇİZGİ ALTI SATEN GÜVEÇ MODEL) 
+15 GÜMRÜK</t>
  </si>
  <si>
    <t>LİNES TABANSIZ Ø24 KUSKUS ÜSTÜ TENCERE İLE UYUMLU</t>
  </si>
  <si>
    <t>LİNES 18x10 TENCERE (TEK ÇİZGİ ALTI SATEN GÜVEÇ MODEL)
+15 GÜMRÜK</t>
  </si>
  <si>
    <t>LİNES 32x21 TENCERE (TEK ÇİZGİ ALTI SATEN GÜVEÇ MODEL)
+15 GÜMRÜK</t>
  </si>
  <si>
    <t>LİNES 28x18 TENCERE (TEK ÇİZGİ ALTI SATEN GÜVEÇ MODEL)
+15 GÜMRÜK</t>
  </si>
  <si>
    <t>LİNES 26x8 BASIK TENCERE(TEK ÇİZGİ ALTI SATEN GÜVEÇ MODEL)
+15 GÜMRÜK</t>
  </si>
  <si>
    <t>LİNES 22x12 TENCERE (TEK ÇİZGİ ALTI SATEN GÜVEÇ MODEL)
+15 GÜMRÜK</t>
  </si>
  <si>
    <t xml:space="preserve">LİNES 20x11 TENCERE (TEK ÇİZGİ ALTI SATEN GÜVEÇ MODEL)
+15 GÜMRÜK </t>
  </si>
  <si>
    <t>LİNES 16x9 KASEROLLA (TEK ÇİZGİ ALTI SATEN GÜVEÇ MODEL)</t>
  </si>
  <si>
    <t>LİNES 2 LT SÜTLÜK (TEK ÇİZGİ ALTI SATEN GÜVEÇ MODEL)
+15 ADET GÜMRÜK OLACAK</t>
  </si>
  <si>
    <t>LİNES Ø22 10 LT ANGOLA DÜDÜKLÜ (TEK ÇİZGİ ALTI ZIMPARA 
GÜVEÇ MODEL) + 15 ADET GÜMRÜK OLACAK</t>
  </si>
  <si>
    <t>YONCA JUMBO DAMLA ÇAYDANLIK (SADE PARLAK)</t>
  </si>
  <si>
    <t>YONCA JUMBO DAMLA DEMLİK (SADE PARLAK)</t>
  </si>
  <si>
    <t>YONCA JUMBO BELİNDA ÇAYDANLIK ARA KAPAK</t>
  </si>
  <si>
    <t>5M*8 (KAPAK ÇAPI SORLUACAK)</t>
  </si>
  <si>
    <t>YONCA TABANSIZ JUMBO DEMLİK KAPAK</t>
  </si>
  <si>
    <t>LİNES 1,5 LT KÜRE KAPAK</t>
  </si>
  <si>
    <t>LİNES 2 LT SÜTLÜK KAPAĞI</t>
  </si>
  <si>
    <t>LİNES 1 LT KÜRE KAPAK</t>
  </si>
  <si>
    <t>LİNES TABANSIZ 5 NO AİLE NAZ DEMLİK KAPAK</t>
  </si>
  <si>
    <t>YONCA TABANSIZ JUMBO DAMLA DEMLİK KAPAK</t>
  </si>
  <si>
    <t>LİNES 16 SAHAN - SADE PARLAK</t>
  </si>
  <si>
    <t>LİNES 18 SAHAN - SADDE PARLAK</t>
  </si>
  <si>
    <t>LİNES 20 SAHAN - SADE PARLAK</t>
  </si>
  <si>
    <t>LİNES 22 SAHAN - SADE PARLAK</t>
  </si>
  <si>
    <t>LİNES 22 TAVA - SADE PARLAK</t>
  </si>
  <si>
    <t>LİNES 24 TAVA - SADE PARLAK</t>
  </si>
  <si>
    <t>LİNES 26 TAVA - SADE PARLAK</t>
  </si>
  <si>
    <t>LİNES 28 TAVA - SADE PARLAK</t>
  </si>
  <si>
    <t>ŞAHMERAN SEMAVER GÖVDE</t>
  </si>
  <si>
    <t>ŞAHMERAN SEMAVER DEMLİK KAPAĞI</t>
  </si>
  <si>
    <t>YONCA 2 LT SÜTLÜK ( DÜZ MODEL - TEK ÇİZGİ ALTI SATEN )</t>
  </si>
  <si>
    <t>UZUN V</t>
  </si>
  <si>
    <t>YONCA 2 LT SÜTLÜK ( DÜZ MODEL - TEK ÇİZGİ ALTI SATEN ) GÜMRÜK</t>
  </si>
  <si>
    <t>YONCA 2 LT KÜRE MODEL DEMLİK - SADE PARLAK</t>
  </si>
  <si>
    <t>YONCA 2 LT KÜRE MODEL DEMLİK - SADE PARLAK
GÜMRÜK</t>
  </si>
  <si>
    <t>YONCA 1,5 LT KÜRE MODEL DEMLİK - SADE PARLAK
GÜMRÜK</t>
  </si>
  <si>
    <t>YONCA 1,5 LT KÜRE MODEL DEMLİK - SADE PARLAK</t>
  </si>
  <si>
    <t>YONCA 1 LT KÜRE MODEL DEMLİK - SADE PARLAK</t>
  </si>
  <si>
    <t>YONCA 1 LT KÜRE MODEL DEMLİK - SADE PARLAK
GÜMRÜK</t>
  </si>
  <si>
    <t>151025-2</t>
  </si>
  <si>
    <t>Ø20 60 BARDAK  ÇAY OTOMATI GÖVDE</t>
  </si>
  <si>
    <t>Ø20 60 BARDAK  ÇAY OTOMATI DEMLİK</t>
  </si>
  <si>
    <t>LİNES 1,5 LT KÜRE MODEL DEMLİK - YARI SATENLİ</t>
  </si>
  <si>
    <t>LİNES 1 LT KÜRE MODEL DEMLİK - YARI SATENLİ</t>
  </si>
  <si>
    <t>LİNES 1,5 LT KÜRE MODEL DEMLİK KAPAĞI</t>
  </si>
  <si>
    <t>LİNES 1 LT KÜRE MODEL DEMLİK KAPAĞI</t>
  </si>
  <si>
    <t>YONCA 2 LT KÜRE MODEL DEMLİK KAPAĞI</t>
  </si>
  <si>
    <t>YONCA LT KÜRE MODEL DEMLİK KAPAĞI</t>
  </si>
  <si>
    <t>YONCA 1 LT KÜRE MODEL DEMLİK KAPAĞI</t>
  </si>
  <si>
    <t>YONCA 2 LT SÜTLÜK KAPAĞI</t>
  </si>
  <si>
    <t>Ø20 60 BARDAK  ÇAY OTOMATI ETEK</t>
  </si>
  <si>
    <t>Ø20 60 BARDAK  ÇAY OTOMATI KAPAK</t>
  </si>
  <si>
    <t>YONCA 32x21 TENCERE - TEK ÇİZGİ ALTI SATEN GÜVEÇ MODEL )
15 ADET GÜMRÜK İLE TOPLAM SAYI</t>
  </si>
  <si>
    <t xml:space="preserve">ABM Ø22 6 LT CLİPSO DÜDÜKLÜ </t>
  </si>
  <si>
    <t>LİNES Ø28 KUSKUS TENCERE</t>
  </si>
  <si>
    <t>LİNES Ø28 KUSKUS ÜSTÜ</t>
  </si>
  <si>
    <t>KSIA</t>
  </si>
  <si>
    <t>LİNES 28x18 TENCERE (DÜZ MODEL İNCE KALIN İNCE SATEN)</t>
  </si>
  <si>
    <t>YONCA 24x14 TENCERE (ÇİZGİ ALTI SATEN GÜVEÇ MODEL)
15 ADET GÜMRÜK İLE TOPLAM SAYI</t>
  </si>
  <si>
    <t>LİNES 24x14 TENCERE (İNCE KALIN İNCE SATEN DÜZ MODEL)</t>
  </si>
  <si>
    <t>LİNES Ø24 KUSKUS TENCERE (SADE PARLAK)</t>
  </si>
  <si>
    <t xml:space="preserve">LİNES Ø24 KUSKUS ÜSTÜ </t>
  </si>
  <si>
    <t>YONCA 22x12 TENCERE (ÇİZGİ ALTI SATEN GÜVEÇ MODEL)
15 ADET GÜMRÜK İLE TOPLAM SAYI</t>
  </si>
  <si>
    <t>YONCA 20x11 TENCERE (ÇİZGİ ALTI SATEN GÜVEÇ MODEL)
15 ADET GÜMRÜK İLE TOPLAM SAYI</t>
  </si>
  <si>
    <t>LİNES 20x11 TENCERE (İNCE KALIN İNCE SATEN DÜZ MODEL)</t>
  </si>
  <si>
    <t>LİNES Ø20 KUSKUS TENCERE (SADE PARLAK)</t>
  </si>
  <si>
    <t>LİNES Ø20 KUSKUS ÜSTÜ</t>
  </si>
  <si>
    <t>YONCA 18x10 TENCERE ( ÇİZGİ ALTI SATEN GÜVEÇ MODEL)
15 ADET GÜMRÜK İLE TOPLAM SAYI</t>
  </si>
  <si>
    <t>ABM Ø22 KUSKUS ÜSTÜ (DÜDÜKLÜ İÇİN)</t>
  </si>
  <si>
    <t>YONCA 1,5 LT KÜRE MODEL DEMLİK KAPAĞI</t>
  </si>
  <si>
    <t>LİNES 22x12 TENCERE - ZEYCAN MODEL</t>
  </si>
  <si>
    <t>LİNES 18x10 TENCERE - ZEYCAN MODEL</t>
  </si>
  <si>
    <t>151025-1</t>
  </si>
  <si>
    <t>LİNES 24x14 TENCERE - ZEYCAN MODEL</t>
  </si>
  <si>
    <t>LİNES 26x9 BASIK TENCERE - ZEYCAN MODEL</t>
  </si>
  <si>
    <t>LİNES 16x9 TENCERE - ZEYCAN MODEL</t>
  </si>
  <si>
    <t xml:space="preserve">LİNES 14x8 TENCERE - ZEYCAN MODEL </t>
  </si>
  <si>
    <t>YONCA 32x21 TENCERE - DÜZ MODEL -İNCE KALIN İNCE SATEN</t>
  </si>
  <si>
    <t>YONCA 40x28 TENCERE - DÜZ MODEL -İNCE KALIN İNCE SATEN</t>
  </si>
  <si>
    <t>YONCA 36x24 TENCERE - DÜZ MODEL -İNCE KALIN İNCE SATEN</t>
  </si>
  <si>
    <t>LİNES 30x20 TENCERE - DÜZ MODEL - TEK ÇİZGİ ALTI SATEN İNCİ MODEL</t>
  </si>
  <si>
    <t>LİNES 32x21 TENCERE - DÜZ MODEL - TEK ÇİZGİ ALTI SATEN - İNCİ MODEL</t>
  </si>
  <si>
    <t xml:space="preserve">LİNES 26x16 TENCERE - DÜZ MODEL - TEK ÇİZGİ ALTI SATEN - İNCİ MODEL </t>
  </si>
  <si>
    <t>LİNES 24x14 TENCERE - DÜZ MODEL - TEK ÇİZGİ ALTI SATEN - İNCİ MODEL</t>
  </si>
  <si>
    <t>YONCA 34x23 TENCERE - DÜZ MODEL - ÇİFT KORDON ARASI SATEN</t>
  </si>
  <si>
    <t>YONCA 34x23 TENCERE - DÜZ MODEL - ÇİFT KORDON ARASI SATEN GÜMRÜK</t>
  </si>
  <si>
    <t>YONCA 24x14 TENCERE - DÜZ MODEL - ÇİFT KORDON ARASI SATEN</t>
  </si>
  <si>
    <t>YONCA 22x12 TENCERE - DÜZ MODEL - ÇİFT KORDON ARASI SATEN</t>
  </si>
  <si>
    <t>YONCA 22x12 TENCERE - DÜZ MODEL - ÇİFT KORDON ARASI SATEN GÜMRÜK</t>
  </si>
  <si>
    <t>YONCA 20x11 TENCERE - DÜZ MODEL - ÇİFT KORDON ARASI SATEN</t>
  </si>
  <si>
    <t>YONCA 20x11 TENCERE - DÜZ MODEL - ÇİFT KORDON ARASI SATEN GÜMRÜK</t>
  </si>
  <si>
    <t xml:space="preserve">YONCA 18x10 TENCERE - DÜZ MODEL - ÇİFT KORDON ARASI SATEN </t>
  </si>
  <si>
    <t>YONCA 18x10 TENCERE - DÜZ MODEL - ÇİFT KORDON ARASI SATEN  GÜMRÜK</t>
  </si>
  <si>
    <t>YONCA 24x14 TENCERE - DÜZ MODEL - ÇİFT KORDON ARASI SATEN GÜMRÜK</t>
  </si>
  <si>
    <t xml:space="preserve"> </t>
  </si>
  <si>
    <t xml:space="preserve">LİNES Ø22 6 LT CLİPSO DÜDÜKLÜ </t>
  </si>
  <si>
    <t>LİNES 2 NO AYPERİ MODEL ÇAYDANLIK - ÇİZGİLİ SADE</t>
  </si>
  <si>
    <t>LİNES 3 NO ORTA BOY NAZ MODEL ÇAYDANLIK 
- ÇİZGİLİ SADE</t>
  </si>
  <si>
    <t>LİNES 5 NO AİLE BOY NAZ MODEL ÇAYDANLIK 
- ALTIN KEMERLİ</t>
  </si>
  <si>
    <t>OTOMASYON HATTINI ÇALIŞTIRACAK LİSTE YOKTUR.</t>
  </si>
  <si>
    <t>5*8MM</t>
  </si>
  <si>
    <t>LİNES 2 NO AYPERİ MODEL ÇAYDANLIK - BOMBELİ KAPAK</t>
  </si>
  <si>
    <t>LİNES 2 NO AYPERİ MODEL DEMLİK - BOMBELİ KAPAK</t>
  </si>
  <si>
    <t>LİNES 3 NO ORTA BOY NAZ ÇAYDANLIK ARA KAPAK</t>
  </si>
  <si>
    <t>LİNES 3 NO ORTA BOY NAZ DEMLİK KAPAĞI</t>
  </si>
  <si>
    <t>PRESHANE HAT-2 (PRES-3 // PRES-7)</t>
  </si>
  <si>
    <t>LİNES 2 LT (14x14) SÜTLÜK - WELDONE MODEL</t>
  </si>
  <si>
    <t>UZUN-V</t>
  </si>
  <si>
    <t>LİNES 2 LT (14x14) SÜTLÜK - WELDONE MODEL GÜMRÜK</t>
  </si>
  <si>
    <t>1MM</t>
  </si>
  <si>
    <t>SÜTLÜK</t>
  </si>
  <si>
    <t>LİNES 2 LT (14x14) SÜTLÜK - ALTIN KEMERLİ</t>
  </si>
  <si>
    <t>LİNES 2 LT (14x14) SÜTLÜK - ALTIN KEMERLİ GÜMRÜK</t>
  </si>
  <si>
    <t xml:space="preserve">LİNES 2 LT (14x14) SÜTLÜK - KORKMAZ MODEL </t>
  </si>
  <si>
    <t>LİNES 2 LT (14x14) SÜTLÜK - KORKMAZ MODEL GÜMRÜK</t>
  </si>
  <si>
    <t>LİNES 16x9 KASEROLLA - KORKMAZ MODEL</t>
  </si>
  <si>
    <t>LİNES 16x9 KASEROLLA - KORKMAZ MODEL - GÜMRÜK</t>
  </si>
  <si>
    <t>LİNES 24x14 TENCERE - WELDONE MODEL</t>
  </si>
  <si>
    <t>LİNES 24x14 TENCERE - WELDONE MODEL - GÜMRÜK</t>
  </si>
  <si>
    <t>LİNES 24x7 TAVA - WELDONE MODEL</t>
  </si>
  <si>
    <t>LİNES 24x7 TAVA - WELDONE MODEL - GÜMRÜK</t>
  </si>
  <si>
    <t xml:space="preserve">LİNES 24x5 TAVA - ALTIN KEMERLİ </t>
  </si>
  <si>
    <t>LİNES 24x14 TENCERE - ALTIN KEMERLİ</t>
  </si>
  <si>
    <t>LİNES 24x14 TENCERE - ALTIN KEMERLİ - GÜMRÜK</t>
  </si>
  <si>
    <t xml:space="preserve">LİNES 24x14 TENCERE - KORKMAZ MODEL </t>
  </si>
  <si>
    <t>LİNES 24x5 TAVA - ALTIN KEMERLİ - GÜMRÜK</t>
  </si>
  <si>
    <t xml:space="preserve">1MM </t>
  </si>
  <si>
    <t>LİNES 24x14 TENCERE - KORKMAZ MODEL - GÜMRÜK</t>
  </si>
  <si>
    <t xml:space="preserve">LİNES 24x5 TAVA - KORKMAZ MODEL </t>
  </si>
  <si>
    <t>LİNES 24x5 TAVA - KORKMAZ MODEL - GÜMRÜK</t>
  </si>
  <si>
    <t>LİNES 28x18 TENCERE - WELDONE MODEL</t>
  </si>
  <si>
    <t>LİNES 28x18 TENCERE - WELDONE MODEL- GÜMRÜK</t>
  </si>
  <si>
    <t>LİNES 28x18 TENCERE - ALTIN KEMERLİ</t>
  </si>
  <si>
    <t>LİNES 28x18 TENCERE - ALTIN KEMERLİ - GÜMRÜK</t>
  </si>
  <si>
    <t>LİNES 20x11 TENCERE - WELDONE MODEL</t>
  </si>
  <si>
    <t xml:space="preserve">LİNES 20x11 TENCERE - WELDONE MODEL - GÜMRÜK </t>
  </si>
  <si>
    <t xml:space="preserve">LİNES 20x11 TENCERE - KORKMAZ MODEL </t>
  </si>
  <si>
    <t>LİNES 20x11 TENCERE - KORKMAZ MODEL  - GÜMRÜK</t>
  </si>
  <si>
    <t xml:space="preserve">LİNES 20x11 TENCERE - ALTIN KEMERLİ - GÜMRÜK </t>
  </si>
  <si>
    <t>LİNES 20x11 TENCERE - ALTIN KEMERLİ</t>
  </si>
  <si>
    <t xml:space="preserve">LİNES 18x10 TENCERE - WELDONE MODEL </t>
  </si>
  <si>
    <t>LİNES 18x10 TENCERE - WELDONE MODEL - GÜMRÜK</t>
  </si>
  <si>
    <t>LİNES 18x10 TENCERE - ALTIN KEMERLİ</t>
  </si>
  <si>
    <t xml:space="preserve">LİNES 18x10 TENCERE - ALTIN KEMERLİ - GÜMRÜK </t>
  </si>
  <si>
    <t>LİNES 18x10 TENCERE - KORKMAZ MODEL</t>
  </si>
  <si>
    <t>LİNES 18x10 TENCERE - KORKMAZ MODEL - GÜMRÜK</t>
  </si>
  <si>
    <t>LİNES 26x9 BASIK TENCERE - KORKMAZ MODEL</t>
  </si>
  <si>
    <t>LİNES 26x9 BASIK TENCERE - KORKMAZ MODEL - GÜMRÜK</t>
  </si>
  <si>
    <t>LİNES 30x20 TENCERE - KORKMAZ MODEL</t>
  </si>
  <si>
    <t>LİNES 30x20 TENCERE - KORKMAZ MODEL - GÜMRÜK</t>
  </si>
  <si>
    <t>1 LT NAZ ÇAYDANLIK - ALTIN KEMERLİ - SADE DÜZ MODEL - 13 PCS</t>
  </si>
  <si>
    <t>LİNES 1 LT NAZ ÇAYDANLIK KAPAĞI - 13 PCS</t>
  </si>
  <si>
    <t>LİNES 24x14 TENCERE - İNCE KALIN İNCE SATEN - DÜZ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</si>
</sst>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b/>
      <sz val="30"/>
      <color theme="1"/>
      <name val="Calibri"/>
      <family val="2"/>
      <charset val="16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30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sz val="36"/>
      <color theme="1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36"/>
      <color indexed="81"/>
      <name val="Tahoma"/>
      <family val="2"/>
      <charset val="162"/>
    </font>
    <font>
      <sz val="36"/>
      <color indexed="81"/>
      <name val="Tahoma"/>
      <family val="2"/>
      <charset val="162"/>
    </font>
    <font>
      <b/>
      <sz val="36"/>
      <name val="Calibri"/>
      <family val="2"/>
      <charset val="162"/>
      <scheme val="minor"/>
    </font>
    <font>
      <b/>
      <sz val="40"/>
      <color theme="1"/>
      <name val="Calibri"/>
      <family val="2"/>
      <scheme val="minor"/>
    </font>
    <font>
      <b/>
      <sz val="40"/>
      <color theme="1"/>
      <name val="Calibri"/>
      <family val="2"/>
      <charset val="162"/>
      <scheme val="minor"/>
    </font>
    <font>
      <b/>
      <sz val="40"/>
      <color rgb="FFFF0000"/>
      <name val="Calibri"/>
      <family val="2"/>
      <charset val="162"/>
      <scheme val="minor"/>
    </font>
    <font>
      <sz val="40"/>
      <color theme="1"/>
      <name val="Calibri"/>
      <family val="2"/>
      <charset val="162"/>
      <scheme val="minor"/>
    </font>
    <font>
      <b/>
      <sz val="40"/>
      <name val="Calibri"/>
      <family val="2"/>
      <charset val="162"/>
      <scheme val="minor"/>
    </font>
    <font>
      <b/>
      <sz val="38"/>
      <color theme="1"/>
      <name val="Calibri"/>
      <family val="2"/>
      <charset val="162"/>
      <scheme val="minor"/>
    </font>
    <font>
      <sz val="38"/>
      <color theme="1"/>
      <name val="Calibri"/>
      <family val="2"/>
      <charset val="162"/>
      <scheme val="minor"/>
    </font>
    <font>
      <b/>
      <sz val="40"/>
      <color rgb="FF002060"/>
      <name val="Calibri"/>
      <family val="2"/>
      <charset val="162"/>
      <scheme val="minor"/>
    </font>
    <font>
      <sz val="48"/>
      <color indexed="81"/>
      <name val="Tahoma"/>
      <family val="2"/>
      <charset val="162"/>
    </font>
    <font>
      <sz val="9"/>
      <color indexed="81"/>
      <name val="Tahoma"/>
      <charset val="1"/>
    </font>
    <font>
      <b/>
      <sz val="28"/>
      <color theme="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2" fillId="0" borderId="0" xfId="0" applyFont="1"/>
    <xf numFmtId="0" fontId="2" fillId="0" borderId="0" xfId="0" applyFont="1" applyBorder="1" applyAlignment="1">
      <alignment horizontal="center"/>
    </xf>
    <xf numFmtId="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3" fontId="4" fillId="0" borderId="0" xfId="0" applyNumberFormat="1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6" fillId="0" borderId="7" xfId="0" applyFont="1" applyBorder="1" applyAlignment="1">
      <alignment horizontal="center"/>
    </xf>
    <xf numFmtId="4" fontId="6" fillId="0" borderId="7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3" borderId="0" xfId="0" applyFont="1" applyFill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horizontal="center" vertical="center"/>
    </xf>
    <xf numFmtId="4" fontId="14" fillId="0" borderId="7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3" fontId="16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4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3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4" fontId="21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left" vertical="center"/>
    </xf>
    <xf numFmtId="3" fontId="2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11" fillId="0" borderId="0" xfId="0" applyFont="1" applyAlignment="1"/>
    <xf numFmtId="0" fontId="23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4" fillId="0" borderId="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0" borderId="2" xfId="0" applyFont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3" fontId="21" fillId="3" borderId="1" xfId="0" applyNumberFormat="1" applyFont="1" applyFill="1" applyBorder="1" applyAlignment="1">
      <alignment horizontal="center" vertical="center"/>
    </xf>
    <xf numFmtId="3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 wrapText="1"/>
    </xf>
    <xf numFmtId="0" fontId="21" fillId="4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4" fontId="21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 wrapText="1"/>
    </xf>
    <xf numFmtId="0" fontId="22" fillId="3" borderId="1" xfId="0" applyFont="1" applyFill="1" applyBorder="1" applyAlignment="1">
      <alignment horizontal="center" vertical="center"/>
    </xf>
    <xf numFmtId="4" fontId="21" fillId="0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164" fontId="20" fillId="0" borderId="5" xfId="0" applyNumberFormat="1" applyFont="1" applyBorder="1" applyAlignment="1">
      <alignment horizontal="left"/>
    </xf>
    <xf numFmtId="0" fontId="21" fillId="2" borderId="2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164" fontId="12" fillId="0" borderId="5" xfId="0" applyNumberFormat="1" applyFont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2665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18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241459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18633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241459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18633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241459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18633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241459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18633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1</xdr:col>
      <xdr:colOff>241459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186339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1203030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20303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</xdr:rowOff>
    </xdr:from>
    <xdr:to>
      <xdr:col>0</xdr:col>
      <xdr:colOff>1203030</xdr:colOff>
      <xdr:row>0</xdr:row>
      <xdr:rowOff>365760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"/>
          <a:ext cx="120303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290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85325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2665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818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259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498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39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683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39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683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39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683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39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7331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39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683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08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08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08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08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8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269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8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269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08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08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8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5269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8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525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8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525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4417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082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56525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87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970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873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482600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8328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3144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3510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71120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0</xdr:row>
      <xdr:rowOff>210820</xdr:rowOff>
    </xdr:from>
    <xdr:to>
      <xdr:col>2</xdr:col>
      <xdr:colOff>25400</xdr:colOff>
      <xdr:row>0</xdr:row>
      <xdr:rowOff>1231628</xdr:rowOff>
    </xdr:to>
    <xdr:pic>
      <xdr:nvPicPr>
        <xdr:cNvPr id="2" name="Resim 1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200" y="210820"/>
          <a:ext cx="3390900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330200</xdr:colOff>
      <xdr:row>0</xdr:row>
      <xdr:rowOff>210820</xdr:rowOff>
    </xdr:from>
    <xdr:ext cx="3438525" cy="1020808"/>
    <xdr:pic>
      <xdr:nvPicPr>
        <xdr:cNvPr id="3" name="Resim 2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9626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330200</xdr:colOff>
      <xdr:row>0</xdr:row>
      <xdr:rowOff>210820</xdr:rowOff>
    </xdr:from>
    <xdr:ext cx="3438525" cy="1020808"/>
    <xdr:pic>
      <xdr:nvPicPr>
        <xdr:cNvPr id="4" name="Resim 3" descr="C:\Users\LNV\Desktop\LİNES LOGO 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99920" y="210820"/>
          <a:ext cx="3438525" cy="1020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2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4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"/>
  <sheetViews>
    <sheetView topLeftCell="A7" zoomScale="25" zoomScaleNormal="25" workbookViewId="0">
      <selection activeCell="N18" sqref="L18:N18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45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9" width="40.109375" style="2" bestFit="1" customWidth="1"/>
    <col min="10" max="10" width="37.88671875" style="2" customWidth="1"/>
    <col min="11" max="11" width="25.6640625" style="2" customWidth="1"/>
    <col min="12" max="14" width="23.6640625" style="2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2.6640625" style="2" customWidth="1"/>
    <col min="24" max="24" width="42.6640625" style="2" customWidth="1"/>
    <col min="25" max="25" width="37.88671875" style="2" customWidth="1"/>
    <col min="26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40.77734375" style="2" bestFit="1" customWidth="1"/>
    <col min="36" max="36" width="32.109375" style="2" bestFit="1" customWidth="1"/>
    <col min="37" max="37" width="21.88671875" style="2" bestFit="1" customWidth="1"/>
    <col min="38" max="38" width="22.6640625" style="2" customWidth="1"/>
    <col min="39" max="39" width="42.6640625" style="2" customWidth="1"/>
    <col min="40" max="40" width="37.88671875" style="2" customWidth="1"/>
    <col min="41" max="41" width="25.6640625" style="2" customWidth="1"/>
    <col min="42" max="44" width="23.6640625" style="2" customWidth="1"/>
    <col min="45" max="16384" width="8.88671875" style="3"/>
  </cols>
  <sheetData>
    <row r="1" spans="1:45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45915</v>
      </c>
      <c r="AA1" s="108"/>
      <c r="AB1" s="108"/>
      <c r="AC1" s="108"/>
      <c r="AE1" s="107"/>
      <c r="AF1" s="107"/>
      <c r="AG1" s="107"/>
      <c r="AH1" s="72"/>
      <c r="AI1" s="72"/>
      <c r="AJ1" s="72"/>
      <c r="AK1" s="72"/>
      <c r="AL1" s="72"/>
      <c r="AM1" s="72"/>
      <c r="AN1" s="73" t="s">
        <v>16</v>
      </c>
      <c r="AO1" s="108">
        <f>K1</f>
        <v>45915</v>
      </c>
      <c r="AP1" s="108"/>
      <c r="AQ1" s="108"/>
      <c r="AR1" s="108"/>
    </row>
    <row r="2" spans="1:45" s="49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12" t="s">
        <v>98</v>
      </c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4"/>
      <c r="AD2" s="47"/>
      <c r="AE2" s="112" t="s">
        <v>97</v>
      </c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4"/>
    </row>
    <row r="3" spans="1:45" s="49" customFormat="1" ht="100.05" customHeight="1" x14ac:dyDescent="0.3">
      <c r="A3" s="62" t="s">
        <v>0</v>
      </c>
      <c r="B3" s="62" t="s">
        <v>9</v>
      </c>
      <c r="C3" s="63" t="s">
        <v>11</v>
      </c>
      <c r="D3" s="62" t="s">
        <v>2</v>
      </c>
      <c r="E3" s="62" t="s">
        <v>1</v>
      </c>
      <c r="F3" s="62" t="s">
        <v>14</v>
      </c>
      <c r="G3" s="62" t="s">
        <v>8</v>
      </c>
      <c r="H3" s="63" t="s">
        <v>10</v>
      </c>
      <c r="I3" s="63" t="s">
        <v>12</v>
      </c>
      <c r="J3" s="63" t="s">
        <v>13</v>
      </c>
      <c r="K3" s="62" t="s">
        <v>3</v>
      </c>
      <c r="L3" s="62" t="s">
        <v>7</v>
      </c>
      <c r="M3" s="62" t="s">
        <v>5</v>
      </c>
      <c r="N3" s="62" t="s">
        <v>6</v>
      </c>
      <c r="P3" s="50" t="s">
        <v>0</v>
      </c>
      <c r="Q3" s="50" t="s">
        <v>9</v>
      </c>
      <c r="R3" s="51" t="s">
        <v>11</v>
      </c>
      <c r="S3" s="50" t="s">
        <v>2</v>
      </c>
      <c r="T3" s="50" t="s">
        <v>1</v>
      </c>
      <c r="U3" s="50" t="s">
        <v>14</v>
      </c>
      <c r="V3" s="50" t="s">
        <v>8</v>
      </c>
      <c r="W3" s="51" t="s">
        <v>10</v>
      </c>
      <c r="X3" s="51" t="s">
        <v>12</v>
      </c>
      <c r="Y3" s="51" t="s">
        <v>13</v>
      </c>
      <c r="Z3" s="50" t="s">
        <v>3</v>
      </c>
      <c r="AA3" s="50" t="s">
        <v>7</v>
      </c>
      <c r="AB3" s="50" t="s">
        <v>5</v>
      </c>
      <c r="AC3" s="50" t="s">
        <v>6</v>
      </c>
      <c r="AD3" s="47"/>
      <c r="AE3" s="50" t="s">
        <v>0</v>
      </c>
      <c r="AF3" s="50" t="s">
        <v>9</v>
      </c>
      <c r="AG3" s="51" t="s">
        <v>11</v>
      </c>
      <c r="AH3" s="50" t="s">
        <v>2</v>
      </c>
      <c r="AI3" s="50" t="s">
        <v>1</v>
      </c>
      <c r="AJ3" s="104" t="s">
        <v>94</v>
      </c>
      <c r="AK3" s="105"/>
      <c r="AL3" s="105"/>
      <c r="AM3" s="105"/>
      <c r="AN3" s="105"/>
      <c r="AO3" s="106"/>
      <c r="AP3" s="50" t="s">
        <v>7</v>
      </c>
      <c r="AQ3" s="50" t="s">
        <v>5</v>
      </c>
      <c r="AR3" s="50" t="s">
        <v>6</v>
      </c>
    </row>
    <row r="4" spans="1:45" s="56" customFormat="1" ht="100.05" customHeight="1" x14ac:dyDescent="0.3">
      <c r="A4" s="62"/>
      <c r="B4" s="62"/>
      <c r="C4" s="64"/>
      <c r="D4" s="62"/>
      <c r="E4" s="65"/>
      <c r="F4" s="62"/>
      <c r="G4" s="62"/>
      <c r="H4" s="64"/>
      <c r="I4" s="62"/>
      <c r="J4" s="62"/>
      <c r="K4" s="62"/>
      <c r="L4" s="66"/>
      <c r="M4" s="67"/>
      <c r="N4" s="66">
        <f>L4-M4</f>
        <v>0</v>
      </c>
      <c r="P4" s="50"/>
      <c r="Q4" s="50"/>
      <c r="R4" s="52"/>
      <c r="S4" s="50"/>
      <c r="T4" s="53"/>
      <c r="U4" s="50"/>
      <c r="V4" s="50"/>
      <c r="W4" s="52"/>
      <c r="X4" s="50"/>
      <c r="Y4" s="52"/>
      <c r="Z4" s="50"/>
      <c r="AA4" s="54"/>
      <c r="AB4" s="55"/>
      <c r="AC4" s="54">
        <f>AA4-AB4</f>
        <v>0</v>
      </c>
      <c r="AD4" s="48"/>
      <c r="AE4" s="50"/>
      <c r="AF4" s="50"/>
      <c r="AG4" s="52"/>
      <c r="AH4" s="61"/>
      <c r="AI4" s="53"/>
      <c r="AJ4" s="104"/>
      <c r="AK4" s="105"/>
      <c r="AL4" s="105"/>
      <c r="AM4" s="105"/>
      <c r="AN4" s="105"/>
      <c r="AO4" s="106"/>
      <c r="AP4" s="54"/>
      <c r="AQ4" s="55"/>
      <c r="AR4" s="54">
        <f t="shared" ref="AR4:AR8" si="0">AP4-AQ4</f>
        <v>0</v>
      </c>
    </row>
    <row r="5" spans="1:45" s="56" customFormat="1" ht="100.05" customHeight="1" x14ac:dyDescent="0.3">
      <c r="A5" s="62"/>
      <c r="B5" s="62"/>
      <c r="C5" s="64"/>
      <c r="D5" s="62"/>
      <c r="E5" s="65"/>
      <c r="F5" s="62"/>
      <c r="G5" s="62"/>
      <c r="H5" s="64"/>
      <c r="I5" s="62"/>
      <c r="J5" s="62"/>
      <c r="K5" s="62"/>
      <c r="L5" s="66"/>
      <c r="M5" s="67"/>
      <c r="N5" s="66">
        <f t="shared" ref="N5:N8" si="1">L5-M5</f>
        <v>0</v>
      </c>
      <c r="P5" s="50"/>
      <c r="Q5" s="50"/>
      <c r="R5" s="52"/>
      <c r="S5" s="50"/>
      <c r="T5" s="53"/>
      <c r="U5" s="50"/>
      <c r="V5" s="50"/>
      <c r="W5" s="52"/>
      <c r="X5" s="50"/>
      <c r="Y5" s="50"/>
      <c r="Z5" s="50"/>
      <c r="AA5" s="54"/>
      <c r="AB5" s="55"/>
      <c r="AC5" s="54">
        <f t="shared" ref="AC5:AC8" si="2">AA5-AB5</f>
        <v>0</v>
      </c>
      <c r="AD5" s="48"/>
      <c r="AE5" s="50"/>
      <c r="AF5" s="50"/>
      <c r="AG5" s="52"/>
      <c r="AH5" s="55"/>
      <c r="AI5" s="53"/>
      <c r="AJ5" s="104"/>
      <c r="AK5" s="105"/>
      <c r="AL5" s="105"/>
      <c r="AM5" s="105"/>
      <c r="AN5" s="105"/>
      <c r="AO5" s="106"/>
      <c r="AP5" s="54"/>
      <c r="AQ5" s="55"/>
      <c r="AR5" s="54">
        <f t="shared" si="0"/>
        <v>0</v>
      </c>
    </row>
    <row r="6" spans="1:45" s="56" customFormat="1" ht="100.05" customHeight="1" x14ac:dyDescent="0.3">
      <c r="A6" s="62"/>
      <c r="B6" s="62"/>
      <c r="C6" s="64"/>
      <c r="D6" s="62"/>
      <c r="E6" s="65"/>
      <c r="F6" s="62"/>
      <c r="G6" s="62"/>
      <c r="H6" s="64"/>
      <c r="I6" s="62"/>
      <c r="J6" s="62"/>
      <c r="K6" s="62"/>
      <c r="L6" s="66"/>
      <c r="M6" s="67"/>
      <c r="N6" s="66">
        <f t="shared" si="1"/>
        <v>0</v>
      </c>
      <c r="P6" s="50"/>
      <c r="Q6" s="50"/>
      <c r="R6" s="52"/>
      <c r="S6" s="50"/>
      <c r="T6" s="53"/>
      <c r="U6" s="50"/>
      <c r="V6" s="50"/>
      <c r="W6" s="52"/>
      <c r="X6" s="50"/>
      <c r="Y6" s="50"/>
      <c r="Z6" s="50"/>
      <c r="AA6" s="54"/>
      <c r="AB6" s="55"/>
      <c r="AC6" s="54">
        <f t="shared" si="2"/>
        <v>0</v>
      </c>
      <c r="AD6" s="48"/>
      <c r="AE6" s="50"/>
      <c r="AF6" s="50"/>
      <c r="AG6" s="52"/>
      <c r="AH6" s="50"/>
      <c r="AI6" s="53"/>
      <c r="AJ6" s="104"/>
      <c r="AK6" s="105"/>
      <c r="AL6" s="105"/>
      <c r="AM6" s="105"/>
      <c r="AN6" s="105"/>
      <c r="AO6" s="106"/>
      <c r="AP6" s="54"/>
      <c r="AQ6" s="55"/>
      <c r="AR6" s="54">
        <f t="shared" si="0"/>
        <v>0</v>
      </c>
    </row>
    <row r="7" spans="1:45" s="56" customFormat="1" ht="100.05" customHeight="1" x14ac:dyDescent="0.3">
      <c r="A7" s="62"/>
      <c r="B7" s="62"/>
      <c r="C7" s="64"/>
      <c r="D7" s="62"/>
      <c r="E7" s="65"/>
      <c r="F7" s="62"/>
      <c r="G7" s="62"/>
      <c r="H7" s="64"/>
      <c r="I7" s="62"/>
      <c r="J7" s="62"/>
      <c r="K7" s="62"/>
      <c r="L7" s="66"/>
      <c r="M7" s="67"/>
      <c r="N7" s="66">
        <f t="shared" si="1"/>
        <v>0</v>
      </c>
      <c r="P7" s="50"/>
      <c r="Q7" s="50"/>
      <c r="R7" s="52"/>
      <c r="S7" s="50"/>
      <c r="T7" s="53"/>
      <c r="U7" s="50"/>
      <c r="V7" s="50"/>
      <c r="W7" s="52"/>
      <c r="X7" s="50"/>
      <c r="Y7" s="50"/>
      <c r="Z7" s="50"/>
      <c r="AA7" s="54"/>
      <c r="AB7" s="55"/>
      <c r="AC7" s="54">
        <f t="shared" si="2"/>
        <v>0</v>
      </c>
      <c r="AD7" s="48"/>
      <c r="AE7" s="50"/>
      <c r="AF7" s="50"/>
      <c r="AG7" s="52"/>
      <c r="AH7" s="50"/>
      <c r="AI7" s="53"/>
      <c r="AJ7" s="104"/>
      <c r="AK7" s="105"/>
      <c r="AL7" s="105"/>
      <c r="AM7" s="105"/>
      <c r="AN7" s="105"/>
      <c r="AO7" s="106"/>
      <c r="AP7" s="54"/>
      <c r="AQ7" s="55"/>
      <c r="AR7" s="54">
        <f t="shared" si="0"/>
        <v>0</v>
      </c>
    </row>
    <row r="8" spans="1:45" s="5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1"/>
        <v>0</v>
      </c>
      <c r="P8" s="50"/>
      <c r="Q8" s="50"/>
      <c r="R8" s="52"/>
      <c r="S8" s="50"/>
      <c r="T8" s="53"/>
      <c r="U8" s="50"/>
      <c r="V8" s="50"/>
      <c r="W8" s="52"/>
      <c r="X8" s="50"/>
      <c r="Y8" s="50"/>
      <c r="Z8" s="50"/>
      <c r="AA8" s="50"/>
      <c r="AB8" s="55"/>
      <c r="AC8" s="54">
        <f t="shared" si="2"/>
        <v>0</v>
      </c>
      <c r="AD8" s="48"/>
      <c r="AE8" s="50"/>
      <c r="AF8" s="50"/>
      <c r="AG8" s="52"/>
      <c r="AH8" s="50"/>
      <c r="AI8" s="53"/>
      <c r="AJ8" s="104"/>
      <c r="AK8" s="105"/>
      <c r="AL8" s="105"/>
      <c r="AM8" s="105"/>
      <c r="AN8" s="105"/>
      <c r="AO8" s="106"/>
      <c r="AP8" s="50"/>
      <c r="AQ8" s="55"/>
      <c r="AR8" s="54">
        <f t="shared" si="0"/>
        <v>0</v>
      </c>
    </row>
    <row r="9" spans="1:45" s="5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0</v>
      </c>
      <c r="M9" s="71">
        <f>SUM(M4:M8)</f>
        <v>0</v>
      </c>
      <c r="N9" s="66">
        <f>SUM(N4:N8)</f>
        <v>0</v>
      </c>
      <c r="P9" s="57"/>
      <c r="Q9" s="57"/>
      <c r="R9" s="58"/>
      <c r="S9" s="57"/>
      <c r="T9" s="59"/>
      <c r="U9" s="57"/>
      <c r="V9" s="57"/>
      <c r="W9" s="58"/>
      <c r="X9" s="57"/>
      <c r="Y9" s="57"/>
      <c r="Z9" s="57"/>
      <c r="AA9" s="54">
        <f>SUM(AA4:AA8)</f>
        <v>0</v>
      </c>
      <c r="AB9" s="60">
        <f>SUM(AB4:AB8)</f>
        <v>0</v>
      </c>
      <c r="AC9" s="54">
        <f>SUM(AC4:AC8)</f>
        <v>0</v>
      </c>
      <c r="AD9" s="48"/>
      <c r="AE9" s="57"/>
      <c r="AF9" s="57"/>
      <c r="AG9" s="58"/>
      <c r="AH9" s="57"/>
      <c r="AI9" s="59"/>
      <c r="AJ9" s="57"/>
      <c r="AK9" s="57"/>
      <c r="AL9" s="58"/>
      <c r="AM9" s="57"/>
      <c r="AN9" s="57"/>
      <c r="AO9" s="57"/>
      <c r="AP9" s="54">
        <f>SUM(AP4:AP8)</f>
        <v>0</v>
      </c>
      <c r="AQ9" s="60">
        <f>SUM(AQ4:AQ8)</f>
        <v>0</v>
      </c>
      <c r="AR9" s="54">
        <f>SUM(AR4:AR8)</f>
        <v>0</v>
      </c>
    </row>
    <row r="10" spans="1:45" ht="49.95" customHeight="1" x14ac:dyDescent="0.3">
      <c r="AD10" s="48"/>
      <c r="AS10" s="56"/>
    </row>
    <row r="11" spans="1:45" s="47" customFormat="1" ht="100.05" customHeight="1" x14ac:dyDescent="0.3">
      <c r="A11" s="112" t="s">
        <v>101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4"/>
      <c r="P11" s="112" t="s">
        <v>99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4"/>
      <c r="AD11" s="48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56"/>
    </row>
    <row r="12" spans="1:45" s="47" customFormat="1" ht="100.05" customHeight="1" x14ac:dyDescent="0.3">
      <c r="A12" s="50" t="s">
        <v>0</v>
      </c>
      <c r="B12" s="50" t="s">
        <v>9</v>
      </c>
      <c r="C12" s="51" t="s">
        <v>11</v>
      </c>
      <c r="D12" s="50" t="s">
        <v>2</v>
      </c>
      <c r="E12" s="50" t="s">
        <v>1</v>
      </c>
      <c r="F12" s="50" t="s">
        <v>14</v>
      </c>
      <c r="G12" s="50" t="s">
        <v>8</v>
      </c>
      <c r="H12" s="51" t="s">
        <v>10</v>
      </c>
      <c r="I12" s="51" t="s">
        <v>12</v>
      </c>
      <c r="J12" s="51" t="s">
        <v>13</v>
      </c>
      <c r="K12" s="50" t="s">
        <v>3</v>
      </c>
      <c r="L12" s="50" t="s">
        <v>7</v>
      </c>
      <c r="M12" s="50" t="s">
        <v>5</v>
      </c>
      <c r="N12" s="50" t="s">
        <v>6</v>
      </c>
      <c r="P12" s="50" t="s">
        <v>0</v>
      </c>
      <c r="Q12" s="50" t="s">
        <v>9</v>
      </c>
      <c r="R12" s="51" t="s">
        <v>11</v>
      </c>
      <c r="S12" s="50" t="s">
        <v>2</v>
      </c>
      <c r="T12" s="50" t="s">
        <v>1</v>
      </c>
      <c r="U12" s="50" t="s">
        <v>14</v>
      </c>
      <c r="V12" s="50" t="s">
        <v>8</v>
      </c>
      <c r="W12" s="51" t="s">
        <v>10</v>
      </c>
      <c r="X12" s="51" t="s">
        <v>12</v>
      </c>
      <c r="Y12" s="51" t="s">
        <v>13</v>
      </c>
      <c r="Z12" s="50" t="s">
        <v>3</v>
      </c>
      <c r="AA12" s="50" t="s">
        <v>7</v>
      </c>
      <c r="AB12" s="50" t="s">
        <v>5</v>
      </c>
      <c r="AC12" s="50" t="s">
        <v>6</v>
      </c>
      <c r="AD12" s="48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56"/>
    </row>
    <row r="13" spans="1:45" s="48" customFormat="1" ht="100.05" customHeight="1" x14ac:dyDescent="0.3">
      <c r="A13" s="50"/>
      <c r="B13" s="50"/>
      <c r="C13" s="52"/>
      <c r="D13" s="50"/>
      <c r="E13" s="53"/>
      <c r="F13" s="50"/>
      <c r="G13" s="50"/>
      <c r="H13" s="52"/>
      <c r="I13" s="50"/>
      <c r="J13" s="50"/>
      <c r="K13" s="50"/>
      <c r="L13" s="54"/>
      <c r="M13" s="55"/>
      <c r="N13" s="54">
        <f>L13-M13</f>
        <v>0</v>
      </c>
      <c r="P13" s="50"/>
      <c r="Q13" s="50"/>
      <c r="R13" s="52"/>
      <c r="S13" s="50"/>
      <c r="T13" s="53"/>
      <c r="U13" s="50"/>
      <c r="V13" s="50"/>
      <c r="W13" s="52"/>
      <c r="X13" s="50"/>
      <c r="Y13" s="50"/>
      <c r="Z13" s="50"/>
      <c r="AA13" s="54"/>
      <c r="AB13" s="55"/>
      <c r="AC13" s="54">
        <f t="shared" ref="AC13:AC16" si="3">AA13-AB13</f>
        <v>0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56"/>
    </row>
    <row r="14" spans="1:45" s="48" customFormat="1" ht="100.05" customHeight="1" x14ac:dyDescent="0.3">
      <c r="A14" s="50"/>
      <c r="B14" s="50"/>
      <c r="C14" s="52"/>
      <c r="D14" s="50"/>
      <c r="E14" s="53"/>
      <c r="F14" s="50"/>
      <c r="G14" s="50"/>
      <c r="H14" s="52"/>
      <c r="I14" s="50"/>
      <c r="J14" s="50"/>
      <c r="K14" s="50"/>
      <c r="L14" s="54"/>
      <c r="M14" s="55"/>
      <c r="N14" s="54">
        <f t="shared" ref="N14:N17" si="4">L14-M14</f>
        <v>0</v>
      </c>
      <c r="P14" s="50"/>
      <c r="Q14" s="50"/>
      <c r="R14" s="52"/>
      <c r="S14" s="50"/>
      <c r="T14" s="53"/>
      <c r="U14" s="50"/>
      <c r="V14" s="50"/>
      <c r="W14" s="52"/>
      <c r="X14" s="50"/>
      <c r="Y14" s="50"/>
      <c r="Z14" s="50"/>
      <c r="AA14" s="54"/>
      <c r="AB14" s="55"/>
      <c r="AC14" s="54">
        <f t="shared" si="3"/>
        <v>0</v>
      </c>
      <c r="AD14" s="3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3"/>
    </row>
    <row r="15" spans="1:45" s="48" customFormat="1" ht="100.05" customHeight="1" x14ac:dyDescent="0.3">
      <c r="A15" s="50"/>
      <c r="B15" s="50"/>
      <c r="C15" s="52"/>
      <c r="D15" s="50"/>
      <c r="E15" s="53"/>
      <c r="F15" s="50"/>
      <c r="G15" s="50"/>
      <c r="H15" s="52"/>
      <c r="I15" s="50"/>
      <c r="J15" s="50"/>
      <c r="K15" s="50"/>
      <c r="L15" s="54"/>
      <c r="M15" s="55"/>
      <c r="N15" s="54">
        <f t="shared" si="4"/>
        <v>0</v>
      </c>
      <c r="P15" s="50"/>
      <c r="Q15" s="50"/>
      <c r="R15" s="52"/>
      <c r="S15" s="50"/>
      <c r="T15" s="53"/>
      <c r="U15" s="50"/>
      <c r="V15" s="50"/>
      <c r="W15" s="52"/>
      <c r="X15" s="50"/>
      <c r="Y15" s="50"/>
      <c r="Z15" s="50"/>
      <c r="AA15" s="54"/>
      <c r="AB15" s="55"/>
      <c r="AC15" s="54">
        <f t="shared" si="3"/>
        <v>0</v>
      </c>
      <c r="AD15" s="3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3"/>
    </row>
    <row r="16" spans="1:45" s="48" customFormat="1" ht="100.05" customHeight="1" x14ac:dyDescent="0.3">
      <c r="A16" s="50"/>
      <c r="B16" s="50"/>
      <c r="C16" s="52"/>
      <c r="D16" s="50"/>
      <c r="E16" s="53"/>
      <c r="F16" s="50"/>
      <c r="G16" s="50"/>
      <c r="H16" s="52"/>
      <c r="I16" s="50"/>
      <c r="J16" s="50"/>
      <c r="K16" s="50"/>
      <c r="L16" s="54"/>
      <c r="M16" s="55"/>
      <c r="N16" s="54">
        <f t="shared" si="4"/>
        <v>0</v>
      </c>
      <c r="P16" s="50"/>
      <c r="Q16" s="50"/>
      <c r="R16" s="52"/>
      <c r="S16" s="50"/>
      <c r="T16" s="53"/>
      <c r="U16" s="50"/>
      <c r="V16" s="50"/>
      <c r="W16" s="52"/>
      <c r="X16" s="50"/>
      <c r="Y16" s="50"/>
      <c r="Z16" s="50"/>
      <c r="AA16" s="50"/>
      <c r="AB16" s="55"/>
      <c r="AC16" s="54">
        <f t="shared" si="3"/>
        <v>0</v>
      </c>
      <c r="AD16" s="3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3"/>
    </row>
    <row r="17" spans="1:45" s="48" customFormat="1" ht="100.05" customHeight="1" x14ac:dyDescent="0.3">
      <c r="A17" s="50"/>
      <c r="B17" s="50"/>
      <c r="C17" s="52"/>
      <c r="D17" s="50"/>
      <c r="E17" s="53"/>
      <c r="F17" s="50"/>
      <c r="G17" s="50"/>
      <c r="H17" s="52"/>
      <c r="I17" s="50"/>
      <c r="J17" s="50"/>
      <c r="K17" s="50"/>
      <c r="L17" s="50"/>
      <c r="M17" s="55"/>
      <c r="N17" s="54">
        <f t="shared" si="4"/>
        <v>0</v>
      </c>
      <c r="P17" s="57"/>
      <c r="Q17" s="57"/>
      <c r="R17" s="58"/>
      <c r="S17" s="57"/>
      <c r="T17" s="59"/>
      <c r="U17" s="57"/>
      <c r="V17" s="57"/>
      <c r="W17" s="58"/>
      <c r="X17" s="57"/>
      <c r="Y17" s="57"/>
      <c r="Z17" s="57"/>
      <c r="AA17" s="54">
        <f>SUM(AA13:AA16)</f>
        <v>0</v>
      </c>
      <c r="AB17" s="60">
        <f>SUM(AB13:AB16)</f>
        <v>0</v>
      </c>
      <c r="AC17" s="54">
        <f>SUM(AC13:AC16)</f>
        <v>0</v>
      </c>
      <c r="AD17" s="3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3"/>
    </row>
    <row r="18" spans="1:45" s="48" customFormat="1" ht="100.05" customHeight="1" x14ac:dyDescent="0.3">
      <c r="A18" s="57"/>
      <c r="B18" s="57"/>
      <c r="C18" s="58"/>
      <c r="D18" s="57"/>
      <c r="E18" s="59"/>
      <c r="F18" s="57"/>
      <c r="G18" s="57"/>
      <c r="H18" s="58"/>
      <c r="I18" s="57"/>
      <c r="J18" s="57"/>
      <c r="K18" s="57"/>
      <c r="L18" s="54">
        <f>SUM(L13:L17)</f>
        <v>0</v>
      </c>
      <c r="M18" s="60">
        <f>SUM(M13:M17)</f>
        <v>0</v>
      </c>
      <c r="N18" s="54">
        <f>SUM(N13:N17)</f>
        <v>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"/>
    </row>
    <row r="19" spans="1:45" ht="100.05" customHeight="1" x14ac:dyDescent="0.3"/>
    <row r="20" spans="1:45" s="47" customFormat="1" ht="100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3"/>
    </row>
    <row r="21" spans="1:45" s="47" customFormat="1" ht="100.0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3"/>
    </row>
    <row r="22" spans="1:45" s="48" customFormat="1" ht="100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3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3"/>
    </row>
    <row r="23" spans="1:45" s="48" customFormat="1" ht="100.0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3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3"/>
    </row>
    <row r="24" spans="1:45" s="48" customFormat="1" ht="100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"/>
    </row>
    <row r="25" spans="1:45" s="48" customFormat="1" ht="100.0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3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3"/>
    </row>
    <row r="26" spans="1:45" s="48" customFormat="1" ht="100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3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3"/>
    </row>
    <row r="27" spans="1:45" s="48" customFormat="1" ht="100.0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3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3"/>
    </row>
    <row r="28" spans="1:45" s="48" customFormat="1" ht="100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3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3"/>
    </row>
    <row r="29" spans="1:45" s="48" customFormat="1" ht="100.0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3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3"/>
    </row>
    <row r="30" spans="1:45" s="48" customFormat="1" ht="100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3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3"/>
    </row>
    <row r="31" spans="1:45" s="48" customFormat="1" ht="100.0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3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3"/>
    </row>
    <row r="32" spans="1:45" ht="100.05" customHeight="1" x14ac:dyDescent="0.3"/>
    <row r="33" spans="1:45" s="49" customFormat="1" ht="100.0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3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3"/>
    </row>
    <row r="34" spans="1:45" s="49" customFormat="1" ht="100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3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3"/>
    </row>
    <row r="35" spans="1:45" s="56" customFormat="1" ht="100.0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3"/>
    </row>
    <row r="36" spans="1:45" s="56" customFormat="1" ht="100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3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3"/>
    </row>
    <row r="37" spans="1:45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3"/>
    </row>
    <row r="38" spans="1:45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3"/>
    </row>
    <row r="39" spans="1:45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3"/>
    </row>
    <row r="40" spans="1:45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/>
    </row>
    <row r="41" spans="1:45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3"/>
    </row>
    <row r="42" spans="1:45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3"/>
    </row>
    <row r="43" spans="1:45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3"/>
    </row>
    <row r="44" spans="1:45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3"/>
    </row>
  </sheetData>
  <mergeCells count="17">
    <mergeCell ref="AJ6:AO6"/>
    <mergeCell ref="AJ7:AO7"/>
    <mergeCell ref="AJ8:AO8"/>
    <mergeCell ref="A11:N11"/>
    <mergeCell ref="P11:AC11"/>
    <mergeCell ref="AJ5:AO5"/>
    <mergeCell ref="A1:C1"/>
    <mergeCell ref="K1:N1"/>
    <mergeCell ref="P1:R1"/>
    <mergeCell ref="Z1:AC1"/>
    <mergeCell ref="AE1:AG1"/>
    <mergeCell ref="AO1:AR1"/>
    <mergeCell ref="A2:N2"/>
    <mergeCell ref="P2:AC2"/>
    <mergeCell ref="AE2:AR2"/>
    <mergeCell ref="AJ3:AO3"/>
    <mergeCell ref="AJ4:AO4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">
    <pageSetUpPr fitToPage="1"/>
  </sheetPr>
  <dimension ref="A1:R83"/>
  <sheetViews>
    <sheetView topLeftCell="C14" zoomScale="85" zoomScaleNormal="85" workbookViewId="0">
      <selection activeCell="E24" sqref="E24"/>
    </sheetView>
  </sheetViews>
  <sheetFormatPr defaultRowHeight="14.4" x14ac:dyDescent="0.3"/>
  <cols>
    <col min="1" max="1" width="13.77734375" style="1" customWidth="1"/>
    <col min="2" max="4" width="6.77734375" style="1" customWidth="1"/>
    <col min="5" max="5" width="46" style="1" bestFit="1" customWidth="1"/>
    <col min="6" max="6" width="10.77734375" style="1" customWidth="1"/>
    <col min="7" max="7" width="6.77734375" style="1" customWidth="1"/>
    <col min="8" max="8" width="12.33203125" style="1" bestFit="1" customWidth="1"/>
    <col min="9" max="10" width="12.77734375" style="1" customWidth="1"/>
    <col min="11" max="11" width="16.44140625" style="1" bestFit="1" customWidth="1"/>
    <col min="12" max="13" width="12.77734375" style="1" customWidth="1"/>
    <col min="14" max="16" width="8.88671875" style="1"/>
  </cols>
  <sheetData>
    <row r="1" spans="1:18" s="3" customFormat="1" ht="30" customHeight="1" x14ac:dyDescent="0.3">
      <c r="A1" s="115"/>
      <c r="B1" s="115"/>
      <c r="C1" s="115"/>
      <c r="D1" s="2"/>
      <c r="E1" s="2"/>
      <c r="F1" s="2"/>
      <c r="G1" s="2"/>
      <c r="H1" s="2"/>
      <c r="I1" s="2"/>
      <c r="J1" s="2"/>
      <c r="K1" s="2"/>
      <c r="L1" s="2"/>
      <c r="M1" s="118" t="s">
        <v>16</v>
      </c>
      <c r="N1" s="118"/>
      <c r="O1" s="116">
        <v>45901</v>
      </c>
      <c r="P1" s="117"/>
    </row>
    <row r="2" spans="1:18" s="3" customFormat="1" ht="30" customHeight="1" x14ac:dyDescent="0.3">
      <c r="A2" s="120" t="s">
        <v>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</row>
    <row r="3" spans="1:18" s="7" customFormat="1" ht="29.4" customHeight="1" x14ac:dyDescent="0.3">
      <c r="A3" s="21" t="s">
        <v>0</v>
      </c>
      <c r="B3" s="21" t="s">
        <v>9</v>
      </c>
      <c r="C3" s="22" t="s">
        <v>11</v>
      </c>
      <c r="D3" s="21" t="s">
        <v>2</v>
      </c>
      <c r="E3" s="21" t="s">
        <v>1</v>
      </c>
      <c r="F3" s="21" t="s">
        <v>14</v>
      </c>
      <c r="G3" s="21" t="s">
        <v>8</v>
      </c>
      <c r="H3" s="22" t="s">
        <v>10</v>
      </c>
      <c r="I3" s="22" t="s">
        <v>12</v>
      </c>
      <c r="J3" s="22" t="s">
        <v>13</v>
      </c>
      <c r="K3" s="22" t="s">
        <v>27</v>
      </c>
      <c r="L3" s="21" t="s">
        <v>3</v>
      </c>
      <c r="M3" s="21" t="s">
        <v>4</v>
      </c>
      <c r="N3" s="21" t="s">
        <v>7</v>
      </c>
      <c r="O3" s="21" t="s">
        <v>5</v>
      </c>
      <c r="P3" s="21" t="s">
        <v>6</v>
      </c>
      <c r="R3" s="14"/>
    </row>
    <row r="4" spans="1:18" s="20" customFormat="1" ht="16.95" customHeight="1" x14ac:dyDescent="0.3">
      <c r="A4" s="21">
        <v>250068</v>
      </c>
      <c r="B4" s="21">
        <v>304</v>
      </c>
      <c r="C4" s="24">
        <v>0.6</v>
      </c>
      <c r="D4" s="21">
        <v>51</v>
      </c>
      <c r="E4" s="25" t="s">
        <v>25</v>
      </c>
      <c r="F4" s="21" t="s">
        <v>23</v>
      </c>
      <c r="G4" s="21">
        <v>430</v>
      </c>
      <c r="H4" s="24">
        <v>0.6</v>
      </c>
      <c r="I4" s="21"/>
      <c r="J4" s="21"/>
      <c r="K4" s="21" t="s">
        <v>28</v>
      </c>
      <c r="L4" s="21" t="s">
        <v>24</v>
      </c>
      <c r="M4" s="21" t="s">
        <v>24</v>
      </c>
      <c r="N4" s="6">
        <v>1650</v>
      </c>
      <c r="O4" s="23">
        <v>1650</v>
      </c>
      <c r="P4" s="6">
        <f>N4-O4</f>
        <v>0</v>
      </c>
    </row>
    <row r="5" spans="1:18" s="20" customFormat="1" ht="16.95" customHeight="1" x14ac:dyDescent="0.3">
      <c r="A5" s="21">
        <v>250069</v>
      </c>
      <c r="B5" s="21">
        <v>304</v>
      </c>
      <c r="C5" s="24">
        <v>0.6</v>
      </c>
      <c r="D5" s="21">
        <v>51</v>
      </c>
      <c r="E5" s="25" t="s">
        <v>26</v>
      </c>
      <c r="F5" s="21" t="s">
        <v>23</v>
      </c>
      <c r="G5" s="21">
        <v>430</v>
      </c>
      <c r="H5" s="24">
        <v>0.6</v>
      </c>
      <c r="I5" s="21"/>
      <c r="J5" s="21"/>
      <c r="K5" s="21" t="s">
        <v>28</v>
      </c>
      <c r="L5" s="21" t="s">
        <v>24</v>
      </c>
      <c r="M5" s="21" t="s">
        <v>24</v>
      </c>
      <c r="N5" s="6">
        <v>1650</v>
      </c>
      <c r="O5" s="23">
        <v>1650</v>
      </c>
      <c r="P5" s="6">
        <f t="shared" ref="P5:P12" si="0">N5-O5</f>
        <v>0</v>
      </c>
    </row>
    <row r="6" spans="1:18" s="20" customFormat="1" ht="16.95" customHeight="1" x14ac:dyDescent="0.3">
      <c r="A6" s="21">
        <v>250068</v>
      </c>
      <c r="B6" s="21">
        <v>304</v>
      </c>
      <c r="C6" s="24">
        <v>0.6</v>
      </c>
      <c r="D6" s="21">
        <v>54.3</v>
      </c>
      <c r="E6" s="25" t="s">
        <v>32</v>
      </c>
      <c r="F6" s="21" t="s">
        <v>23</v>
      </c>
      <c r="G6" s="21">
        <v>430</v>
      </c>
      <c r="H6" s="24">
        <v>0.6</v>
      </c>
      <c r="I6" s="21"/>
      <c r="J6" s="21"/>
      <c r="K6" s="21" t="s">
        <v>28</v>
      </c>
      <c r="L6" s="21" t="s">
        <v>24</v>
      </c>
      <c r="M6" s="21" t="s">
        <v>24</v>
      </c>
      <c r="N6" s="6">
        <v>1650</v>
      </c>
      <c r="O6" s="23"/>
      <c r="P6" s="6">
        <f t="shared" si="0"/>
        <v>1650</v>
      </c>
    </row>
    <row r="7" spans="1:18" s="20" customFormat="1" ht="16.95" customHeight="1" x14ac:dyDescent="0.3">
      <c r="A7" s="21">
        <v>250069</v>
      </c>
      <c r="B7" s="21">
        <v>304</v>
      </c>
      <c r="C7" s="24">
        <v>0.6</v>
      </c>
      <c r="D7" s="21">
        <v>54.3</v>
      </c>
      <c r="E7" s="25" t="s">
        <v>33</v>
      </c>
      <c r="F7" s="21" t="s">
        <v>23</v>
      </c>
      <c r="G7" s="21">
        <v>430</v>
      </c>
      <c r="H7" s="24">
        <v>0.6</v>
      </c>
      <c r="I7" s="21"/>
      <c r="J7" s="21"/>
      <c r="K7" s="21" t="s">
        <v>28</v>
      </c>
      <c r="L7" s="21" t="s">
        <v>24</v>
      </c>
      <c r="M7" s="21" t="s">
        <v>24</v>
      </c>
      <c r="N7" s="6">
        <v>1650</v>
      </c>
      <c r="O7" s="23"/>
      <c r="P7" s="6">
        <f t="shared" si="0"/>
        <v>1650</v>
      </c>
    </row>
    <row r="8" spans="1:18" s="20" customFormat="1" ht="16.95" hidden="1" customHeight="1" x14ac:dyDescent="0.3">
      <c r="A8" s="21"/>
      <c r="B8" s="21"/>
      <c r="C8" s="24"/>
      <c r="D8" s="21"/>
      <c r="E8" s="25"/>
      <c r="F8" s="21"/>
      <c r="G8" s="21"/>
      <c r="H8" s="24"/>
      <c r="I8" s="21"/>
      <c r="J8" s="21"/>
      <c r="K8" s="21"/>
      <c r="L8" s="21"/>
      <c r="M8" s="21"/>
      <c r="N8" s="6"/>
      <c r="O8" s="23"/>
      <c r="P8" s="6">
        <f t="shared" si="0"/>
        <v>0</v>
      </c>
    </row>
    <row r="9" spans="1:18" s="20" customFormat="1" ht="16.95" hidden="1" customHeight="1" x14ac:dyDescent="0.3">
      <c r="A9" s="21"/>
      <c r="B9" s="21"/>
      <c r="C9" s="24"/>
      <c r="D9" s="21"/>
      <c r="E9" s="25"/>
      <c r="F9" s="21"/>
      <c r="G9" s="21"/>
      <c r="H9" s="24"/>
      <c r="I9" s="21"/>
      <c r="J9" s="21"/>
      <c r="K9" s="21"/>
      <c r="L9" s="21"/>
      <c r="M9" s="21"/>
      <c r="N9" s="6"/>
      <c r="O9" s="23"/>
      <c r="P9" s="6">
        <f t="shared" si="0"/>
        <v>0</v>
      </c>
    </row>
    <row r="10" spans="1:18" s="20" customFormat="1" ht="16.95" hidden="1" customHeight="1" x14ac:dyDescent="0.3">
      <c r="A10" s="21"/>
      <c r="B10" s="21"/>
      <c r="C10" s="24"/>
      <c r="D10" s="21"/>
      <c r="E10" s="25"/>
      <c r="F10" s="21"/>
      <c r="G10" s="21"/>
      <c r="H10" s="24"/>
      <c r="I10" s="21"/>
      <c r="J10" s="21"/>
      <c r="K10" s="21"/>
      <c r="L10" s="21"/>
      <c r="M10" s="21"/>
      <c r="N10" s="21"/>
      <c r="O10" s="23"/>
      <c r="P10" s="6">
        <f t="shared" si="0"/>
        <v>0</v>
      </c>
    </row>
    <row r="11" spans="1:18" s="20" customFormat="1" ht="16.95" customHeight="1" x14ac:dyDescent="0.3">
      <c r="A11" s="21"/>
      <c r="B11" s="21"/>
      <c r="C11" s="24"/>
      <c r="D11" s="21"/>
      <c r="E11" s="25"/>
      <c r="F11" s="21"/>
      <c r="G11" s="21"/>
      <c r="H11" s="24"/>
      <c r="I11" s="21"/>
      <c r="J11" s="21"/>
      <c r="K11" s="21"/>
      <c r="L11" s="21"/>
      <c r="M11" s="21"/>
      <c r="N11" s="21"/>
      <c r="O11" s="23"/>
      <c r="P11" s="6">
        <f t="shared" si="0"/>
        <v>0</v>
      </c>
    </row>
    <row r="12" spans="1:18" s="14" customFormat="1" ht="15.6" x14ac:dyDescent="0.3">
      <c r="A12" s="8"/>
      <c r="B12" s="8"/>
      <c r="C12" s="9"/>
      <c r="D12" s="8"/>
      <c r="E12" s="10"/>
      <c r="F12" s="8"/>
      <c r="G12" s="8"/>
      <c r="H12" s="9"/>
      <c r="I12" s="8"/>
      <c r="J12" s="8"/>
      <c r="K12" s="8"/>
      <c r="L12" s="8"/>
      <c r="M12" s="11"/>
      <c r="N12" s="12">
        <f>SUM(N4:N11)</f>
        <v>6600</v>
      </c>
      <c r="O12" s="13">
        <f>SUM(O4:O11)</f>
        <v>3300</v>
      </c>
      <c r="P12" s="12">
        <f t="shared" si="0"/>
        <v>3300</v>
      </c>
    </row>
    <row r="13" spans="1:18" x14ac:dyDescent="0.3">
      <c r="C13" s="4"/>
      <c r="E13" s="5"/>
      <c r="H13" s="4"/>
    </row>
    <row r="14" spans="1:18" s="3" customFormat="1" ht="30" customHeight="1" x14ac:dyDescent="0.3">
      <c r="A14" s="120" t="s">
        <v>20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1:18" s="7" customFormat="1" ht="29.4" customHeight="1" x14ac:dyDescent="0.3">
      <c r="A15" s="21" t="s">
        <v>0</v>
      </c>
      <c r="B15" s="21" t="s">
        <v>9</v>
      </c>
      <c r="C15" s="22" t="s">
        <v>11</v>
      </c>
      <c r="D15" s="21" t="s">
        <v>2</v>
      </c>
      <c r="E15" s="21" t="s">
        <v>1</v>
      </c>
      <c r="F15" s="21" t="s">
        <v>14</v>
      </c>
      <c r="G15" s="21" t="s">
        <v>8</v>
      </c>
      <c r="H15" s="22" t="s">
        <v>10</v>
      </c>
      <c r="I15" s="22" t="s">
        <v>12</v>
      </c>
      <c r="J15" s="22" t="s">
        <v>13</v>
      </c>
      <c r="K15" s="22" t="s">
        <v>27</v>
      </c>
      <c r="L15" s="21" t="s">
        <v>3</v>
      </c>
      <c r="M15" s="21" t="s">
        <v>4</v>
      </c>
      <c r="N15" s="21" t="s">
        <v>7</v>
      </c>
      <c r="O15" s="21" t="s">
        <v>5</v>
      </c>
      <c r="P15" s="21" t="s">
        <v>6</v>
      </c>
      <c r="R15" s="14"/>
    </row>
    <row r="16" spans="1:18" s="31" customFormat="1" ht="16.95" customHeight="1" x14ac:dyDescent="0.3">
      <c r="A16" s="26"/>
      <c r="B16" s="26"/>
      <c r="C16" s="27"/>
      <c r="D16" s="26"/>
      <c r="E16" s="28"/>
      <c r="F16" s="26"/>
      <c r="G16" s="26"/>
      <c r="H16" s="27"/>
      <c r="I16" s="26"/>
      <c r="J16" s="26"/>
      <c r="K16" s="26"/>
      <c r="L16" s="26"/>
      <c r="M16" s="26"/>
      <c r="N16" s="29"/>
      <c r="O16" s="30"/>
      <c r="P16" s="29">
        <f>N16-O16</f>
        <v>0</v>
      </c>
    </row>
    <row r="17" spans="1:18" s="31" customFormat="1" ht="16.95" customHeight="1" x14ac:dyDescent="0.3">
      <c r="A17" s="26"/>
      <c r="B17" s="26"/>
      <c r="C17" s="27"/>
      <c r="D17" s="26"/>
      <c r="E17" s="123" t="s">
        <v>36</v>
      </c>
      <c r="F17" s="124"/>
      <c r="G17" s="124"/>
      <c r="H17" s="124"/>
      <c r="I17" s="124"/>
      <c r="J17" s="124"/>
      <c r="K17" s="125"/>
      <c r="L17" s="26"/>
      <c r="M17" s="26"/>
      <c r="N17" s="26"/>
      <c r="O17" s="30"/>
      <c r="P17" s="29">
        <f t="shared" ref="P17:P19" si="1">N17-O17</f>
        <v>0</v>
      </c>
    </row>
    <row r="18" spans="1:18" s="31" customFormat="1" ht="16.95" customHeight="1" x14ac:dyDescent="0.3">
      <c r="A18" s="26"/>
      <c r="B18" s="26"/>
      <c r="C18" s="27"/>
      <c r="D18" s="26"/>
      <c r="E18" s="28"/>
      <c r="F18" s="26"/>
      <c r="G18" s="26"/>
      <c r="H18" s="27"/>
      <c r="I18" s="26"/>
      <c r="J18" s="26"/>
      <c r="K18" s="26"/>
      <c r="L18" s="26"/>
      <c r="M18" s="26"/>
      <c r="N18" s="26"/>
      <c r="O18" s="30"/>
      <c r="P18" s="29">
        <f t="shared" si="1"/>
        <v>0</v>
      </c>
    </row>
    <row r="19" spans="1:18" s="31" customFormat="1" ht="16.95" customHeight="1" x14ac:dyDescent="0.3">
      <c r="A19" s="32"/>
      <c r="B19" s="32"/>
      <c r="C19" s="33"/>
      <c r="D19" s="32"/>
      <c r="E19" s="34"/>
      <c r="F19" s="32"/>
      <c r="G19" s="32"/>
      <c r="H19" s="33"/>
      <c r="I19" s="32"/>
      <c r="J19" s="32"/>
      <c r="K19" s="32"/>
      <c r="L19" s="32"/>
      <c r="M19" s="35"/>
      <c r="N19" s="29">
        <f>SUM(N16:N18)</f>
        <v>0</v>
      </c>
      <c r="O19" s="36">
        <f>SUM(O16:O18)</f>
        <v>0</v>
      </c>
      <c r="P19" s="29">
        <f t="shared" si="1"/>
        <v>0</v>
      </c>
    </row>
    <row r="20" spans="1:18" s="14" customFormat="1" ht="15.6" x14ac:dyDescent="0.3">
      <c r="A20" s="15"/>
      <c r="B20" s="15"/>
      <c r="C20" s="16"/>
      <c r="D20" s="15"/>
      <c r="E20" s="17"/>
      <c r="F20" s="15"/>
      <c r="G20" s="15"/>
      <c r="H20" s="16"/>
      <c r="I20" s="15"/>
      <c r="J20" s="15"/>
      <c r="K20" s="15"/>
      <c r="L20" s="15"/>
      <c r="M20" s="15"/>
      <c r="N20" s="18"/>
      <c r="O20" s="19"/>
      <c r="P20" s="18"/>
    </row>
    <row r="21" spans="1:18" s="3" customFormat="1" ht="30" customHeight="1" x14ac:dyDescent="0.3">
      <c r="A21" s="120" t="s">
        <v>19</v>
      </c>
      <c r="B21" s="121"/>
      <c r="C21" s="121"/>
      <c r="D21" s="121"/>
      <c r="E21" s="121"/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2"/>
    </row>
    <row r="22" spans="1:18" s="7" customFormat="1" ht="29.4" customHeight="1" x14ac:dyDescent="0.3">
      <c r="A22" s="21" t="s">
        <v>0</v>
      </c>
      <c r="B22" s="21" t="s">
        <v>9</v>
      </c>
      <c r="C22" s="22" t="s">
        <v>11</v>
      </c>
      <c r="D22" s="21" t="s">
        <v>2</v>
      </c>
      <c r="E22" s="21" t="s">
        <v>1</v>
      </c>
      <c r="F22" s="21" t="s">
        <v>14</v>
      </c>
      <c r="G22" s="21" t="s">
        <v>8</v>
      </c>
      <c r="H22" s="22" t="s">
        <v>10</v>
      </c>
      <c r="I22" s="22" t="s">
        <v>12</v>
      </c>
      <c r="J22" s="22" t="s">
        <v>13</v>
      </c>
      <c r="K22" s="22" t="s">
        <v>27</v>
      </c>
      <c r="L22" s="21" t="s">
        <v>3</v>
      </c>
      <c r="M22" s="21" t="s">
        <v>4</v>
      </c>
      <c r="N22" s="21" t="s">
        <v>7</v>
      </c>
      <c r="O22" s="21" t="s">
        <v>5</v>
      </c>
      <c r="P22" s="21" t="s">
        <v>6</v>
      </c>
      <c r="R22" s="14"/>
    </row>
    <row r="23" spans="1:18" ht="16.95" customHeight="1" x14ac:dyDescent="0.3">
      <c r="A23" s="26">
        <v>250065</v>
      </c>
      <c r="B23" s="26">
        <v>430</v>
      </c>
      <c r="C23" s="27">
        <v>0.5</v>
      </c>
      <c r="D23" s="26">
        <v>32.299999999999997</v>
      </c>
      <c r="E23" s="28" t="s">
        <v>63</v>
      </c>
      <c r="F23" s="26" t="s">
        <v>23</v>
      </c>
      <c r="G23" s="26">
        <v>430</v>
      </c>
      <c r="H23" s="27">
        <v>0.6</v>
      </c>
      <c r="I23" s="26"/>
      <c r="J23" s="26"/>
      <c r="K23" s="26" t="s">
        <v>38</v>
      </c>
      <c r="L23" s="26" t="s">
        <v>39</v>
      </c>
      <c r="M23" s="26" t="s">
        <v>24</v>
      </c>
      <c r="N23" s="29">
        <v>1500</v>
      </c>
      <c r="O23" s="30">
        <v>1500</v>
      </c>
      <c r="P23" s="29">
        <f>N23-O23</f>
        <v>0</v>
      </c>
    </row>
    <row r="24" spans="1:18" ht="16.95" customHeight="1" x14ac:dyDescent="0.3">
      <c r="A24" s="26">
        <v>250066</v>
      </c>
      <c r="B24" s="26">
        <v>430</v>
      </c>
      <c r="C24" s="27">
        <v>0.5</v>
      </c>
      <c r="D24" s="26">
        <v>32.299999999999997</v>
      </c>
      <c r="E24" s="28" t="s">
        <v>64</v>
      </c>
      <c r="F24" s="26" t="s">
        <v>23</v>
      </c>
      <c r="G24" s="26">
        <v>430</v>
      </c>
      <c r="H24" s="27">
        <v>0.6</v>
      </c>
      <c r="I24" s="26"/>
      <c r="J24" s="26"/>
      <c r="K24" s="26" t="s">
        <v>38</v>
      </c>
      <c r="L24" s="26" t="s">
        <v>39</v>
      </c>
      <c r="M24" s="26" t="s">
        <v>24</v>
      </c>
      <c r="N24" s="29">
        <v>1500</v>
      </c>
      <c r="O24" s="30">
        <v>1500</v>
      </c>
      <c r="P24" s="29">
        <f>N24-O24</f>
        <v>0</v>
      </c>
    </row>
    <row r="25" spans="1:18" ht="16.95" customHeight="1" x14ac:dyDescent="0.3">
      <c r="A25" s="26">
        <v>270825</v>
      </c>
      <c r="B25" s="26">
        <v>430</v>
      </c>
      <c r="C25" s="27">
        <v>0.5</v>
      </c>
      <c r="D25" s="26">
        <v>32.299999999999997</v>
      </c>
      <c r="E25" s="28" t="s">
        <v>41</v>
      </c>
      <c r="F25" s="26" t="s">
        <v>23</v>
      </c>
      <c r="G25" s="26">
        <v>430</v>
      </c>
      <c r="H25" s="27">
        <v>0.6</v>
      </c>
      <c r="I25" s="26"/>
      <c r="J25" s="26"/>
      <c r="K25" s="26" t="s">
        <v>40</v>
      </c>
      <c r="L25" s="26" t="s">
        <v>39</v>
      </c>
      <c r="M25" s="26" t="s">
        <v>24</v>
      </c>
      <c r="N25" s="29">
        <v>2000</v>
      </c>
      <c r="O25" s="30">
        <v>1400</v>
      </c>
      <c r="P25" s="29" t="s">
        <v>37</v>
      </c>
    </row>
    <row r="26" spans="1:18" ht="16.95" customHeight="1" x14ac:dyDescent="0.3">
      <c r="A26" s="26">
        <v>250825</v>
      </c>
      <c r="B26" s="26">
        <v>430</v>
      </c>
      <c r="C26" s="27">
        <v>0.8</v>
      </c>
      <c r="D26" s="26">
        <v>42.5</v>
      </c>
      <c r="E26" s="28" t="s">
        <v>45</v>
      </c>
      <c r="F26" s="26" t="s">
        <v>42</v>
      </c>
      <c r="G26" s="26">
        <v>430</v>
      </c>
      <c r="H26" s="27">
        <v>0.6</v>
      </c>
      <c r="I26" s="26"/>
      <c r="J26" s="26"/>
      <c r="K26" s="26" t="s">
        <v>43</v>
      </c>
      <c r="L26" s="26" t="s">
        <v>44</v>
      </c>
      <c r="M26" s="26" t="s">
        <v>24</v>
      </c>
      <c r="N26" s="29">
        <v>5000</v>
      </c>
      <c r="O26" s="30"/>
      <c r="P26" s="29" t="s">
        <v>37</v>
      </c>
    </row>
    <row r="27" spans="1:18" ht="16.95" customHeight="1" x14ac:dyDescent="0.3">
      <c r="A27" s="26">
        <v>250825</v>
      </c>
      <c r="B27" s="26">
        <v>430</v>
      </c>
      <c r="C27" s="27">
        <v>0.8</v>
      </c>
      <c r="D27" s="26">
        <v>36</v>
      </c>
      <c r="E27" s="28" t="s">
        <v>46</v>
      </c>
      <c r="F27" s="26" t="s">
        <v>42</v>
      </c>
      <c r="G27" s="26">
        <v>430</v>
      </c>
      <c r="H27" s="27">
        <v>0.6</v>
      </c>
      <c r="I27" s="26"/>
      <c r="J27" s="26"/>
      <c r="K27" s="26" t="s">
        <v>47</v>
      </c>
      <c r="L27" s="26" t="s">
        <v>44</v>
      </c>
      <c r="M27" s="26" t="s">
        <v>24</v>
      </c>
      <c r="N27" s="29">
        <v>5000</v>
      </c>
      <c r="O27" s="30"/>
      <c r="P27" s="29" t="s">
        <v>37</v>
      </c>
    </row>
    <row r="28" spans="1:18" ht="16.95" hidden="1" customHeight="1" x14ac:dyDescent="0.3">
      <c r="A28" s="26"/>
      <c r="B28" s="26"/>
      <c r="C28" s="27"/>
      <c r="D28" s="26"/>
      <c r="E28" s="28"/>
      <c r="F28" s="26"/>
      <c r="G28" s="26"/>
      <c r="H28" s="27"/>
      <c r="I28" s="26"/>
      <c r="J28" s="26"/>
      <c r="K28" s="26"/>
      <c r="L28" s="26"/>
      <c r="M28" s="26"/>
      <c r="N28" s="29"/>
      <c r="O28" s="30"/>
      <c r="P28" s="29" t="s">
        <v>37</v>
      </c>
    </row>
    <row r="29" spans="1:18" ht="16.95" hidden="1" customHeight="1" x14ac:dyDescent="0.3">
      <c r="A29" s="26"/>
      <c r="B29" s="26"/>
      <c r="C29" s="27"/>
      <c r="D29" s="26"/>
      <c r="E29" s="28"/>
      <c r="F29" s="26"/>
      <c r="G29" s="26"/>
      <c r="H29" s="27"/>
      <c r="I29" s="26"/>
      <c r="J29" s="26"/>
      <c r="K29" s="26"/>
      <c r="L29" s="26"/>
      <c r="M29" s="26"/>
      <c r="N29" s="26"/>
      <c r="O29" s="30"/>
      <c r="P29" s="29">
        <f t="shared" ref="P29:P32" si="2">N29-O29</f>
        <v>0</v>
      </c>
    </row>
    <row r="30" spans="1:18" ht="16.95" hidden="1" customHeight="1" x14ac:dyDescent="0.3">
      <c r="A30" s="26"/>
      <c r="B30" s="26"/>
      <c r="C30" s="27"/>
      <c r="D30" s="26"/>
      <c r="E30" s="28"/>
      <c r="F30" s="26"/>
      <c r="G30" s="26"/>
      <c r="H30" s="27"/>
      <c r="I30" s="26"/>
      <c r="J30" s="26"/>
      <c r="K30" s="26"/>
      <c r="L30" s="26"/>
      <c r="M30" s="26"/>
      <c r="N30" s="26"/>
      <c r="O30" s="30"/>
      <c r="P30" s="29">
        <f t="shared" si="2"/>
        <v>0</v>
      </c>
    </row>
    <row r="31" spans="1:18" ht="16.95" customHeight="1" x14ac:dyDescent="0.3">
      <c r="A31" s="26"/>
      <c r="B31" s="26"/>
      <c r="C31" s="27"/>
      <c r="D31" s="26"/>
      <c r="E31" s="28"/>
      <c r="F31" s="26"/>
      <c r="G31" s="26"/>
      <c r="H31" s="27"/>
      <c r="I31" s="26"/>
      <c r="J31" s="26"/>
      <c r="K31" s="26"/>
      <c r="L31" s="26"/>
      <c r="M31" s="26"/>
      <c r="N31" s="26"/>
      <c r="O31" s="30"/>
      <c r="P31" s="29">
        <f t="shared" si="2"/>
        <v>0</v>
      </c>
    </row>
    <row r="32" spans="1:18" s="14" customFormat="1" ht="15.6" x14ac:dyDescent="0.3">
      <c r="A32" s="32"/>
      <c r="B32" s="32"/>
      <c r="C32" s="33"/>
      <c r="D32" s="32"/>
      <c r="E32" s="34"/>
      <c r="F32" s="32"/>
      <c r="G32" s="32"/>
      <c r="H32" s="33"/>
      <c r="I32" s="32"/>
      <c r="J32" s="32"/>
      <c r="K32" s="32"/>
      <c r="L32" s="32"/>
      <c r="M32" s="35"/>
      <c r="N32" s="29">
        <f>SUM(N23:N31)</f>
        <v>15000</v>
      </c>
      <c r="O32" s="36">
        <f>SUM(O23:O31)</f>
        <v>4400</v>
      </c>
      <c r="P32" s="29">
        <f t="shared" si="2"/>
        <v>10600</v>
      </c>
    </row>
    <row r="33" spans="1:18" s="14" customFormat="1" ht="15.6" x14ac:dyDescent="0.3">
      <c r="A33" s="15"/>
      <c r="B33" s="15"/>
      <c r="C33" s="16"/>
      <c r="D33" s="15"/>
      <c r="E33" s="17"/>
      <c r="F33" s="15"/>
      <c r="G33" s="15"/>
      <c r="H33" s="16"/>
      <c r="I33" s="15"/>
      <c r="J33" s="15"/>
      <c r="K33" s="15"/>
      <c r="L33" s="15"/>
      <c r="M33" s="15"/>
      <c r="N33" s="18"/>
      <c r="O33" s="19"/>
      <c r="P33" s="18"/>
    </row>
    <row r="34" spans="1:18" s="3" customFormat="1" ht="30" customHeight="1" x14ac:dyDescent="0.3">
      <c r="A34" s="120" t="s">
        <v>29</v>
      </c>
      <c r="B34" s="121"/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2"/>
    </row>
    <row r="35" spans="1:18" s="7" customFormat="1" ht="29.4" customHeight="1" x14ac:dyDescent="0.3">
      <c r="A35" s="21" t="s">
        <v>0</v>
      </c>
      <c r="B35" s="21" t="s">
        <v>9</v>
      </c>
      <c r="C35" s="22" t="s">
        <v>11</v>
      </c>
      <c r="D35" s="21" t="s">
        <v>2</v>
      </c>
      <c r="E35" s="21" t="s">
        <v>1</v>
      </c>
      <c r="F35" s="21" t="s">
        <v>14</v>
      </c>
      <c r="G35" s="21" t="s">
        <v>8</v>
      </c>
      <c r="H35" s="22" t="s">
        <v>10</v>
      </c>
      <c r="I35" s="22" t="s">
        <v>12</v>
      </c>
      <c r="J35" s="22" t="s">
        <v>13</v>
      </c>
      <c r="K35" s="22" t="s">
        <v>27</v>
      </c>
      <c r="L35" s="21" t="s">
        <v>3</v>
      </c>
      <c r="M35" s="21" t="s">
        <v>4</v>
      </c>
      <c r="N35" s="21" t="s">
        <v>7</v>
      </c>
      <c r="O35" s="21" t="s">
        <v>5</v>
      </c>
      <c r="P35" s="21" t="s">
        <v>6</v>
      </c>
      <c r="R35" s="14"/>
    </row>
    <row r="36" spans="1:18" ht="16.95" customHeight="1" x14ac:dyDescent="0.3">
      <c r="A36" s="26">
        <v>250068</v>
      </c>
      <c r="B36" s="26">
        <v>304</v>
      </c>
      <c r="C36" s="27">
        <v>0.6</v>
      </c>
      <c r="D36" s="26">
        <v>51</v>
      </c>
      <c r="E36" s="28" t="s">
        <v>30</v>
      </c>
      <c r="F36" s="26" t="s">
        <v>23</v>
      </c>
      <c r="G36" s="26">
        <v>430</v>
      </c>
      <c r="H36" s="27">
        <v>0.6</v>
      </c>
      <c r="I36" s="26"/>
      <c r="J36" s="26"/>
      <c r="K36" s="26" t="s">
        <v>28</v>
      </c>
      <c r="L36" s="26" t="s">
        <v>24</v>
      </c>
      <c r="M36" s="26" t="s">
        <v>24</v>
      </c>
      <c r="N36" s="29">
        <v>1650</v>
      </c>
      <c r="O36" s="30">
        <v>1650</v>
      </c>
      <c r="P36" s="29">
        <f t="shared" ref="P36:P45" si="3">N36-O36</f>
        <v>0</v>
      </c>
    </row>
    <row r="37" spans="1:18" ht="16.95" customHeight="1" x14ac:dyDescent="0.3">
      <c r="A37" s="26">
        <v>250069</v>
      </c>
      <c r="B37" s="26">
        <v>304</v>
      </c>
      <c r="C37" s="27">
        <v>0.6</v>
      </c>
      <c r="D37" s="26">
        <v>51</v>
      </c>
      <c r="E37" s="28" t="s">
        <v>31</v>
      </c>
      <c r="F37" s="26" t="s">
        <v>23</v>
      </c>
      <c r="G37" s="26">
        <v>430</v>
      </c>
      <c r="H37" s="27">
        <v>0.6</v>
      </c>
      <c r="I37" s="26"/>
      <c r="J37" s="26"/>
      <c r="K37" s="26" t="s">
        <v>28</v>
      </c>
      <c r="L37" s="26" t="s">
        <v>24</v>
      </c>
      <c r="M37" s="26" t="s">
        <v>24</v>
      </c>
      <c r="N37" s="29">
        <v>1650</v>
      </c>
      <c r="O37" s="30">
        <v>1650</v>
      </c>
      <c r="P37" s="29">
        <f t="shared" si="3"/>
        <v>0</v>
      </c>
    </row>
    <row r="38" spans="1:18" ht="16.95" customHeight="1" x14ac:dyDescent="0.3">
      <c r="A38" s="26">
        <v>250068</v>
      </c>
      <c r="B38" s="26">
        <v>304</v>
      </c>
      <c r="C38" s="27">
        <v>0.6</v>
      </c>
      <c r="D38" s="26">
        <v>54.3</v>
      </c>
      <c r="E38" s="28" t="s">
        <v>34</v>
      </c>
      <c r="F38" s="26" t="s">
        <v>23</v>
      </c>
      <c r="G38" s="26">
        <v>430</v>
      </c>
      <c r="H38" s="27">
        <v>0.6</v>
      </c>
      <c r="I38" s="26"/>
      <c r="J38" s="26"/>
      <c r="K38" s="26" t="s">
        <v>28</v>
      </c>
      <c r="L38" s="26" t="s">
        <v>24</v>
      </c>
      <c r="M38" s="26" t="s">
        <v>24</v>
      </c>
      <c r="N38" s="29">
        <v>1650</v>
      </c>
      <c r="O38" s="30">
        <v>1100</v>
      </c>
      <c r="P38" s="29">
        <f t="shared" si="3"/>
        <v>550</v>
      </c>
    </row>
    <row r="39" spans="1:18" ht="16.95" customHeight="1" x14ac:dyDescent="0.3">
      <c r="A39" s="26">
        <v>250069</v>
      </c>
      <c r="B39" s="26">
        <v>304</v>
      </c>
      <c r="C39" s="27">
        <v>0.6</v>
      </c>
      <c r="D39" s="26">
        <v>54.3</v>
      </c>
      <c r="E39" s="28" t="s">
        <v>35</v>
      </c>
      <c r="F39" s="26" t="s">
        <v>23</v>
      </c>
      <c r="G39" s="26">
        <v>430</v>
      </c>
      <c r="H39" s="27">
        <v>0.6</v>
      </c>
      <c r="I39" s="26"/>
      <c r="J39" s="26"/>
      <c r="K39" s="26" t="s">
        <v>28</v>
      </c>
      <c r="L39" s="26" t="s">
        <v>24</v>
      </c>
      <c r="M39" s="26" t="s">
        <v>24</v>
      </c>
      <c r="N39" s="29">
        <v>1650</v>
      </c>
      <c r="O39" s="30"/>
      <c r="P39" s="29">
        <f t="shared" si="3"/>
        <v>1650</v>
      </c>
    </row>
    <row r="40" spans="1:18" ht="16.95" customHeight="1" x14ac:dyDescent="0.3">
      <c r="A40" s="26">
        <v>250825</v>
      </c>
      <c r="B40" s="26">
        <v>430</v>
      </c>
      <c r="C40" s="27">
        <v>0.8</v>
      </c>
      <c r="D40" s="26">
        <v>42.5</v>
      </c>
      <c r="E40" s="28" t="s">
        <v>48</v>
      </c>
      <c r="F40" s="26" t="s">
        <v>42</v>
      </c>
      <c r="G40" s="26">
        <v>430</v>
      </c>
      <c r="H40" s="27">
        <v>0.6</v>
      </c>
      <c r="I40" s="26"/>
      <c r="J40" s="26"/>
      <c r="K40" s="26" t="s">
        <v>43</v>
      </c>
      <c r="L40" s="26" t="s">
        <v>44</v>
      </c>
      <c r="M40" s="26" t="s">
        <v>24</v>
      </c>
      <c r="N40" s="29">
        <v>5000</v>
      </c>
      <c r="O40" s="30"/>
      <c r="P40" s="29">
        <f t="shared" si="3"/>
        <v>5000</v>
      </c>
    </row>
    <row r="41" spans="1:18" ht="16.95" customHeight="1" x14ac:dyDescent="0.3">
      <c r="A41" s="26">
        <v>250825</v>
      </c>
      <c r="B41" s="26">
        <v>430</v>
      </c>
      <c r="C41" s="27">
        <v>0.8</v>
      </c>
      <c r="D41" s="26">
        <v>36</v>
      </c>
      <c r="E41" s="28" t="s">
        <v>49</v>
      </c>
      <c r="F41" s="26" t="s">
        <v>42</v>
      </c>
      <c r="G41" s="26">
        <v>430</v>
      </c>
      <c r="H41" s="27">
        <v>0.6</v>
      </c>
      <c r="I41" s="26"/>
      <c r="J41" s="26"/>
      <c r="K41" s="26" t="s">
        <v>47</v>
      </c>
      <c r="L41" s="26" t="s">
        <v>44</v>
      </c>
      <c r="M41" s="26" t="s">
        <v>24</v>
      </c>
      <c r="N41" s="29">
        <v>5000</v>
      </c>
      <c r="O41" s="30"/>
      <c r="P41" s="29">
        <f t="shared" si="3"/>
        <v>5000</v>
      </c>
    </row>
    <row r="42" spans="1:18" ht="16.95" hidden="1" customHeight="1" x14ac:dyDescent="0.3">
      <c r="A42" s="26"/>
      <c r="B42" s="26"/>
      <c r="C42" s="27"/>
      <c r="D42" s="26"/>
      <c r="E42" s="28"/>
      <c r="F42" s="26"/>
      <c r="G42" s="26"/>
      <c r="H42" s="27"/>
      <c r="I42" s="26"/>
      <c r="J42" s="26"/>
      <c r="K42" s="26"/>
      <c r="L42" s="26"/>
      <c r="M42" s="26"/>
      <c r="N42" s="26"/>
      <c r="O42" s="30"/>
      <c r="P42" s="29">
        <f t="shared" si="3"/>
        <v>0</v>
      </c>
    </row>
    <row r="43" spans="1:18" ht="16.95" hidden="1" customHeight="1" x14ac:dyDescent="0.3">
      <c r="A43" s="26"/>
      <c r="B43" s="26"/>
      <c r="C43" s="27"/>
      <c r="D43" s="26"/>
      <c r="E43" s="28"/>
      <c r="F43" s="26"/>
      <c r="G43" s="26"/>
      <c r="H43" s="27"/>
      <c r="I43" s="26"/>
      <c r="J43" s="26"/>
      <c r="K43" s="26"/>
      <c r="L43" s="26"/>
      <c r="M43" s="26"/>
      <c r="N43" s="26"/>
      <c r="O43" s="30"/>
      <c r="P43" s="29">
        <f t="shared" si="3"/>
        <v>0</v>
      </c>
    </row>
    <row r="44" spans="1:18" ht="16.95" customHeight="1" x14ac:dyDescent="0.3">
      <c r="A44" s="26"/>
      <c r="B44" s="26"/>
      <c r="C44" s="27"/>
      <c r="D44" s="26"/>
      <c r="E44" s="28"/>
      <c r="F44" s="26"/>
      <c r="G44" s="26"/>
      <c r="H44" s="27"/>
      <c r="I44" s="26"/>
      <c r="J44" s="26"/>
      <c r="K44" s="26"/>
      <c r="L44" s="26"/>
      <c r="M44" s="26"/>
      <c r="N44" s="26"/>
      <c r="O44" s="30"/>
      <c r="P44" s="29">
        <f t="shared" si="3"/>
        <v>0</v>
      </c>
    </row>
    <row r="45" spans="1:18" s="14" customFormat="1" ht="16.95" customHeight="1" x14ac:dyDescent="0.3">
      <c r="A45" s="32"/>
      <c r="B45" s="32"/>
      <c r="C45" s="33"/>
      <c r="D45" s="32"/>
      <c r="E45" s="34"/>
      <c r="F45" s="32"/>
      <c r="G45" s="32"/>
      <c r="H45" s="33"/>
      <c r="I45" s="32"/>
      <c r="J45" s="32"/>
      <c r="K45" s="32"/>
      <c r="L45" s="32"/>
      <c r="M45" s="35"/>
      <c r="N45" s="29">
        <f>SUM(N36:N44)</f>
        <v>16600</v>
      </c>
      <c r="O45" s="36">
        <f>SUM(O36:O44)</f>
        <v>4400</v>
      </c>
      <c r="P45" s="29">
        <f t="shared" si="3"/>
        <v>12200</v>
      </c>
    </row>
    <row r="46" spans="1:18" s="14" customFormat="1" ht="15.6" x14ac:dyDescent="0.3">
      <c r="A46" s="15"/>
      <c r="B46" s="15"/>
      <c r="C46" s="16"/>
      <c r="D46" s="15"/>
      <c r="E46" s="17"/>
      <c r="F46" s="15"/>
      <c r="G46" s="15"/>
      <c r="H46" s="16"/>
      <c r="I46" s="15"/>
      <c r="J46" s="15"/>
      <c r="K46" s="15"/>
      <c r="L46" s="15"/>
      <c r="M46" s="15"/>
      <c r="N46" s="18"/>
      <c r="O46" s="19"/>
      <c r="P46" s="18"/>
    </row>
    <row r="47" spans="1:18" s="3" customFormat="1" ht="30" customHeight="1" x14ac:dyDescent="0.3">
      <c r="A47" s="120" t="s">
        <v>21</v>
      </c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2"/>
    </row>
    <row r="48" spans="1:18" s="7" customFormat="1" ht="29.4" customHeight="1" x14ac:dyDescent="0.3">
      <c r="A48" s="21" t="s">
        <v>0</v>
      </c>
      <c r="B48" s="21" t="s">
        <v>9</v>
      </c>
      <c r="C48" s="22" t="s">
        <v>11</v>
      </c>
      <c r="D48" s="21" t="s">
        <v>2</v>
      </c>
      <c r="E48" s="21" t="s">
        <v>1</v>
      </c>
      <c r="F48" s="21" t="s">
        <v>14</v>
      </c>
      <c r="G48" s="21" t="s">
        <v>8</v>
      </c>
      <c r="H48" s="22" t="s">
        <v>10</v>
      </c>
      <c r="I48" s="22" t="s">
        <v>12</v>
      </c>
      <c r="J48" s="22" t="s">
        <v>13</v>
      </c>
      <c r="K48" s="22" t="s">
        <v>27</v>
      </c>
      <c r="L48" s="21" t="s">
        <v>3</v>
      </c>
      <c r="M48" s="21" t="s">
        <v>4</v>
      </c>
      <c r="N48" s="21" t="s">
        <v>7</v>
      </c>
      <c r="O48" s="21" t="s">
        <v>5</v>
      </c>
      <c r="P48" s="21" t="s">
        <v>6</v>
      </c>
      <c r="R48" s="14"/>
    </row>
    <row r="49" spans="1:16" s="31" customFormat="1" ht="16.95" customHeight="1" x14ac:dyDescent="0.3">
      <c r="A49" s="26">
        <v>250065</v>
      </c>
      <c r="B49" s="26">
        <v>430</v>
      </c>
      <c r="C49" s="27">
        <v>0.5</v>
      </c>
      <c r="D49" s="26">
        <v>26</v>
      </c>
      <c r="E49" s="28" t="s">
        <v>50</v>
      </c>
      <c r="F49" s="26" t="s">
        <v>23</v>
      </c>
      <c r="G49" s="26">
        <v>430</v>
      </c>
      <c r="H49" s="27">
        <v>0.6</v>
      </c>
      <c r="I49" s="26"/>
      <c r="J49" s="26"/>
      <c r="K49" s="26" t="s">
        <v>38</v>
      </c>
      <c r="L49" s="26" t="s">
        <v>39</v>
      </c>
      <c r="M49" s="26" t="s">
        <v>24</v>
      </c>
      <c r="N49" s="29">
        <v>1500</v>
      </c>
      <c r="O49" s="30">
        <v>400</v>
      </c>
      <c r="P49" s="29">
        <f>N49-O49</f>
        <v>1100</v>
      </c>
    </row>
    <row r="50" spans="1:16" s="31" customFormat="1" ht="16.95" customHeight="1" x14ac:dyDescent="0.3">
      <c r="A50" s="26">
        <v>250066</v>
      </c>
      <c r="B50" s="26">
        <v>430</v>
      </c>
      <c r="C50" s="27">
        <v>0.5</v>
      </c>
      <c r="D50" s="26">
        <v>26</v>
      </c>
      <c r="E50" s="28" t="s">
        <v>51</v>
      </c>
      <c r="F50" s="26" t="s">
        <v>23</v>
      </c>
      <c r="G50" s="26">
        <v>430</v>
      </c>
      <c r="H50" s="27">
        <v>0.6</v>
      </c>
      <c r="I50" s="26"/>
      <c r="J50" s="26"/>
      <c r="K50" s="26" t="s">
        <v>38</v>
      </c>
      <c r="L50" s="26" t="s">
        <v>39</v>
      </c>
      <c r="M50" s="26" t="s">
        <v>24</v>
      </c>
      <c r="N50" s="29">
        <v>1500</v>
      </c>
      <c r="O50" s="30"/>
      <c r="P50" s="29">
        <f t="shared" ref="P50:P63" si="4">N50-O50</f>
        <v>1500</v>
      </c>
    </row>
    <row r="51" spans="1:16" s="31" customFormat="1" ht="16.95" customHeight="1" x14ac:dyDescent="0.3">
      <c r="A51" s="26">
        <v>270825</v>
      </c>
      <c r="B51" s="26">
        <v>430</v>
      </c>
      <c r="C51" s="27">
        <v>0.5</v>
      </c>
      <c r="D51" s="26">
        <v>26</v>
      </c>
      <c r="E51" s="28" t="s">
        <v>52</v>
      </c>
      <c r="F51" s="26" t="s">
        <v>23</v>
      </c>
      <c r="G51" s="26">
        <v>430</v>
      </c>
      <c r="H51" s="27">
        <v>0.6</v>
      </c>
      <c r="I51" s="26"/>
      <c r="J51" s="26"/>
      <c r="K51" s="26" t="s">
        <v>40</v>
      </c>
      <c r="L51" s="26" t="s">
        <v>39</v>
      </c>
      <c r="M51" s="26" t="s">
        <v>24</v>
      </c>
      <c r="N51" s="29">
        <v>2000</v>
      </c>
      <c r="O51" s="30"/>
      <c r="P51" s="29">
        <f t="shared" si="4"/>
        <v>2000</v>
      </c>
    </row>
    <row r="52" spans="1:16" s="31" customFormat="1" ht="16.95" customHeight="1" x14ac:dyDescent="0.3">
      <c r="A52" s="26">
        <v>250065</v>
      </c>
      <c r="B52" s="26">
        <v>430</v>
      </c>
      <c r="C52" s="27">
        <v>0.5</v>
      </c>
      <c r="D52" s="26">
        <v>22</v>
      </c>
      <c r="E52" s="28" t="s">
        <v>53</v>
      </c>
      <c r="F52" s="26" t="s">
        <v>23</v>
      </c>
      <c r="G52" s="26">
        <v>430</v>
      </c>
      <c r="H52" s="27">
        <v>0.6</v>
      </c>
      <c r="I52" s="26"/>
      <c r="J52" s="26"/>
      <c r="K52" s="26" t="s">
        <v>38</v>
      </c>
      <c r="L52" s="26" t="s">
        <v>39</v>
      </c>
      <c r="M52" s="26" t="s">
        <v>24</v>
      </c>
      <c r="N52" s="29">
        <v>1500</v>
      </c>
      <c r="O52" s="30"/>
      <c r="P52" s="29">
        <f t="shared" si="4"/>
        <v>1500</v>
      </c>
    </row>
    <row r="53" spans="1:16" s="31" customFormat="1" ht="16.95" customHeight="1" x14ac:dyDescent="0.3">
      <c r="A53" s="26">
        <v>250066</v>
      </c>
      <c r="B53" s="26">
        <v>430</v>
      </c>
      <c r="C53" s="27">
        <v>0.5</v>
      </c>
      <c r="D53" s="26">
        <v>22</v>
      </c>
      <c r="E53" s="28" t="s">
        <v>54</v>
      </c>
      <c r="F53" s="26" t="s">
        <v>23</v>
      </c>
      <c r="G53" s="26">
        <v>430</v>
      </c>
      <c r="H53" s="27">
        <v>0.6</v>
      </c>
      <c r="I53" s="26"/>
      <c r="J53" s="26"/>
      <c r="K53" s="26" t="s">
        <v>38</v>
      </c>
      <c r="L53" s="26" t="s">
        <v>39</v>
      </c>
      <c r="M53" s="26" t="s">
        <v>24</v>
      </c>
      <c r="N53" s="29">
        <v>1500</v>
      </c>
      <c r="O53" s="30"/>
      <c r="P53" s="29">
        <f t="shared" si="4"/>
        <v>1500</v>
      </c>
    </row>
    <row r="54" spans="1:16" s="31" customFormat="1" ht="16.95" hidden="1" customHeight="1" x14ac:dyDescent="0.3">
      <c r="A54" s="26"/>
      <c r="B54" s="26"/>
      <c r="C54" s="27"/>
      <c r="D54" s="26"/>
      <c r="E54" s="28"/>
      <c r="F54" s="26"/>
      <c r="G54" s="26"/>
      <c r="H54" s="27"/>
      <c r="I54" s="26"/>
      <c r="J54" s="26"/>
      <c r="K54" s="26"/>
      <c r="L54" s="26"/>
      <c r="M54" s="26"/>
      <c r="N54" s="29"/>
      <c r="O54" s="30"/>
      <c r="P54" s="29">
        <f t="shared" si="4"/>
        <v>0</v>
      </c>
    </row>
    <row r="55" spans="1:16" s="31" customFormat="1" ht="16.95" hidden="1" customHeight="1" x14ac:dyDescent="0.3">
      <c r="A55" s="26"/>
      <c r="B55" s="26"/>
      <c r="C55" s="27"/>
      <c r="D55" s="26"/>
      <c r="E55" s="28"/>
      <c r="F55" s="26"/>
      <c r="G55" s="26"/>
      <c r="H55" s="27"/>
      <c r="I55" s="26"/>
      <c r="J55" s="26"/>
      <c r="K55" s="26"/>
      <c r="L55" s="26"/>
      <c r="M55" s="26"/>
      <c r="N55" s="29"/>
      <c r="O55" s="30"/>
      <c r="P55" s="29">
        <f t="shared" si="4"/>
        <v>0</v>
      </c>
    </row>
    <row r="56" spans="1:16" s="31" customFormat="1" ht="16.95" hidden="1" customHeight="1" x14ac:dyDescent="0.3">
      <c r="A56" s="26"/>
      <c r="B56" s="26"/>
      <c r="C56" s="27"/>
      <c r="D56" s="26"/>
      <c r="E56" s="28"/>
      <c r="F56" s="26"/>
      <c r="G56" s="26"/>
      <c r="H56" s="27"/>
      <c r="I56" s="26"/>
      <c r="J56" s="26"/>
      <c r="K56" s="26"/>
      <c r="L56" s="26"/>
      <c r="M56" s="26"/>
      <c r="N56" s="29"/>
      <c r="O56" s="30"/>
      <c r="P56" s="29">
        <f t="shared" si="4"/>
        <v>0</v>
      </c>
    </row>
    <row r="57" spans="1:16" s="31" customFormat="1" ht="16.95" hidden="1" customHeight="1" x14ac:dyDescent="0.3">
      <c r="A57" s="26"/>
      <c r="B57" s="26"/>
      <c r="C57" s="27"/>
      <c r="D57" s="26"/>
      <c r="E57" s="28"/>
      <c r="F57" s="26"/>
      <c r="G57" s="26"/>
      <c r="H57" s="27"/>
      <c r="I57" s="26"/>
      <c r="J57" s="26"/>
      <c r="K57" s="26"/>
      <c r="L57" s="26"/>
      <c r="M57" s="26"/>
      <c r="N57" s="29"/>
      <c r="O57" s="30"/>
      <c r="P57" s="29">
        <f t="shared" si="4"/>
        <v>0</v>
      </c>
    </row>
    <row r="58" spans="1:16" s="31" customFormat="1" ht="16.95" hidden="1" customHeight="1" x14ac:dyDescent="0.3">
      <c r="A58" s="26"/>
      <c r="B58" s="26"/>
      <c r="C58" s="27"/>
      <c r="D58" s="26"/>
      <c r="E58" s="28"/>
      <c r="F58" s="26"/>
      <c r="G58" s="26"/>
      <c r="H58" s="27"/>
      <c r="I58" s="26"/>
      <c r="J58" s="26"/>
      <c r="K58" s="26"/>
      <c r="L58" s="26"/>
      <c r="M58" s="26"/>
      <c r="N58" s="29"/>
      <c r="O58" s="30"/>
      <c r="P58" s="29">
        <f t="shared" si="4"/>
        <v>0</v>
      </c>
    </row>
    <row r="59" spans="1:16" s="31" customFormat="1" ht="16.95" hidden="1" customHeight="1" x14ac:dyDescent="0.3">
      <c r="A59" s="26"/>
      <c r="B59" s="26"/>
      <c r="C59" s="27"/>
      <c r="D59" s="26"/>
      <c r="E59" s="28"/>
      <c r="F59" s="26"/>
      <c r="G59" s="26"/>
      <c r="H59" s="27"/>
      <c r="I59" s="26"/>
      <c r="J59" s="26"/>
      <c r="K59" s="26"/>
      <c r="L59" s="26"/>
      <c r="M59" s="26"/>
      <c r="N59" s="29"/>
      <c r="O59" s="30"/>
      <c r="P59" s="29">
        <f t="shared" si="4"/>
        <v>0</v>
      </c>
    </row>
    <row r="60" spans="1:16" s="31" customFormat="1" ht="16.95" hidden="1" customHeight="1" x14ac:dyDescent="0.3">
      <c r="A60" s="26"/>
      <c r="B60" s="26"/>
      <c r="C60" s="27"/>
      <c r="D60" s="26"/>
      <c r="E60" s="28"/>
      <c r="F60" s="26"/>
      <c r="G60" s="26"/>
      <c r="H60" s="27"/>
      <c r="I60" s="26"/>
      <c r="J60" s="26"/>
      <c r="K60" s="26"/>
      <c r="L60" s="26"/>
      <c r="M60" s="26"/>
      <c r="N60" s="29"/>
      <c r="O60" s="30"/>
      <c r="P60" s="29">
        <f t="shared" si="4"/>
        <v>0</v>
      </c>
    </row>
    <row r="61" spans="1:16" s="31" customFormat="1" ht="16.95" hidden="1" customHeight="1" x14ac:dyDescent="0.3">
      <c r="A61" s="26"/>
      <c r="B61" s="26"/>
      <c r="C61" s="27"/>
      <c r="D61" s="26"/>
      <c r="E61" s="28"/>
      <c r="F61" s="26"/>
      <c r="G61" s="26"/>
      <c r="H61" s="27"/>
      <c r="I61" s="26"/>
      <c r="J61" s="26"/>
      <c r="K61" s="26"/>
      <c r="L61" s="26"/>
      <c r="M61" s="26"/>
      <c r="N61" s="29"/>
      <c r="O61" s="30"/>
      <c r="P61" s="29">
        <f t="shared" si="4"/>
        <v>0</v>
      </c>
    </row>
    <row r="62" spans="1:16" s="31" customFormat="1" ht="16.95" customHeight="1" x14ac:dyDescent="0.3">
      <c r="A62" s="26"/>
      <c r="B62" s="26"/>
      <c r="C62" s="27"/>
      <c r="D62" s="26"/>
      <c r="E62" s="28"/>
      <c r="F62" s="26"/>
      <c r="G62" s="26"/>
      <c r="H62" s="27"/>
      <c r="I62" s="26"/>
      <c r="J62" s="26"/>
      <c r="K62" s="26"/>
      <c r="L62" s="26"/>
      <c r="M62" s="26"/>
      <c r="N62" s="26"/>
      <c r="O62" s="30"/>
      <c r="P62" s="29">
        <f t="shared" si="4"/>
        <v>0</v>
      </c>
    </row>
    <row r="63" spans="1:16" s="31" customFormat="1" ht="16.95" customHeight="1" x14ac:dyDescent="0.3">
      <c r="A63" s="32"/>
      <c r="B63" s="32"/>
      <c r="C63" s="33"/>
      <c r="D63" s="32"/>
      <c r="E63" s="34"/>
      <c r="F63" s="32"/>
      <c r="G63" s="32"/>
      <c r="H63" s="33"/>
      <c r="I63" s="32"/>
      <c r="J63" s="32"/>
      <c r="K63" s="32"/>
      <c r="L63" s="32"/>
      <c r="M63" s="35"/>
      <c r="N63" s="29">
        <f>SUM(N49:N62)</f>
        <v>8000</v>
      </c>
      <c r="O63" s="36">
        <f>SUM(O49:O62)</f>
        <v>400</v>
      </c>
      <c r="P63" s="29">
        <f t="shared" si="4"/>
        <v>7600</v>
      </c>
    </row>
    <row r="65" spans="1:18" s="3" customFormat="1" ht="30" customHeight="1" x14ac:dyDescent="0.3">
      <c r="A65" s="120" t="s">
        <v>22</v>
      </c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2"/>
    </row>
    <row r="66" spans="1:18" s="7" customFormat="1" ht="29.4" customHeight="1" x14ac:dyDescent="0.3">
      <c r="A66" s="21" t="s">
        <v>0</v>
      </c>
      <c r="B66" s="21" t="s">
        <v>9</v>
      </c>
      <c r="C66" s="22" t="s">
        <v>11</v>
      </c>
      <c r="D66" s="21" t="s">
        <v>2</v>
      </c>
      <c r="E66" s="21" t="s">
        <v>1</v>
      </c>
      <c r="F66" s="21" t="s">
        <v>14</v>
      </c>
      <c r="G66" s="21" t="s">
        <v>8</v>
      </c>
      <c r="H66" s="22" t="s">
        <v>10</v>
      </c>
      <c r="I66" s="22" t="s">
        <v>12</v>
      </c>
      <c r="J66" s="22" t="s">
        <v>13</v>
      </c>
      <c r="K66" s="22" t="s">
        <v>27</v>
      </c>
      <c r="L66" s="21" t="s">
        <v>3</v>
      </c>
      <c r="M66" s="21" t="s">
        <v>4</v>
      </c>
      <c r="N66" s="21" t="s">
        <v>7</v>
      </c>
      <c r="O66" s="21" t="s">
        <v>5</v>
      </c>
      <c r="P66" s="21" t="s">
        <v>6</v>
      </c>
      <c r="R66" s="14"/>
    </row>
    <row r="67" spans="1:18" s="31" customFormat="1" ht="16.95" customHeight="1" x14ac:dyDescent="0.3">
      <c r="A67" s="26">
        <v>250040</v>
      </c>
      <c r="B67" s="26">
        <v>304</v>
      </c>
      <c r="C67" s="27">
        <v>0.7</v>
      </c>
      <c r="D67" s="26">
        <v>30.2</v>
      </c>
      <c r="E67" s="28" t="s">
        <v>55</v>
      </c>
      <c r="F67" s="26" t="s">
        <v>42</v>
      </c>
      <c r="G67" s="26">
        <v>304</v>
      </c>
      <c r="H67" s="27">
        <v>0.6</v>
      </c>
      <c r="I67" s="26"/>
      <c r="J67" s="26"/>
      <c r="K67" s="26" t="s">
        <v>56</v>
      </c>
      <c r="L67" s="26" t="s">
        <v>44</v>
      </c>
      <c r="M67" s="26" t="s">
        <v>24</v>
      </c>
      <c r="N67" s="29">
        <v>2400</v>
      </c>
      <c r="O67" s="30">
        <v>850</v>
      </c>
      <c r="P67" s="29">
        <f>N67-O67</f>
        <v>1550</v>
      </c>
    </row>
    <row r="68" spans="1:18" s="31" customFormat="1" ht="16.95" hidden="1" customHeight="1" x14ac:dyDescent="0.3">
      <c r="A68" s="26"/>
      <c r="B68" s="26"/>
      <c r="C68" s="27"/>
      <c r="D68" s="26"/>
      <c r="E68" s="28"/>
      <c r="F68" s="26"/>
      <c r="G68" s="26"/>
      <c r="H68" s="27"/>
      <c r="I68" s="26"/>
      <c r="J68" s="26"/>
      <c r="K68" s="26"/>
      <c r="L68" s="26"/>
      <c r="M68" s="26"/>
      <c r="N68" s="26"/>
      <c r="O68" s="30"/>
      <c r="P68" s="29">
        <f t="shared" ref="P68:P71" si="5">N68-O68</f>
        <v>0</v>
      </c>
    </row>
    <row r="69" spans="1:18" s="31" customFormat="1" ht="16.95" hidden="1" customHeight="1" x14ac:dyDescent="0.3">
      <c r="A69" s="26"/>
      <c r="B69" s="26"/>
      <c r="C69" s="27"/>
      <c r="D69" s="26"/>
      <c r="E69" s="28"/>
      <c r="F69" s="26"/>
      <c r="G69" s="26"/>
      <c r="H69" s="27"/>
      <c r="I69" s="26"/>
      <c r="J69" s="26"/>
      <c r="K69" s="26"/>
      <c r="L69" s="26"/>
      <c r="M69" s="26"/>
      <c r="N69" s="26"/>
      <c r="O69" s="30"/>
      <c r="P69" s="29">
        <f t="shared" si="5"/>
        <v>0</v>
      </c>
    </row>
    <row r="70" spans="1:18" s="31" customFormat="1" ht="16.95" customHeight="1" x14ac:dyDescent="0.3">
      <c r="A70" s="26"/>
      <c r="B70" s="26"/>
      <c r="C70" s="27"/>
      <c r="D70" s="26"/>
      <c r="E70" s="28"/>
      <c r="F70" s="26"/>
      <c r="G70" s="26"/>
      <c r="H70" s="27"/>
      <c r="I70" s="26"/>
      <c r="J70" s="26"/>
      <c r="K70" s="26"/>
      <c r="L70" s="26"/>
      <c r="M70" s="26"/>
      <c r="N70" s="26"/>
      <c r="O70" s="30"/>
      <c r="P70" s="29">
        <f t="shared" si="5"/>
        <v>0</v>
      </c>
    </row>
    <row r="71" spans="1:18" s="31" customFormat="1" ht="16.95" customHeight="1" x14ac:dyDescent="0.3">
      <c r="A71" s="32"/>
      <c r="B71" s="32"/>
      <c r="C71" s="33"/>
      <c r="D71" s="32"/>
      <c r="E71" s="34"/>
      <c r="F71" s="32"/>
      <c r="G71" s="32"/>
      <c r="H71" s="33"/>
      <c r="I71" s="32"/>
      <c r="J71" s="32"/>
      <c r="K71" s="32"/>
      <c r="L71" s="32"/>
      <c r="M71" s="35"/>
      <c r="N71" s="29">
        <f>SUM(N67:N70)</f>
        <v>2400</v>
      </c>
      <c r="O71" s="36">
        <f>SUM(O67:O70)</f>
        <v>850</v>
      </c>
      <c r="P71" s="29">
        <f t="shared" si="5"/>
        <v>1550</v>
      </c>
    </row>
    <row r="73" spans="1:18" s="3" customFormat="1" ht="30" customHeight="1" x14ac:dyDescent="0.3">
      <c r="A73" s="120" t="s">
        <v>15</v>
      </c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2"/>
    </row>
    <row r="74" spans="1:18" s="7" customFormat="1" ht="29.4" customHeight="1" x14ac:dyDescent="0.3">
      <c r="A74" s="21" t="s">
        <v>0</v>
      </c>
      <c r="B74" s="21" t="s">
        <v>9</v>
      </c>
      <c r="C74" s="22" t="s">
        <v>11</v>
      </c>
      <c r="D74" s="21" t="s">
        <v>2</v>
      </c>
      <c r="E74" s="21" t="s">
        <v>1</v>
      </c>
      <c r="F74" s="21" t="s">
        <v>14</v>
      </c>
      <c r="G74" s="21" t="s">
        <v>8</v>
      </c>
      <c r="H74" s="22" t="s">
        <v>10</v>
      </c>
      <c r="I74" s="22" t="s">
        <v>12</v>
      </c>
      <c r="J74" s="22" t="s">
        <v>13</v>
      </c>
      <c r="K74" s="22" t="s">
        <v>27</v>
      </c>
      <c r="L74" s="21" t="s">
        <v>3</v>
      </c>
      <c r="M74" s="21" t="s">
        <v>4</v>
      </c>
      <c r="N74" s="21" t="s">
        <v>7</v>
      </c>
      <c r="O74" s="21" t="s">
        <v>5</v>
      </c>
      <c r="P74" s="21" t="s">
        <v>6</v>
      </c>
      <c r="R74" s="14"/>
    </row>
    <row r="75" spans="1:18" s="31" customFormat="1" ht="16.95" customHeight="1" x14ac:dyDescent="0.3">
      <c r="A75" s="26">
        <v>250825</v>
      </c>
      <c r="B75" s="26"/>
      <c r="C75" s="27"/>
      <c r="D75" s="26"/>
      <c r="E75" s="28" t="s">
        <v>57</v>
      </c>
      <c r="F75" s="26" t="s">
        <v>24</v>
      </c>
      <c r="G75" s="26" t="s">
        <v>24</v>
      </c>
      <c r="H75" s="27" t="s">
        <v>24</v>
      </c>
      <c r="I75" s="26" t="s">
        <v>24</v>
      </c>
      <c r="J75" s="26" t="s">
        <v>24</v>
      </c>
      <c r="K75" s="26" t="s">
        <v>58</v>
      </c>
      <c r="L75" s="26" t="s">
        <v>24</v>
      </c>
      <c r="M75" s="26" t="s">
        <v>24</v>
      </c>
      <c r="N75" s="29">
        <v>5000</v>
      </c>
      <c r="O75" s="30"/>
      <c r="P75" s="29">
        <f>N75-O75</f>
        <v>5000</v>
      </c>
    </row>
    <row r="76" spans="1:18" s="31" customFormat="1" ht="16.95" customHeight="1" x14ac:dyDescent="0.3">
      <c r="A76" s="26">
        <v>250825</v>
      </c>
      <c r="B76" s="26"/>
      <c r="C76" s="27"/>
      <c r="D76" s="26"/>
      <c r="E76" s="28" t="s">
        <v>59</v>
      </c>
      <c r="F76" s="26" t="s">
        <v>24</v>
      </c>
      <c r="G76" s="26" t="s">
        <v>24</v>
      </c>
      <c r="H76" s="27" t="s">
        <v>24</v>
      </c>
      <c r="I76" s="26" t="s">
        <v>24</v>
      </c>
      <c r="J76" s="26" t="s">
        <v>24</v>
      </c>
      <c r="K76" s="26" t="s">
        <v>24</v>
      </c>
      <c r="L76" s="26" t="s">
        <v>24</v>
      </c>
      <c r="M76" s="26" t="s">
        <v>24</v>
      </c>
      <c r="N76" s="26">
        <v>5000</v>
      </c>
      <c r="O76" s="30"/>
      <c r="P76" s="29">
        <f t="shared" ref="P76:P79" si="6">N76-O76</f>
        <v>5000</v>
      </c>
    </row>
    <row r="77" spans="1:18" s="31" customFormat="1" ht="16.95" customHeight="1" x14ac:dyDescent="0.3">
      <c r="A77" s="26"/>
      <c r="B77" s="26"/>
      <c r="C77" s="27"/>
      <c r="D77" s="26"/>
      <c r="E77" s="28"/>
      <c r="F77" s="26"/>
      <c r="G77" s="26"/>
      <c r="H77" s="27"/>
      <c r="I77" s="26"/>
      <c r="J77" s="26"/>
      <c r="K77" s="26"/>
      <c r="L77" s="26"/>
      <c r="M77" s="26"/>
      <c r="N77" s="26"/>
      <c r="O77" s="30"/>
      <c r="P77" s="29">
        <f t="shared" si="6"/>
        <v>0</v>
      </c>
    </row>
    <row r="78" spans="1:18" s="31" customFormat="1" ht="16.95" customHeight="1" x14ac:dyDescent="0.3">
      <c r="A78" s="26"/>
      <c r="B78" s="26"/>
      <c r="C78" s="27"/>
      <c r="D78" s="26"/>
      <c r="E78" s="28"/>
      <c r="F78" s="26"/>
      <c r="G78" s="26"/>
      <c r="H78" s="27"/>
      <c r="I78" s="26"/>
      <c r="J78" s="26"/>
      <c r="K78" s="26"/>
      <c r="L78" s="26"/>
      <c r="M78" s="26"/>
      <c r="N78" s="26"/>
      <c r="O78" s="30"/>
      <c r="P78" s="29">
        <f t="shared" si="6"/>
        <v>0</v>
      </c>
    </row>
    <row r="79" spans="1:18" s="31" customFormat="1" ht="16.95" customHeight="1" x14ac:dyDescent="0.3">
      <c r="A79" s="32"/>
      <c r="B79" s="32"/>
      <c r="C79" s="33"/>
      <c r="D79" s="32"/>
      <c r="E79" s="34"/>
      <c r="F79" s="32"/>
      <c r="G79" s="32"/>
      <c r="H79" s="33"/>
      <c r="I79" s="32"/>
      <c r="J79" s="32"/>
      <c r="K79" s="32"/>
      <c r="L79" s="32"/>
      <c r="M79" s="35"/>
      <c r="N79" s="29">
        <f>SUM(N75:N78)</f>
        <v>10000</v>
      </c>
      <c r="O79" s="36">
        <f>SUM(O75:O78)</f>
        <v>0</v>
      </c>
      <c r="P79" s="29">
        <f t="shared" si="6"/>
        <v>10000</v>
      </c>
    </row>
    <row r="80" spans="1:18" s="31" customFormat="1" ht="16.95" customHeight="1" x14ac:dyDescent="0.3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</row>
    <row r="81" spans="1:16" s="40" customFormat="1" ht="16.95" customHeight="1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119" t="s">
        <v>17</v>
      </c>
      <c r="M81" s="119"/>
      <c r="N81" s="38">
        <f>N79+N71+N63+N45+N32+N12</f>
        <v>58600</v>
      </c>
      <c r="O81" s="39">
        <f>O79+O71+O63+O45+O32+O12</f>
        <v>13350</v>
      </c>
      <c r="P81" s="38">
        <f>P79+P71+P63+P45+P32+P12</f>
        <v>45250</v>
      </c>
    </row>
    <row r="82" spans="1:16" s="31" customFormat="1" ht="16.95" customHeight="1" x14ac:dyDescent="0.3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</row>
    <row r="83" spans="1:16" ht="16.95" customHeight="1" x14ac:dyDescent="0.3"/>
  </sheetData>
  <mergeCells count="12">
    <mergeCell ref="A1:C1"/>
    <mergeCell ref="O1:P1"/>
    <mergeCell ref="M1:N1"/>
    <mergeCell ref="L81:M81"/>
    <mergeCell ref="A2:P2"/>
    <mergeCell ref="A14:P14"/>
    <mergeCell ref="A65:P65"/>
    <mergeCell ref="A73:P73"/>
    <mergeCell ref="A21:P21"/>
    <mergeCell ref="A34:P34"/>
    <mergeCell ref="A47:P47"/>
    <mergeCell ref="E17:K17"/>
  </mergeCells>
  <pageMargins left="0.19685039370078741" right="0.19685039370078741" top="0.39370078740157483" bottom="0.39370078740157483" header="0.31496062992125984" footer="0.31496062992125984"/>
  <pageSetup paperSize="9" scale="4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topLeftCell="A4" zoomScale="85" zoomScaleNormal="85" workbookViewId="0">
      <selection activeCell="Q6" sqref="Q6"/>
    </sheetView>
  </sheetViews>
  <sheetFormatPr defaultRowHeight="14.4" x14ac:dyDescent="0.3"/>
  <cols>
    <col min="1" max="1" width="13.77734375" style="1" customWidth="1"/>
    <col min="2" max="4" width="6.77734375" style="1" customWidth="1"/>
    <col min="5" max="5" width="46" style="1" bestFit="1" customWidth="1"/>
    <col min="6" max="6" width="10.77734375" style="1" customWidth="1"/>
    <col min="7" max="7" width="6.77734375" style="1" customWidth="1"/>
    <col min="8" max="8" width="9.77734375" style="1" customWidth="1"/>
    <col min="9" max="10" width="12.77734375" style="1" customWidth="1"/>
    <col min="11" max="11" width="16.44140625" style="1" bestFit="1" customWidth="1"/>
    <col min="12" max="13" width="12.77734375" style="1" customWidth="1"/>
    <col min="14" max="16" width="8.88671875" style="1"/>
  </cols>
  <sheetData>
    <row r="1" spans="1:18" s="3" customFormat="1" ht="30" customHeight="1" x14ac:dyDescent="0.3">
      <c r="A1" s="115"/>
      <c r="B1" s="115"/>
      <c r="C1" s="115"/>
      <c r="D1" s="2"/>
      <c r="E1" s="2"/>
      <c r="F1" s="2"/>
      <c r="G1" s="2"/>
      <c r="H1" s="2"/>
      <c r="I1" s="2"/>
      <c r="J1" s="2"/>
      <c r="K1" s="2"/>
      <c r="L1" s="2"/>
      <c r="M1" s="118" t="s">
        <v>16</v>
      </c>
      <c r="N1" s="118"/>
      <c r="O1" s="116">
        <f ca="1">TODAY()</f>
        <v>45967</v>
      </c>
      <c r="P1" s="117"/>
    </row>
    <row r="2" spans="1:18" s="3" customFormat="1" ht="30" customHeight="1" x14ac:dyDescent="0.3">
      <c r="A2" s="120" t="s">
        <v>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</row>
    <row r="3" spans="1:18" s="7" customFormat="1" ht="29.4" customHeight="1" x14ac:dyDescent="0.3">
      <c r="A3" s="21" t="s">
        <v>0</v>
      </c>
      <c r="B3" s="21" t="s">
        <v>9</v>
      </c>
      <c r="C3" s="22" t="s">
        <v>11</v>
      </c>
      <c r="D3" s="21" t="s">
        <v>2</v>
      </c>
      <c r="E3" s="21" t="s">
        <v>1</v>
      </c>
      <c r="F3" s="21" t="s">
        <v>14</v>
      </c>
      <c r="G3" s="21" t="s">
        <v>8</v>
      </c>
      <c r="H3" s="22" t="s">
        <v>10</v>
      </c>
      <c r="I3" s="22" t="s">
        <v>12</v>
      </c>
      <c r="J3" s="22" t="s">
        <v>13</v>
      </c>
      <c r="K3" s="22" t="s">
        <v>27</v>
      </c>
      <c r="L3" s="21" t="s">
        <v>3</v>
      </c>
      <c r="M3" s="21" t="s">
        <v>4</v>
      </c>
      <c r="N3" s="21" t="s">
        <v>7</v>
      </c>
      <c r="O3" s="21" t="s">
        <v>5</v>
      </c>
      <c r="P3" s="21" t="s">
        <v>6</v>
      </c>
      <c r="R3" s="14"/>
    </row>
    <row r="4" spans="1:18" s="20" customFormat="1" ht="16.95" customHeight="1" x14ac:dyDescent="0.3">
      <c r="A4" s="21">
        <v>250068</v>
      </c>
      <c r="B4" s="21">
        <v>304</v>
      </c>
      <c r="C4" s="24">
        <v>0.6</v>
      </c>
      <c r="D4" s="21">
        <v>54.3</v>
      </c>
      <c r="E4" s="25" t="s">
        <v>32</v>
      </c>
      <c r="F4" s="21" t="s">
        <v>23</v>
      </c>
      <c r="G4" s="21">
        <v>430</v>
      </c>
      <c r="H4" s="24">
        <v>0.6</v>
      </c>
      <c r="I4" s="21"/>
      <c r="J4" s="21"/>
      <c r="K4" s="21" t="s">
        <v>28</v>
      </c>
      <c r="L4" s="21" t="s">
        <v>24</v>
      </c>
      <c r="M4" s="21" t="s">
        <v>24</v>
      </c>
      <c r="N4" s="6">
        <v>1650</v>
      </c>
      <c r="O4" s="23">
        <f>1310+340</f>
        <v>1650</v>
      </c>
      <c r="P4" s="6">
        <f>N4-O4</f>
        <v>0</v>
      </c>
    </row>
    <row r="5" spans="1:18" s="20" customFormat="1" ht="16.95" customHeight="1" x14ac:dyDescent="0.3">
      <c r="A5" s="21">
        <v>250069</v>
      </c>
      <c r="B5" s="21">
        <v>304</v>
      </c>
      <c r="C5" s="24">
        <v>0.6</v>
      </c>
      <c r="D5" s="21">
        <v>54.3</v>
      </c>
      <c r="E5" s="25" t="s">
        <v>33</v>
      </c>
      <c r="F5" s="21" t="s">
        <v>23</v>
      </c>
      <c r="G5" s="21">
        <v>430</v>
      </c>
      <c r="H5" s="24">
        <v>0.6</v>
      </c>
      <c r="I5" s="21"/>
      <c r="J5" s="21"/>
      <c r="K5" s="21" t="s">
        <v>28</v>
      </c>
      <c r="L5" s="21" t="s">
        <v>24</v>
      </c>
      <c r="M5" s="21" t="s">
        <v>24</v>
      </c>
      <c r="N5" s="6">
        <v>1650</v>
      </c>
      <c r="O5" s="23">
        <v>240</v>
      </c>
      <c r="P5" s="6">
        <f t="shared" ref="P5:P12" si="0">N5-O5</f>
        <v>1410</v>
      </c>
    </row>
    <row r="6" spans="1:18" s="20" customFormat="1" ht="16.95" customHeight="1" x14ac:dyDescent="0.3">
      <c r="A6" s="21"/>
      <c r="B6" s="21"/>
      <c r="C6" s="24"/>
      <c r="D6" s="21"/>
      <c r="E6" s="25"/>
      <c r="F6" s="21"/>
      <c r="G6" s="21"/>
      <c r="H6" s="24"/>
      <c r="I6" s="21"/>
      <c r="J6" s="21"/>
      <c r="K6" s="21"/>
      <c r="L6" s="21"/>
      <c r="M6" s="21"/>
      <c r="N6" s="6"/>
      <c r="O6" s="23"/>
      <c r="P6" s="6">
        <f t="shared" si="0"/>
        <v>0</v>
      </c>
    </row>
    <row r="7" spans="1:18" s="20" customFormat="1" ht="16.95" customHeight="1" x14ac:dyDescent="0.3">
      <c r="A7" s="21"/>
      <c r="B7" s="21"/>
      <c r="C7" s="24"/>
      <c r="D7" s="21"/>
      <c r="E7" s="25"/>
      <c r="F7" s="21"/>
      <c r="G7" s="21"/>
      <c r="H7" s="24"/>
      <c r="I7" s="21"/>
      <c r="J7" s="21"/>
      <c r="K7" s="21"/>
      <c r="L7" s="21"/>
      <c r="M7" s="21"/>
      <c r="N7" s="6"/>
      <c r="O7" s="23"/>
      <c r="P7" s="6">
        <f t="shared" si="0"/>
        <v>0</v>
      </c>
    </row>
    <row r="8" spans="1:18" s="20" customFormat="1" ht="16.95" customHeight="1" x14ac:dyDescent="0.3">
      <c r="A8" s="21"/>
      <c r="B8" s="21"/>
      <c r="C8" s="24"/>
      <c r="D8" s="21"/>
      <c r="E8" s="25"/>
      <c r="F8" s="21"/>
      <c r="G8" s="21"/>
      <c r="H8" s="24"/>
      <c r="I8" s="21"/>
      <c r="J8" s="21"/>
      <c r="K8" s="21"/>
      <c r="L8" s="21"/>
      <c r="M8" s="21"/>
      <c r="N8" s="6"/>
      <c r="O8" s="23"/>
      <c r="P8" s="6">
        <f t="shared" si="0"/>
        <v>0</v>
      </c>
    </row>
    <row r="9" spans="1:18" s="20" customFormat="1" ht="16.95" customHeight="1" x14ac:dyDescent="0.3">
      <c r="A9" s="21"/>
      <c r="B9" s="21"/>
      <c r="C9" s="24"/>
      <c r="D9" s="21"/>
      <c r="E9" s="25" t="s">
        <v>62</v>
      </c>
      <c r="F9" s="21"/>
      <c r="G9" s="21"/>
      <c r="H9" s="24"/>
      <c r="I9" s="21"/>
      <c r="J9" s="21"/>
      <c r="K9" s="21"/>
      <c r="L9" s="21"/>
      <c r="M9" s="21"/>
      <c r="N9" s="6"/>
      <c r="O9" s="23"/>
      <c r="P9" s="6">
        <f t="shared" si="0"/>
        <v>0</v>
      </c>
    </row>
    <row r="10" spans="1:18" s="20" customFormat="1" ht="16.95" customHeight="1" x14ac:dyDescent="0.3">
      <c r="A10" s="21"/>
      <c r="B10" s="21"/>
      <c r="C10" s="24"/>
      <c r="D10" s="21"/>
      <c r="E10" s="25"/>
      <c r="F10" s="21"/>
      <c r="G10" s="21"/>
      <c r="H10" s="24"/>
      <c r="I10" s="21"/>
      <c r="J10" s="21"/>
      <c r="K10" s="21"/>
      <c r="L10" s="21"/>
      <c r="M10" s="21"/>
      <c r="N10" s="21"/>
      <c r="O10" s="23"/>
      <c r="P10" s="6">
        <f t="shared" si="0"/>
        <v>0</v>
      </c>
    </row>
    <row r="11" spans="1:18" s="20" customFormat="1" ht="16.95" customHeight="1" x14ac:dyDescent="0.3">
      <c r="A11" s="21"/>
      <c r="B11" s="21"/>
      <c r="C11" s="24"/>
      <c r="D11" s="21"/>
      <c r="E11" s="25"/>
      <c r="F11" s="21"/>
      <c r="G11" s="21"/>
      <c r="H11" s="24"/>
      <c r="I11" s="21"/>
      <c r="J11" s="21"/>
      <c r="K11" s="21"/>
      <c r="L11" s="21"/>
      <c r="M11" s="21"/>
      <c r="N11" s="21"/>
      <c r="O11" s="23"/>
      <c r="P11" s="6">
        <f t="shared" si="0"/>
        <v>0</v>
      </c>
    </row>
    <row r="12" spans="1:18" s="14" customFormat="1" ht="15.6" x14ac:dyDescent="0.3">
      <c r="A12" s="8"/>
      <c r="B12" s="8"/>
      <c r="C12" s="9"/>
      <c r="D12" s="8"/>
      <c r="E12" s="10"/>
      <c r="F12" s="8"/>
      <c r="G12" s="8"/>
      <c r="H12" s="9"/>
      <c r="I12" s="8"/>
      <c r="J12" s="8"/>
      <c r="K12" s="8"/>
      <c r="L12" s="8"/>
      <c r="M12" s="11"/>
      <c r="N12" s="12">
        <f>SUM(N4:N11)</f>
        <v>3300</v>
      </c>
      <c r="O12" s="13">
        <f>SUM(O4:O11)</f>
        <v>1890</v>
      </c>
      <c r="P12" s="12">
        <f t="shared" si="0"/>
        <v>1410</v>
      </c>
    </row>
    <row r="13" spans="1:18" x14ac:dyDescent="0.3">
      <c r="C13" s="4"/>
      <c r="E13" s="5"/>
      <c r="H13" s="4"/>
    </row>
    <row r="14" spans="1:18" s="3" customFormat="1" ht="30" customHeight="1" x14ac:dyDescent="0.3">
      <c r="A14" s="120" t="s">
        <v>20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1:18" s="7" customFormat="1" ht="29.4" customHeight="1" x14ac:dyDescent="0.3">
      <c r="A15" s="21" t="s">
        <v>0</v>
      </c>
      <c r="B15" s="21" t="s">
        <v>9</v>
      </c>
      <c r="C15" s="22" t="s">
        <v>11</v>
      </c>
      <c r="D15" s="21" t="s">
        <v>2</v>
      </c>
      <c r="E15" s="21" t="s">
        <v>1</v>
      </c>
      <c r="F15" s="21" t="s">
        <v>14</v>
      </c>
      <c r="G15" s="21" t="s">
        <v>8</v>
      </c>
      <c r="H15" s="22" t="s">
        <v>10</v>
      </c>
      <c r="I15" s="22" t="s">
        <v>12</v>
      </c>
      <c r="J15" s="22" t="s">
        <v>13</v>
      </c>
      <c r="K15" s="22" t="s">
        <v>27</v>
      </c>
      <c r="L15" s="21" t="s">
        <v>3</v>
      </c>
      <c r="M15" s="21" t="s">
        <v>4</v>
      </c>
      <c r="N15" s="21" t="s">
        <v>7</v>
      </c>
      <c r="O15" s="21" t="s">
        <v>5</v>
      </c>
      <c r="P15" s="21" t="s">
        <v>6</v>
      </c>
      <c r="R15" s="14"/>
    </row>
    <row r="16" spans="1:18" s="31" customFormat="1" ht="16.95" customHeight="1" x14ac:dyDescent="0.3">
      <c r="A16" s="26">
        <v>250068</v>
      </c>
      <c r="B16" s="26">
        <v>304</v>
      </c>
      <c r="C16" s="27">
        <v>0.6</v>
      </c>
      <c r="D16" s="26">
        <v>54.3</v>
      </c>
      <c r="E16" s="28" t="s">
        <v>34</v>
      </c>
      <c r="F16" s="26" t="s">
        <v>23</v>
      </c>
      <c r="G16" s="26">
        <v>430</v>
      </c>
      <c r="H16" s="27">
        <v>0.6</v>
      </c>
      <c r="I16" s="26"/>
      <c r="J16" s="26"/>
      <c r="K16" s="26" t="s">
        <v>28</v>
      </c>
      <c r="L16" s="26" t="s">
        <v>24</v>
      </c>
      <c r="M16" s="26" t="s">
        <v>24</v>
      </c>
      <c r="N16" s="29">
        <v>1650</v>
      </c>
      <c r="O16" s="23">
        <f>1310+340</f>
        <v>1650</v>
      </c>
      <c r="P16" s="29">
        <f>N16-O16</f>
        <v>0</v>
      </c>
    </row>
    <row r="17" spans="1:18" s="31" customFormat="1" ht="16.95" customHeight="1" x14ac:dyDescent="0.3">
      <c r="A17" s="26">
        <v>250069</v>
      </c>
      <c r="B17" s="26">
        <v>304</v>
      </c>
      <c r="C17" s="27">
        <v>0.6</v>
      </c>
      <c r="D17" s="26">
        <v>54.3</v>
      </c>
      <c r="E17" s="28" t="s">
        <v>35</v>
      </c>
      <c r="F17" s="26" t="s">
        <v>23</v>
      </c>
      <c r="G17" s="26">
        <v>430</v>
      </c>
      <c r="H17" s="27">
        <v>0.6</v>
      </c>
      <c r="I17" s="26"/>
      <c r="J17" s="26"/>
      <c r="K17" s="26" t="s">
        <v>28</v>
      </c>
      <c r="L17" s="26" t="s">
        <v>24</v>
      </c>
      <c r="M17" s="26" t="s">
        <v>24</v>
      </c>
      <c r="N17" s="29">
        <v>1650</v>
      </c>
      <c r="O17" s="23">
        <v>240</v>
      </c>
      <c r="P17" s="29">
        <f t="shared" ref="P17:P22" si="1">N17-O17</f>
        <v>1410</v>
      </c>
    </row>
    <row r="18" spans="1:18" s="31" customFormat="1" ht="16.95" customHeight="1" x14ac:dyDescent="0.3">
      <c r="A18" s="26"/>
      <c r="B18" s="26"/>
      <c r="C18" s="27"/>
      <c r="D18" s="26"/>
      <c r="E18" s="28"/>
      <c r="F18" s="26"/>
      <c r="G18" s="26"/>
      <c r="H18" s="27"/>
      <c r="I18" s="26"/>
      <c r="J18" s="26"/>
      <c r="K18" s="26"/>
      <c r="L18" s="26"/>
      <c r="M18" s="26"/>
      <c r="N18" s="29"/>
      <c r="O18" s="30"/>
      <c r="P18" s="29">
        <f t="shared" si="1"/>
        <v>0</v>
      </c>
    </row>
    <row r="19" spans="1:18" s="31" customFormat="1" ht="16.95" customHeight="1" x14ac:dyDescent="0.3">
      <c r="A19" s="26"/>
      <c r="B19" s="26"/>
      <c r="C19" s="27"/>
      <c r="D19" s="26"/>
      <c r="E19" s="28"/>
      <c r="F19" s="26"/>
      <c r="G19" s="26"/>
      <c r="H19" s="27"/>
      <c r="I19" s="26"/>
      <c r="J19" s="26"/>
      <c r="K19" s="26"/>
      <c r="L19" s="26"/>
      <c r="M19" s="26"/>
      <c r="N19" s="29"/>
      <c r="O19" s="30"/>
      <c r="P19" s="29">
        <f t="shared" si="1"/>
        <v>0</v>
      </c>
    </row>
    <row r="20" spans="1:18" s="31" customFormat="1" ht="16.95" customHeight="1" x14ac:dyDescent="0.3">
      <c r="A20" s="26"/>
      <c r="B20" s="26"/>
      <c r="C20" s="27"/>
      <c r="D20" s="26"/>
      <c r="E20" s="28"/>
      <c r="F20" s="26"/>
      <c r="G20" s="26"/>
      <c r="H20" s="27"/>
      <c r="I20" s="26"/>
      <c r="J20" s="26"/>
      <c r="K20" s="26"/>
      <c r="L20" s="26"/>
      <c r="M20" s="26"/>
      <c r="N20" s="29"/>
      <c r="O20" s="30"/>
      <c r="P20" s="29">
        <f t="shared" si="1"/>
        <v>0</v>
      </c>
    </row>
    <row r="21" spans="1:18" s="31" customFormat="1" ht="16.95" customHeight="1" x14ac:dyDescent="0.3">
      <c r="A21" s="26"/>
      <c r="B21" s="26"/>
      <c r="C21" s="27"/>
      <c r="D21" s="26"/>
      <c r="E21" s="28"/>
      <c r="F21" s="26"/>
      <c r="G21" s="26"/>
      <c r="H21" s="27"/>
      <c r="I21" s="26"/>
      <c r="J21" s="26"/>
      <c r="K21" s="26"/>
      <c r="L21" s="26"/>
      <c r="M21" s="26"/>
      <c r="N21" s="29"/>
      <c r="O21" s="30"/>
      <c r="P21" s="29">
        <f t="shared" si="1"/>
        <v>0</v>
      </c>
    </row>
    <row r="22" spans="1:18" s="31" customFormat="1" ht="16.95" customHeight="1" x14ac:dyDescent="0.3">
      <c r="A22" s="26"/>
      <c r="B22" s="26"/>
      <c r="C22" s="27"/>
      <c r="D22" s="26"/>
      <c r="E22" s="28"/>
      <c r="F22" s="26"/>
      <c r="G22" s="26"/>
      <c r="H22" s="27"/>
      <c r="I22" s="26"/>
      <c r="J22" s="26"/>
      <c r="K22" s="26"/>
      <c r="L22" s="26"/>
      <c r="M22" s="26"/>
      <c r="N22" s="29"/>
      <c r="O22" s="30"/>
      <c r="P22" s="29">
        <f t="shared" si="1"/>
        <v>0</v>
      </c>
    </row>
    <row r="23" spans="1:18" s="31" customFormat="1" ht="16.95" customHeight="1" x14ac:dyDescent="0.3">
      <c r="A23" s="26"/>
      <c r="B23" s="26"/>
      <c r="C23" s="27"/>
      <c r="D23" s="26"/>
      <c r="E23" s="28"/>
      <c r="F23" s="26"/>
      <c r="G23" s="26"/>
      <c r="H23" s="27"/>
      <c r="I23" s="26"/>
      <c r="J23" s="26"/>
      <c r="K23" s="26"/>
      <c r="L23" s="26"/>
      <c r="M23" s="26"/>
      <c r="N23" s="26"/>
      <c r="O23" s="30"/>
      <c r="P23" s="29">
        <f t="shared" ref="P23:P24" si="2">N23-O23</f>
        <v>0</v>
      </c>
    </row>
    <row r="24" spans="1:18" s="31" customFormat="1" ht="16.95" customHeight="1" x14ac:dyDescent="0.3">
      <c r="A24" s="32"/>
      <c r="B24" s="32"/>
      <c r="C24" s="33"/>
      <c r="D24" s="32"/>
      <c r="E24" s="34"/>
      <c r="F24" s="32"/>
      <c r="G24" s="32"/>
      <c r="H24" s="33"/>
      <c r="I24" s="32"/>
      <c r="J24" s="32"/>
      <c r="K24" s="32"/>
      <c r="L24" s="32"/>
      <c r="M24" s="35"/>
      <c r="N24" s="29">
        <f>SUM(N16:N23)</f>
        <v>3300</v>
      </c>
      <c r="O24" s="36">
        <f>SUM(O16:O23)</f>
        <v>1890</v>
      </c>
      <c r="P24" s="29">
        <f t="shared" si="2"/>
        <v>1410</v>
      </c>
    </row>
    <row r="25" spans="1:18" s="14" customFormat="1" ht="15.6" x14ac:dyDescent="0.3">
      <c r="A25" s="15"/>
      <c r="B25" s="15"/>
      <c r="C25" s="16"/>
      <c r="D25" s="15"/>
      <c r="E25" s="17"/>
      <c r="F25" s="15"/>
      <c r="G25" s="15"/>
      <c r="H25" s="16"/>
      <c r="I25" s="15"/>
      <c r="J25" s="15"/>
      <c r="K25" s="15"/>
      <c r="L25" s="15"/>
      <c r="M25" s="15"/>
      <c r="N25" s="18"/>
      <c r="O25" s="19"/>
      <c r="P25" s="18"/>
    </row>
    <row r="26" spans="1:18" s="3" customFormat="1" ht="30" customHeight="1" x14ac:dyDescent="0.3">
      <c r="A26" s="120" t="s">
        <v>19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2"/>
    </row>
    <row r="27" spans="1:18" s="7" customFormat="1" ht="29.4" customHeight="1" x14ac:dyDescent="0.3">
      <c r="A27" s="21" t="s">
        <v>0</v>
      </c>
      <c r="B27" s="21" t="s">
        <v>9</v>
      </c>
      <c r="C27" s="22" t="s">
        <v>11</v>
      </c>
      <c r="D27" s="21" t="s">
        <v>2</v>
      </c>
      <c r="E27" s="21" t="s">
        <v>1</v>
      </c>
      <c r="F27" s="21" t="s">
        <v>14</v>
      </c>
      <c r="G27" s="21" t="s">
        <v>8</v>
      </c>
      <c r="H27" s="22" t="s">
        <v>10</v>
      </c>
      <c r="I27" s="22" t="s">
        <v>12</v>
      </c>
      <c r="J27" s="22" t="s">
        <v>13</v>
      </c>
      <c r="K27" s="22" t="s">
        <v>27</v>
      </c>
      <c r="L27" s="21" t="s">
        <v>3</v>
      </c>
      <c r="M27" s="21" t="s">
        <v>4</v>
      </c>
      <c r="N27" s="21" t="s">
        <v>7</v>
      </c>
      <c r="O27" s="21" t="s">
        <v>5</v>
      </c>
      <c r="P27" s="21" t="s">
        <v>6</v>
      </c>
      <c r="R27" s="14"/>
    </row>
    <row r="28" spans="1:18" ht="16.95" customHeight="1" x14ac:dyDescent="0.3">
      <c r="A28" s="26"/>
      <c r="B28" s="26"/>
      <c r="C28" s="27"/>
      <c r="D28" s="26"/>
      <c r="E28" s="28"/>
      <c r="F28" s="26"/>
      <c r="G28" s="26"/>
      <c r="H28" s="27"/>
      <c r="I28" s="26"/>
      <c r="J28" s="26"/>
      <c r="K28" s="26"/>
      <c r="L28" s="26"/>
      <c r="M28" s="26"/>
      <c r="N28" s="29"/>
      <c r="O28" s="30"/>
      <c r="P28" s="29">
        <f>N28-O28</f>
        <v>0</v>
      </c>
    </row>
    <row r="29" spans="1:18" ht="16.95" customHeight="1" x14ac:dyDescent="0.3">
      <c r="A29" s="26"/>
      <c r="B29" s="26"/>
      <c r="C29" s="27"/>
      <c r="D29" s="26"/>
      <c r="E29" s="28"/>
      <c r="F29" s="26"/>
      <c r="G29" s="26"/>
      <c r="H29" s="27"/>
      <c r="I29" s="26"/>
      <c r="J29" s="26"/>
      <c r="K29" s="26"/>
      <c r="L29" s="26"/>
      <c r="M29" s="26"/>
      <c r="N29" s="29"/>
      <c r="O29" s="30"/>
      <c r="P29" s="29">
        <f>N29-O29</f>
        <v>0</v>
      </c>
    </row>
    <row r="30" spans="1:18" ht="16.95" customHeight="1" x14ac:dyDescent="0.3">
      <c r="A30" s="26"/>
      <c r="B30" s="26"/>
      <c r="C30" s="27"/>
      <c r="D30" s="26"/>
      <c r="E30" s="28"/>
      <c r="F30" s="26"/>
      <c r="G30" s="26"/>
      <c r="H30" s="27"/>
      <c r="I30" s="26"/>
      <c r="J30" s="26"/>
      <c r="K30" s="26"/>
      <c r="L30" s="26"/>
      <c r="M30" s="26"/>
      <c r="N30" s="29"/>
      <c r="O30" s="30"/>
      <c r="P30" s="29" t="s">
        <v>37</v>
      </c>
    </row>
    <row r="31" spans="1:18" ht="16.95" customHeight="1" x14ac:dyDescent="0.3">
      <c r="A31" s="26"/>
      <c r="B31" s="26"/>
      <c r="C31" s="27"/>
      <c r="D31" s="26"/>
      <c r="E31" s="28"/>
      <c r="F31" s="26"/>
      <c r="G31" s="26"/>
      <c r="H31" s="27"/>
      <c r="I31" s="26"/>
      <c r="J31" s="26"/>
      <c r="K31" s="26"/>
      <c r="L31" s="26"/>
      <c r="M31" s="26"/>
      <c r="N31" s="29"/>
      <c r="O31" s="30"/>
      <c r="P31" s="29" t="s">
        <v>37</v>
      </c>
    </row>
    <row r="32" spans="1:18" ht="16.95" customHeight="1" x14ac:dyDescent="0.3">
      <c r="A32" s="26"/>
      <c r="B32" s="26"/>
      <c r="C32" s="27"/>
      <c r="D32" s="26"/>
      <c r="E32" s="28"/>
      <c r="F32" s="26"/>
      <c r="G32" s="26"/>
      <c r="H32" s="27"/>
      <c r="I32" s="26"/>
      <c r="J32" s="26"/>
      <c r="K32" s="26"/>
      <c r="L32" s="26"/>
      <c r="M32" s="26"/>
      <c r="N32" s="29"/>
      <c r="O32" s="30"/>
      <c r="P32" s="29" t="s">
        <v>37</v>
      </c>
    </row>
    <row r="33" spans="1:18" ht="16.95" hidden="1" customHeight="1" x14ac:dyDescent="0.3">
      <c r="A33" s="26"/>
      <c r="B33" s="26"/>
      <c r="C33" s="27"/>
      <c r="D33" s="26"/>
      <c r="E33" s="28"/>
      <c r="F33" s="26"/>
      <c r="G33" s="26"/>
      <c r="H33" s="27"/>
      <c r="I33" s="26"/>
      <c r="J33" s="26"/>
      <c r="K33" s="26"/>
      <c r="L33" s="26"/>
      <c r="M33" s="26"/>
      <c r="N33" s="29"/>
      <c r="O33" s="30"/>
      <c r="P33" s="29" t="s">
        <v>37</v>
      </c>
    </row>
    <row r="34" spans="1:18" ht="16.95" hidden="1" customHeight="1" x14ac:dyDescent="0.3">
      <c r="A34" s="26"/>
      <c r="B34" s="26"/>
      <c r="C34" s="27"/>
      <c r="D34" s="26"/>
      <c r="E34" s="28"/>
      <c r="F34" s="26"/>
      <c r="G34" s="26"/>
      <c r="H34" s="27"/>
      <c r="I34" s="26"/>
      <c r="J34" s="26"/>
      <c r="K34" s="26"/>
      <c r="L34" s="26"/>
      <c r="M34" s="26"/>
      <c r="N34" s="26"/>
      <c r="O34" s="30"/>
      <c r="P34" s="29">
        <f t="shared" ref="P34:P37" si="3">N34-O34</f>
        <v>0</v>
      </c>
    </row>
    <row r="35" spans="1:18" ht="16.95" hidden="1" customHeight="1" x14ac:dyDescent="0.3">
      <c r="A35" s="26"/>
      <c r="B35" s="26"/>
      <c r="C35" s="27"/>
      <c r="D35" s="26"/>
      <c r="E35" s="28"/>
      <c r="F35" s="26"/>
      <c r="G35" s="26"/>
      <c r="H35" s="27"/>
      <c r="I35" s="26"/>
      <c r="J35" s="26"/>
      <c r="K35" s="26"/>
      <c r="L35" s="26"/>
      <c r="M35" s="26"/>
      <c r="N35" s="26"/>
      <c r="O35" s="30"/>
      <c r="P35" s="29">
        <f t="shared" si="3"/>
        <v>0</v>
      </c>
    </row>
    <row r="36" spans="1:18" ht="16.95" customHeight="1" x14ac:dyDescent="0.3">
      <c r="A36" s="26"/>
      <c r="B36" s="26"/>
      <c r="C36" s="27"/>
      <c r="D36" s="26"/>
      <c r="E36" s="28"/>
      <c r="F36" s="26"/>
      <c r="G36" s="26"/>
      <c r="H36" s="27"/>
      <c r="I36" s="26"/>
      <c r="J36" s="26"/>
      <c r="K36" s="26"/>
      <c r="L36" s="26"/>
      <c r="M36" s="26"/>
      <c r="N36" s="26"/>
      <c r="O36" s="30"/>
      <c r="P36" s="29">
        <f t="shared" si="3"/>
        <v>0</v>
      </c>
    </row>
    <row r="37" spans="1:18" s="14" customFormat="1" ht="15.6" x14ac:dyDescent="0.3">
      <c r="A37" s="32"/>
      <c r="B37" s="32"/>
      <c r="C37" s="33"/>
      <c r="D37" s="32"/>
      <c r="E37" s="34"/>
      <c r="F37" s="32"/>
      <c r="G37" s="32"/>
      <c r="H37" s="33"/>
      <c r="I37" s="32"/>
      <c r="J37" s="32"/>
      <c r="K37" s="32"/>
      <c r="L37" s="32"/>
      <c r="M37" s="35"/>
      <c r="N37" s="29">
        <f>SUM(N28:N36)</f>
        <v>0</v>
      </c>
      <c r="O37" s="36">
        <f>SUM(O28:O36)</f>
        <v>0</v>
      </c>
      <c r="P37" s="29">
        <f t="shared" si="3"/>
        <v>0</v>
      </c>
    </row>
    <row r="38" spans="1:18" s="14" customFormat="1" ht="15.6" x14ac:dyDescent="0.3">
      <c r="A38" s="15"/>
      <c r="B38" s="15"/>
      <c r="C38" s="16"/>
      <c r="D38" s="15"/>
      <c r="E38" s="17"/>
      <c r="F38" s="15"/>
      <c r="G38" s="15"/>
      <c r="H38" s="16"/>
      <c r="I38" s="15"/>
      <c r="J38" s="15"/>
      <c r="K38" s="15"/>
      <c r="L38" s="15"/>
      <c r="M38" s="15"/>
      <c r="N38" s="18"/>
      <c r="O38" s="19"/>
      <c r="P38" s="18"/>
    </row>
    <row r="39" spans="1:18" s="3" customFormat="1" ht="30" customHeight="1" x14ac:dyDescent="0.3">
      <c r="A39" s="120" t="s">
        <v>29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2"/>
    </row>
    <row r="40" spans="1:18" s="7" customFormat="1" ht="29.4" customHeight="1" x14ac:dyDescent="0.3">
      <c r="A40" s="21" t="s">
        <v>0</v>
      </c>
      <c r="B40" s="21" t="s">
        <v>9</v>
      </c>
      <c r="C40" s="22" t="s">
        <v>11</v>
      </c>
      <c r="D40" s="21" t="s">
        <v>2</v>
      </c>
      <c r="E40" s="21" t="s">
        <v>1</v>
      </c>
      <c r="F40" s="21" t="s">
        <v>14</v>
      </c>
      <c r="G40" s="21" t="s">
        <v>8</v>
      </c>
      <c r="H40" s="22" t="s">
        <v>10</v>
      </c>
      <c r="I40" s="22" t="s">
        <v>12</v>
      </c>
      <c r="J40" s="22" t="s">
        <v>13</v>
      </c>
      <c r="K40" s="22" t="s">
        <v>27</v>
      </c>
      <c r="L40" s="21" t="s">
        <v>3</v>
      </c>
      <c r="M40" s="21" t="s">
        <v>4</v>
      </c>
      <c r="N40" s="21" t="s">
        <v>7</v>
      </c>
      <c r="O40" s="21" t="s">
        <v>5</v>
      </c>
      <c r="P40" s="21" t="s">
        <v>6</v>
      </c>
      <c r="R40" s="14"/>
    </row>
    <row r="41" spans="1:18" ht="16.95" customHeight="1" x14ac:dyDescent="0.3">
      <c r="A41" s="26"/>
      <c r="B41" s="26"/>
      <c r="C41" s="27"/>
      <c r="D41" s="26"/>
      <c r="E41" s="28"/>
      <c r="F41" s="26"/>
      <c r="G41" s="26"/>
      <c r="H41" s="27"/>
      <c r="I41" s="26"/>
      <c r="J41" s="26"/>
      <c r="K41" s="26"/>
      <c r="L41" s="26"/>
      <c r="M41" s="26"/>
      <c r="N41" s="29"/>
      <c r="O41" s="30"/>
      <c r="P41" s="29">
        <f t="shared" ref="P41:P50" si="4">N41-O41</f>
        <v>0</v>
      </c>
    </row>
    <row r="42" spans="1:18" ht="16.95" customHeight="1" x14ac:dyDescent="0.3">
      <c r="A42" s="26"/>
      <c r="B42" s="26"/>
      <c r="C42" s="27"/>
      <c r="D42" s="26"/>
      <c r="E42" s="28"/>
      <c r="F42" s="26"/>
      <c r="G42" s="26"/>
      <c r="H42" s="27"/>
      <c r="I42" s="26"/>
      <c r="J42" s="26"/>
      <c r="K42" s="26"/>
      <c r="L42" s="26"/>
      <c r="M42" s="26"/>
      <c r="N42" s="29"/>
      <c r="O42" s="30"/>
      <c r="P42" s="29">
        <f t="shared" si="4"/>
        <v>0</v>
      </c>
    </row>
    <row r="43" spans="1:18" ht="16.95" customHeight="1" x14ac:dyDescent="0.3">
      <c r="A43" s="26"/>
      <c r="B43" s="26"/>
      <c r="C43" s="27"/>
      <c r="D43" s="26"/>
      <c r="E43" s="28"/>
      <c r="F43" s="26"/>
      <c r="G43" s="26"/>
      <c r="H43" s="27"/>
      <c r="I43" s="26"/>
      <c r="J43" s="26"/>
      <c r="K43" s="26"/>
      <c r="L43" s="26"/>
      <c r="M43" s="26"/>
      <c r="N43" s="29"/>
      <c r="O43" s="30"/>
      <c r="P43" s="29">
        <f t="shared" si="4"/>
        <v>0</v>
      </c>
    </row>
    <row r="44" spans="1:18" ht="16.95" customHeight="1" x14ac:dyDescent="0.3">
      <c r="A44" s="26"/>
      <c r="B44" s="26"/>
      <c r="C44" s="27"/>
      <c r="D44" s="26"/>
      <c r="E44" s="28"/>
      <c r="F44" s="26"/>
      <c r="G44" s="26"/>
      <c r="H44" s="27"/>
      <c r="I44" s="26"/>
      <c r="J44" s="26"/>
      <c r="K44" s="26"/>
      <c r="L44" s="26"/>
      <c r="M44" s="26"/>
      <c r="N44" s="29"/>
      <c r="O44" s="30"/>
      <c r="P44" s="29">
        <f t="shared" si="4"/>
        <v>0</v>
      </c>
    </row>
    <row r="45" spans="1:18" ht="16.95" customHeight="1" x14ac:dyDescent="0.3">
      <c r="A45" s="26"/>
      <c r="B45" s="26"/>
      <c r="C45" s="27"/>
      <c r="D45" s="26"/>
      <c r="E45" s="28"/>
      <c r="F45" s="26"/>
      <c r="G45" s="26"/>
      <c r="H45" s="27"/>
      <c r="I45" s="26"/>
      <c r="J45" s="26"/>
      <c r="K45" s="26"/>
      <c r="L45" s="26"/>
      <c r="M45" s="26"/>
      <c r="N45" s="29"/>
      <c r="O45" s="30"/>
      <c r="P45" s="29">
        <f t="shared" si="4"/>
        <v>0</v>
      </c>
    </row>
    <row r="46" spans="1:18" ht="16.95" customHeight="1" x14ac:dyDescent="0.3">
      <c r="A46" s="26"/>
      <c r="B46" s="26"/>
      <c r="C46" s="27"/>
      <c r="D46" s="26"/>
      <c r="E46" s="28"/>
      <c r="F46" s="26"/>
      <c r="G46" s="26"/>
      <c r="H46" s="27"/>
      <c r="I46" s="26"/>
      <c r="J46" s="26"/>
      <c r="K46" s="26"/>
      <c r="L46" s="26"/>
      <c r="M46" s="26"/>
      <c r="N46" s="29"/>
      <c r="O46" s="30"/>
      <c r="P46" s="29">
        <f t="shared" si="4"/>
        <v>0</v>
      </c>
    </row>
    <row r="47" spans="1:18" ht="16.95" hidden="1" customHeight="1" x14ac:dyDescent="0.3">
      <c r="A47" s="26"/>
      <c r="B47" s="26"/>
      <c r="C47" s="27"/>
      <c r="D47" s="26"/>
      <c r="E47" s="28"/>
      <c r="F47" s="26"/>
      <c r="G47" s="26"/>
      <c r="H47" s="27"/>
      <c r="I47" s="26"/>
      <c r="J47" s="26"/>
      <c r="K47" s="26"/>
      <c r="L47" s="26"/>
      <c r="M47" s="26"/>
      <c r="N47" s="26"/>
      <c r="O47" s="30"/>
      <c r="P47" s="29">
        <f t="shared" si="4"/>
        <v>0</v>
      </c>
    </row>
    <row r="48" spans="1:18" ht="16.95" hidden="1" customHeight="1" x14ac:dyDescent="0.3">
      <c r="A48" s="26"/>
      <c r="B48" s="26"/>
      <c r="C48" s="27"/>
      <c r="D48" s="26"/>
      <c r="E48" s="28"/>
      <c r="F48" s="26"/>
      <c r="G48" s="26"/>
      <c r="H48" s="27"/>
      <c r="I48" s="26"/>
      <c r="J48" s="26"/>
      <c r="K48" s="26"/>
      <c r="L48" s="26"/>
      <c r="M48" s="26"/>
      <c r="N48" s="26"/>
      <c r="O48" s="30"/>
      <c r="P48" s="29">
        <f t="shared" si="4"/>
        <v>0</v>
      </c>
    </row>
    <row r="49" spans="1:18" ht="16.95" customHeight="1" x14ac:dyDescent="0.3">
      <c r="A49" s="26"/>
      <c r="B49" s="26"/>
      <c r="C49" s="27"/>
      <c r="D49" s="26"/>
      <c r="E49" s="28"/>
      <c r="F49" s="26"/>
      <c r="G49" s="26"/>
      <c r="H49" s="27"/>
      <c r="I49" s="26"/>
      <c r="J49" s="26"/>
      <c r="K49" s="26"/>
      <c r="L49" s="26"/>
      <c r="M49" s="26"/>
      <c r="N49" s="26"/>
      <c r="O49" s="30"/>
      <c r="P49" s="29">
        <f t="shared" si="4"/>
        <v>0</v>
      </c>
    </row>
    <row r="50" spans="1:18" s="14" customFormat="1" ht="16.95" customHeight="1" x14ac:dyDescent="0.3">
      <c r="A50" s="32"/>
      <c r="B50" s="32"/>
      <c r="C50" s="33"/>
      <c r="D50" s="32"/>
      <c r="E50" s="34"/>
      <c r="F50" s="32"/>
      <c r="G50" s="32"/>
      <c r="H50" s="33"/>
      <c r="I50" s="32"/>
      <c r="J50" s="32"/>
      <c r="K50" s="32"/>
      <c r="L50" s="32"/>
      <c r="M50" s="35"/>
      <c r="N50" s="29">
        <f>SUM(N41:N49)</f>
        <v>0</v>
      </c>
      <c r="O50" s="36">
        <f>SUM(O41:O49)</f>
        <v>0</v>
      </c>
      <c r="P50" s="29">
        <f t="shared" si="4"/>
        <v>0</v>
      </c>
    </row>
    <row r="51" spans="1:18" s="14" customFormat="1" ht="15.6" x14ac:dyDescent="0.3">
      <c r="A51" s="15"/>
      <c r="B51" s="15"/>
      <c r="C51" s="16"/>
      <c r="D51" s="15"/>
      <c r="E51" s="17"/>
      <c r="F51" s="15"/>
      <c r="G51" s="15"/>
      <c r="H51" s="16"/>
      <c r="I51" s="15"/>
      <c r="J51" s="15"/>
      <c r="K51" s="15"/>
      <c r="L51" s="15"/>
      <c r="M51" s="15"/>
      <c r="N51" s="18"/>
      <c r="O51" s="19"/>
      <c r="P51" s="18"/>
    </row>
    <row r="52" spans="1:18" s="3" customFormat="1" ht="30" customHeight="1" x14ac:dyDescent="0.3">
      <c r="A52" s="120" t="s">
        <v>21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2"/>
    </row>
    <row r="53" spans="1:18" s="7" customFormat="1" ht="29.4" customHeight="1" x14ac:dyDescent="0.3">
      <c r="A53" s="21" t="s">
        <v>0</v>
      </c>
      <c r="B53" s="21" t="s">
        <v>9</v>
      </c>
      <c r="C53" s="22" t="s">
        <v>11</v>
      </c>
      <c r="D53" s="21" t="s">
        <v>2</v>
      </c>
      <c r="E53" s="21" t="s">
        <v>1</v>
      </c>
      <c r="F53" s="21" t="s">
        <v>14</v>
      </c>
      <c r="G53" s="21" t="s">
        <v>8</v>
      </c>
      <c r="H53" s="22" t="s">
        <v>10</v>
      </c>
      <c r="I53" s="22" t="s">
        <v>12</v>
      </c>
      <c r="J53" s="22" t="s">
        <v>13</v>
      </c>
      <c r="K53" s="22" t="s">
        <v>27</v>
      </c>
      <c r="L53" s="21" t="s">
        <v>3</v>
      </c>
      <c r="M53" s="21" t="s">
        <v>4</v>
      </c>
      <c r="N53" s="21" t="s">
        <v>7</v>
      </c>
      <c r="O53" s="21" t="s">
        <v>5</v>
      </c>
      <c r="P53" s="21" t="s">
        <v>6</v>
      </c>
      <c r="R53" s="14"/>
    </row>
    <row r="54" spans="1:18" s="31" customFormat="1" ht="16.95" customHeight="1" x14ac:dyDescent="0.3">
      <c r="A54" s="26">
        <v>270825</v>
      </c>
      <c r="B54" s="26">
        <v>430</v>
      </c>
      <c r="C54" s="27">
        <v>0.5</v>
      </c>
      <c r="D54" s="26">
        <v>26</v>
      </c>
      <c r="E54" s="28" t="s">
        <v>52</v>
      </c>
      <c r="F54" s="26" t="s">
        <v>23</v>
      </c>
      <c r="G54" s="26">
        <v>430</v>
      </c>
      <c r="H54" s="27">
        <v>0.6</v>
      </c>
      <c r="I54" s="26"/>
      <c r="J54" s="26"/>
      <c r="K54" s="26" t="s">
        <v>40</v>
      </c>
      <c r="L54" s="26" t="s">
        <v>39</v>
      </c>
      <c r="M54" s="26" t="s">
        <v>24</v>
      </c>
      <c r="N54" s="29">
        <v>2000</v>
      </c>
      <c r="O54" s="30">
        <v>600</v>
      </c>
      <c r="P54" s="29">
        <f t="shared" ref="P54:P73" si="5">N54-O54</f>
        <v>1400</v>
      </c>
    </row>
    <row r="55" spans="1:18" s="31" customFormat="1" ht="16.95" customHeight="1" x14ac:dyDescent="0.3">
      <c r="A55" s="26"/>
      <c r="B55" s="26"/>
      <c r="C55" s="27"/>
      <c r="D55" s="26"/>
      <c r="E55" s="28"/>
      <c r="F55" s="26"/>
      <c r="G55" s="26"/>
      <c r="H55" s="27"/>
      <c r="I55" s="26"/>
      <c r="J55" s="26"/>
      <c r="K55" s="26"/>
      <c r="L55" s="26"/>
      <c r="M55" s="26"/>
      <c r="N55" s="29"/>
      <c r="O55" s="30"/>
      <c r="P55" s="29">
        <f t="shared" si="5"/>
        <v>0</v>
      </c>
    </row>
    <row r="56" spans="1:18" s="31" customFormat="1" ht="16.95" customHeight="1" x14ac:dyDescent="0.3">
      <c r="A56" s="26"/>
      <c r="B56" s="26"/>
      <c r="C56" s="27"/>
      <c r="D56" s="26"/>
      <c r="E56" s="28"/>
      <c r="F56" s="26"/>
      <c r="G56" s="26"/>
      <c r="H56" s="27"/>
      <c r="I56" s="26"/>
      <c r="J56" s="26"/>
      <c r="K56" s="26"/>
      <c r="L56" s="26"/>
      <c r="M56" s="26"/>
      <c r="N56" s="29"/>
      <c r="O56" s="30"/>
      <c r="P56" s="29">
        <f t="shared" si="5"/>
        <v>0</v>
      </c>
    </row>
    <row r="57" spans="1:18" s="31" customFormat="1" ht="16.95" customHeight="1" x14ac:dyDescent="0.3">
      <c r="A57" s="26"/>
      <c r="B57" s="26"/>
      <c r="C57" s="27"/>
      <c r="D57" s="26"/>
      <c r="E57" s="28"/>
      <c r="F57" s="26"/>
      <c r="G57" s="26"/>
      <c r="H57" s="27"/>
      <c r="I57" s="26"/>
      <c r="J57" s="26"/>
      <c r="K57" s="26"/>
      <c r="L57" s="26"/>
      <c r="M57" s="26"/>
      <c r="N57" s="29"/>
      <c r="O57" s="30"/>
      <c r="P57" s="29">
        <f t="shared" si="5"/>
        <v>0</v>
      </c>
    </row>
    <row r="58" spans="1:18" s="31" customFormat="1" ht="16.95" customHeight="1" x14ac:dyDescent="0.3">
      <c r="A58" s="26"/>
      <c r="B58" s="26"/>
      <c r="C58" s="27"/>
      <c r="D58" s="26"/>
      <c r="E58" s="28"/>
      <c r="F58" s="26"/>
      <c r="G58" s="26"/>
      <c r="H58" s="27"/>
      <c r="I58" s="26"/>
      <c r="J58" s="26"/>
      <c r="K58" s="26"/>
      <c r="L58" s="26"/>
      <c r="M58" s="26"/>
      <c r="N58" s="29"/>
      <c r="O58" s="30"/>
      <c r="P58" s="29">
        <f t="shared" si="5"/>
        <v>0</v>
      </c>
    </row>
    <row r="59" spans="1:18" s="31" customFormat="1" ht="16.95" customHeight="1" x14ac:dyDescent="0.3">
      <c r="A59" s="26"/>
      <c r="B59" s="26"/>
      <c r="C59" s="27"/>
      <c r="D59" s="26"/>
      <c r="E59" s="28"/>
      <c r="F59" s="26"/>
      <c r="G59" s="26"/>
      <c r="H59" s="27"/>
      <c r="I59" s="26"/>
      <c r="J59" s="26"/>
      <c r="K59" s="26"/>
      <c r="L59" s="26"/>
      <c r="M59" s="26"/>
      <c r="N59" s="29"/>
      <c r="O59" s="30"/>
      <c r="P59" s="29">
        <f t="shared" si="5"/>
        <v>0</v>
      </c>
    </row>
    <row r="60" spans="1:18" s="31" customFormat="1" ht="16.95" customHeight="1" x14ac:dyDescent="0.3">
      <c r="A60" s="26"/>
      <c r="B60" s="26"/>
      <c r="C60" s="27"/>
      <c r="D60" s="26"/>
      <c r="E60" s="28"/>
      <c r="F60" s="26"/>
      <c r="G60" s="26"/>
      <c r="H60" s="27"/>
      <c r="I60" s="26"/>
      <c r="J60" s="26"/>
      <c r="K60" s="26"/>
      <c r="L60" s="26"/>
      <c r="M60" s="26"/>
      <c r="N60" s="29"/>
      <c r="O60" s="30"/>
      <c r="P60" s="29">
        <f t="shared" si="5"/>
        <v>0</v>
      </c>
    </row>
    <row r="61" spans="1:18" s="31" customFormat="1" ht="16.95" customHeight="1" x14ac:dyDescent="0.3">
      <c r="A61" s="26"/>
      <c r="B61" s="26"/>
      <c r="C61" s="27"/>
      <c r="D61" s="26"/>
      <c r="E61" s="28"/>
      <c r="F61" s="26"/>
      <c r="G61" s="26"/>
      <c r="H61" s="27"/>
      <c r="I61" s="26"/>
      <c r="J61" s="26"/>
      <c r="K61" s="26"/>
      <c r="L61" s="26"/>
      <c r="M61" s="26"/>
      <c r="N61" s="29"/>
      <c r="O61" s="30"/>
      <c r="P61" s="29">
        <f t="shared" si="5"/>
        <v>0</v>
      </c>
    </row>
    <row r="62" spans="1:18" s="31" customFormat="1" ht="16.95" customHeight="1" x14ac:dyDescent="0.3">
      <c r="A62" s="26">
        <v>250065</v>
      </c>
      <c r="B62" s="26">
        <v>430</v>
      </c>
      <c r="C62" s="27">
        <v>0.5</v>
      </c>
      <c r="D62" s="26">
        <v>22</v>
      </c>
      <c r="E62" s="28" t="s">
        <v>53</v>
      </c>
      <c r="F62" s="26" t="s">
        <v>23</v>
      </c>
      <c r="G62" s="26">
        <v>430</v>
      </c>
      <c r="H62" s="27">
        <v>0.6</v>
      </c>
      <c r="I62" s="26"/>
      <c r="J62" s="26"/>
      <c r="K62" s="26" t="s">
        <v>38</v>
      </c>
      <c r="L62" s="26" t="s">
        <v>39</v>
      </c>
      <c r="M62" s="26" t="s">
        <v>24</v>
      </c>
      <c r="N62" s="29">
        <v>1500</v>
      </c>
      <c r="O62" s="30">
        <v>1500</v>
      </c>
      <c r="P62" s="29">
        <f t="shared" si="5"/>
        <v>0</v>
      </c>
    </row>
    <row r="63" spans="1:18" s="31" customFormat="1" ht="16.95" customHeight="1" x14ac:dyDescent="0.3">
      <c r="A63" s="26">
        <v>250066</v>
      </c>
      <c r="B63" s="26">
        <v>430</v>
      </c>
      <c r="C63" s="27">
        <v>0.5</v>
      </c>
      <c r="D63" s="26">
        <v>22</v>
      </c>
      <c r="E63" s="28" t="s">
        <v>54</v>
      </c>
      <c r="F63" s="26" t="s">
        <v>23</v>
      </c>
      <c r="G63" s="26">
        <v>430</v>
      </c>
      <c r="H63" s="27">
        <v>0.6</v>
      </c>
      <c r="I63" s="26"/>
      <c r="J63" s="26"/>
      <c r="K63" s="26" t="s">
        <v>38</v>
      </c>
      <c r="L63" s="26" t="s">
        <v>39</v>
      </c>
      <c r="M63" s="26" t="s">
        <v>24</v>
      </c>
      <c r="N63" s="29">
        <v>1500</v>
      </c>
      <c r="O63" s="30">
        <v>50</v>
      </c>
      <c r="P63" s="29">
        <f t="shared" si="5"/>
        <v>1450</v>
      </c>
    </row>
    <row r="64" spans="1:18" s="31" customFormat="1" ht="16.95" customHeight="1" x14ac:dyDescent="0.3">
      <c r="A64" s="26"/>
      <c r="B64" s="26"/>
      <c r="C64" s="27"/>
      <c r="D64" s="26"/>
      <c r="E64" s="28"/>
      <c r="F64" s="26"/>
      <c r="G64" s="26"/>
      <c r="H64" s="27"/>
      <c r="I64" s="26"/>
      <c r="J64" s="26"/>
      <c r="K64" s="26"/>
      <c r="L64" s="26"/>
      <c r="M64" s="26"/>
      <c r="N64" s="29"/>
      <c r="O64" s="30"/>
      <c r="P64" s="29">
        <f t="shared" si="5"/>
        <v>0</v>
      </c>
    </row>
    <row r="65" spans="1:18" s="31" customFormat="1" ht="16.95" customHeight="1" x14ac:dyDescent="0.3">
      <c r="A65" s="26"/>
      <c r="B65" s="26"/>
      <c r="C65" s="27"/>
      <c r="D65" s="26"/>
      <c r="E65" s="28"/>
      <c r="F65" s="26"/>
      <c r="G65" s="26"/>
      <c r="H65" s="27"/>
      <c r="I65" s="26"/>
      <c r="J65" s="26"/>
      <c r="K65" s="26"/>
      <c r="L65" s="26"/>
      <c r="M65" s="26"/>
      <c r="N65" s="29"/>
      <c r="O65" s="30"/>
      <c r="P65" s="29">
        <f t="shared" si="5"/>
        <v>0</v>
      </c>
    </row>
    <row r="66" spans="1:18" s="31" customFormat="1" ht="16.95" customHeight="1" x14ac:dyDescent="0.3">
      <c r="A66" s="26"/>
      <c r="B66" s="26"/>
      <c r="C66" s="27"/>
      <c r="D66" s="26"/>
      <c r="E66" s="28"/>
      <c r="F66" s="26"/>
      <c r="G66" s="26"/>
      <c r="H66" s="27"/>
      <c r="I66" s="26"/>
      <c r="J66" s="26"/>
      <c r="K66" s="26"/>
      <c r="L66" s="26"/>
      <c r="M66" s="26"/>
      <c r="N66" s="29"/>
      <c r="O66" s="30"/>
      <c r="P66" s="29">
        <f t="shared" si="5"/>
        <v>0</v>
      </c>
    </row>
    <row r="67" spans="1:18" s="31" customFormat="1" ht="16.95" customHeight="1" x14ac:dyDescent="0.3">
      <c r="A67" s="26"/>
      <c r="B67" s="26"/>
      <c r="C67" s="27"/>
      <c r="D67" s="26"/>
      <c r="E67" s="28"/>
      <c r="F67" s="26"/>
      <c r="G67" s="26"/>
      <c r="H67" s="27"/>
      <c r="I67" s="26"/>
      <c r="J67" s="26"/>
      <c r="K67" s="26"/>
      <c r="L67" s="26"/>
      <c r="M67" s="26"/>
      <c r="N67" s="29"/>
      <c r="O67" s="30"/>
      <c r="P67" s="29">
        <f t="shared" si="5"/>
        <v>0</v>
      </c>
    </row>
    <row r="68" spans="1:18" s="31" customFormat="1" ht="16.95" customHeight="1" x14ac:dyDescent="0.3">
      <c r="A68" s="26"/>
      <c r="B68" s="26"/>
      <c r="C68" s="27"/>
      <c r="D68" s="26"/>
      <c r="E68" s="28"/>
      <c r="F68" s="26"/>
      <c r="G68" s="26"/>
      <c r="H68" s="27"/>
      <c r="I68" s="26"/>
      <c r="J68" s="26"/>
      <c r="K68" s="26"/>
      <c r="L68" s="26"/>
      <c r="M68" s="26"/>
      <c r="N68" s="29"/>
      <c r="O68" s="30"/>
      <c r="P68" s="29">
        <f t="shared" si="5"/>
        <v>0</v>
      </c>
    </row>
    <row r="69" spans="1:18" s="31" customFormat="1" ht="16.95" customHeight="1" x14ac:dyDescent="0.3">
      <c r="A69" s="26"/>
      <c r="B69" s="26"/>
      <c r="C69" s="27"/>
      <c r="D69" s="26"/>
      <c r="E69" s="28"/>
      <c r="F69" s="26"/>
      <c r="G69" s="26"/>
      <c r="H69" s="27"/>
      <c r="I69" s="26"/>
      <c r="J69" s="26"/>
      <c r="K69" s="26"/>
      <c r="L69" s="26"/>
      <c r="M69" s="26"/>
      <c r="N69" s="29"/>
      <c r="O69" s="30"/>
      <c r="P69" s="29">
        <f t="shared" si="5"/>
        <v>0</v>
      </c>
    </row>
    <row r="70" spans="1:18" s="31" customFormat="1" ht="16.95" customHeight="1" x14ac:dyDescent="0.3">
      <c r="A70" s="26"/>
      <c r="B70" s="26"/>
      <c r="C70" s="27"/>
      <c r="D70" s="26"/>
      <c r="E70" s="28"/>
      <c r="F70" s="26"/>
      <c r="G70" s="26"/>
      <c r="H70" s="27"/>
      <c r="I70" s="26"/>
      <c r="J70" s="26"/>
      <c r="K70" s="26"/>
      <c r="L70" s="26"/>
      <c r="M70" s="26"/>
      <c r="N70" s="29"/>
      <c r="O70" s="30"/>
      <c r="P70" s="29">
        <f t="shared" si="5"/>
        <v>0</v>
      </c>
    </row>
    <row r="71" spans="1:18" s="31" customFormat="1" ht="16.95" customHeight="1" x14ac:dyDescent="0.3">
      <c r="A71" s="26"/>
      <c r="B71" s="26"/>
      <c r="C71" s="27"/>
      <c r="D71" s="26"/>
      <c r="E71" s="28"/>
      <c r="F71" s="26"/>
      <c r="G71" s="26"/>
      <c r="H71" s="27"/>
      <c r="I71" s="26"/>
      <c r="J71" s="26"/>
      <c r="K71" s="26"/>
      <c r="L71" s="26"/>
      <c r="M71" s="26"/>
      <c r="N71" s="29"/>
      <c r="O71" s="30"/>
      <c r="P71" s="29">
        <f t="shared" si="5"/>
        <v>0</v>
      </c>
    </row>
    <row r="72" spans="1:18" s="31" customFormat="1" ht="16.95" customHeight="1" x14ac:dyDescent="0.3">
      <c r="A72" s="26"/>
      <c r="B72" s="26"/>
      <c r="C72" s="27"/>
      <c r="D72" s="26"/>
      <c r="E72" s="28"/>
      <c r="F72" s="26"/>
      <c r="G72" s="26"/>
      <c r="H72" s="27"/>
      <c r="I72" s="26"/>
      <c r="J72" s="26"/>
      <c r="K72" s="26"/>
      <c r="L72" s="26"/>
      <c r="M72" s="26"/>
      <c r="N72" s="26"/>
      <c r="O72" s="30"/>
      <c r="P72" s="29">
        <f t="shared" si="5"/>
        <v>0</v>
      </c>
    </row>
    <row r="73" spans="1:18" s="31" customFormat="1" ht="16.95" customHeight="1" x14ac:dyDescent="0.3">
      <c r="A73" s="32"/>
      <c r="B73" s="32"/>
      <c r="C73" s="33"/>
      <c r="D73" s="32"/>
      <c r="E73" s="34"/>
      <c r="F73" s="32"/>
      <c r="G73" s="32"/>
      <c r="H73" s="33"/>
      <c r="I73" s="32"/>
      <c r="J73" s="32"/>
      <c r="K73" s="32"/>
      <c r="L73" s="32"/>
      <c r="M73" s="35"/>
      <c r="N73" s="29">
        <f>SUM(N54:N72)</f>
        <v>5000</v>
      </c>
      <c r="O73" s="36">
        <f>SUM(O54:O72)</f>
        <v>2150</v>
      </c>
      <c r="P73" s="29">
        <f t="shared" si="5"/>
        <v>2850</v>
      </c>
    </row>
    <row r="75" spans="1:18" s="3" customFormat="1" ht="30" customHeight="1" x14ac:dyDescent="0.3">
      <c r="A75" s="120" t="s">
        <v>22</v>
      </c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</row>
    <row r="76" spans="1:18" s="7" customFormat="1" ht="29.4" customHeight="1" x14ac:dyDescent="0.3">
      <c r="A76" s="21" t="s">
        <v>0</v>
      </c>
      <c r="B76" s="21" t="s">
        <v>9</v>
      </c>
      <c r="C76" s="22" t="s">
        <v>11</v>
      </c>
      <c r="D76" s="21" t="s">
        <v>2</v>
      </c>
      <c r="E76" s="21" t="s">
        <v>1</v>
      </c>
      <c r="F76" s="21" t="s">
        <v>14</v>
      </c>
      <c r="G76" s="21" t="s">
        <v>8</v>
      </c>
      <c r="H76" s="22" t="s">
        <v>10</v>
      </c>
      <c r="I76" s="22" t="s">
        <v>12</v>
      </c>
      <c r="J76" s="22" t="s">
        <v>13</v>
      </c>
      <c r="K76" s="22" t="s">
        <v>27</v>
      </c>
      <c r="L76" s="21" t="s">
        <v>3</v>
      </c>
      <c r="M76" s="21" t="s">
        <v>4</v>
      </c>
      <c r="N76" s="21" t="s">
        <v>7</v>
      </c>
      <c r="O76" s="21" t="s">
        <v>5</v>
      </c>
      <c r="P76" s="21" t="s">
        <v>6</v>
      </c>
      <c r="R76" s="14"/>
    </row>
    <row r="77" spans="1:18" s="31" customFormat="1" ht="16.95" customHeight="1" x14ac:dyDescent="0.3">
      <c r="A77" s="26">
        <v>250825</v>
      </c>
      <c r="B77" s="26">
        <v>430</v>
      </c>
      <c r="C77" s="27">
        <v>0.8</v>
      </c>
      <c r="D77" s="26">
        <v>42.5</v>
      </c>
      <c r="E77" s="28" t="s">
        <v>60</v>
      </c>
      <c r="F77" s="26" t="s">
        <v>42</v>
      </c>
      <c r="G77" s="26">
        <v>430</v>
      </c>
      <c r="H77" s="27">
        <v>0.6</v>
      </c>
      <c r="I77" s="26" t="s">
        <v>24</v>
      </c>
      <c r="J77" s="26" t="s">
        <v>24</v>
      </c>
      <c r="K77" s="26" t="s">
        <v>43</v>
      </c>
      <c r="L77" s="26" t="s">
        <v>44</v>
      </c>
      <c r="M77" s="26" t="s">
        <v>24</v>
      </c>
      <c r="N77" s="29">
        <v>5000</v>
      </c>
      <c r="O77" s="30">
        <v>300</v>
      </c>
      <c r="P77" s="29">
        <f>N77-O77</f>
        <v>4700</v>
      </c>
    </row>
    <row r="78" spans="1:18" s="31" customFormat="1" ht="16.95" customHeight="1" x14ac:dyDescent="0.3">
      <c r="A78" s="26">
        <v>250825</v>
      </c>
      <c r="B78" s="26">
        <v>430</v>
      </c>
      <c r="C78" s="27">
        <v>0.8</v>
      </c>
      <c r="D78" s="26">
        <v>36</v>
      </c>
      <c r="E78" s="28" t="s">
        <v>61</v>
      </c>
      <c r="F78" s="26" t="s">
        <v>42</v>
      </c>
      <c r="G78" s="26">
        <v>430</v>
      </c>
      <c r="H78" s="27">
        <v>0.6</v>
      </c>
      <c r="I78" s="26" t="s">
        <v>24</v>
      </c>
      <c r="J78" s="26" t="s">
        <v>24</v>
      </c>
      <c r="K78" s="26" t="s">
        <v>47</v>
      </c>
      <c r="L78" s="26" t="s">
        <v>44</v>
      </c>
      <c r="M78" s="26" t="s">
        <v>24</v>
      </c>
      <c r="N78" s="29">
        <v>5000</v>
      </c>
      <c r="O78" s="30"/>
      <c r="P78" s="29">
        <f t="shared" ref="P78:P81" si="6">N78-O78</f>
        <v>5000</v>
      </c>
    </row>
    <row r="79" spans="1:18" s="31" customFormat="1" ht="16.95" customHeight="1" x14ac:dyDescent="0.3">
      <c r="A79" s="26"/>
      <c r="B79" s="26"/>
      <c r="C79" s="27"/>
      <c r="D79" s="26"/>
      <c r="E79" s="28"/>
      <c r="F79" s="26"/>
      <c r="G79" s="26"/>
      <c r="H79" s="27"/>
      <c r="I79" s="26"/>
      <c r="J79" s="26"/>
      <c r="K79" s="26"/>
      <c r="L79" s="26"/>
      <c r="M79" s="26"/>
      <c r="N79" s="26"/>
      <c r="O79" s="30"/>
      <c r="P79" s="29">
        <f t="shared" si="6"/>
        <v>0</v>
      </c>
    </row>
    <row r="80" spans="1:18" s="31" customFormat="1" ht="16.95" customHeight="1" x14ac:dyDescent="0.3">
      <c r="A80" s="26"/>
      <c r="B80" s="26"/>
      <c r="C80" s="27"/>
      <c r="D80" s="26"/>
      <c r="E80" s="28"/>
      <c r="F80" s="26"/>
      <c r="G80" s="26"/>
      <c r="H80" s="27"/>
      <c r="I80" s="26"/>
      <c r="J80" s="26"/>
      <c r="K80" s="26"/>
      <c r="L80" s="26"/>
      <c r="M80" s="26"/>
      <c r="N80" s="29"/>
      <c r="O80" s="30"/>
      <c r="P80" s="29">
        <f t="shared" si="6"/>
        <v>0</v>
      </c>
    </row>
    <row r="81" spans="1:18" s="31" customFormat="1" ht="16.95" customHeight="1" x14ac:dyDescent="0.3">
      <c r="A81" s="32"/>
      <c r="B81" s="32"/>
      <c r="C81" s="33"/>
      <c r="D81" s="32"/>
      <c r="E81" s="34"/>
      <c r="F81" s="32"/>
      <c r="G81" s="32"/>
      <c r="H81" s="33"/>
      <c r="I81" s="32"/>
      <c r="J81" s="32"/>
      <c r="K81" s="32"/>
      <c r="L81" s="32"/>
      <c r="M81" s="35"/>
      <c r="N81" s="29">
        <f>SUM(N77:N80)</f>
        <v>10000</v>
      </c>
      <c r="O81" s="36">
        <f>SUM(O77:O80)</f>
        <v>300</v>
      </c>
      <c r="P81" s="29">
        <f t="shared" si="6"/>
        <v>9700</v>
      </c>
    </row>
    <row r="83" spans="1:18" s="3" customFormat="1" ht="30" customHeight="1" x14ac:dyDescent="0.3">
      <c r="A83" s="120" t="s">
        <v>15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2"/>
    </row>
    <row r="84" spans="1:18" s="7" customFormat="1" ht="29.4" customHeight="1" x14ac:dyDescent="0.3">
      <c r="A84" s="21" t="s">
        <v>0</v>
      </c>
      <c r="B84" s="21" t="s">
        <v>9</v>
      </c>
      <c r="C84" s="22" t="s">
        <v>11</v>
      </c>
      <c r="D84" s="21" t="s">
        <v>2</v>
      </c>
      <c r="E84" s="21" t="s">
        <v>1</v>
      </c>
      <c r="F84" s="21" t="s">
        <v>14</v>
      </c>
      <c r="G84" s="21" t="s">
        <v>8</v>
      </c>
      <c r="H84" s="22" t="s">
        <v>10</v>
      </c>
      <c r="I84" s="22" t="s">
        <v>12</v>
      </c>
      <c r="J84" s="22" t="s">
        <v>13</v>
      </c>
      <c r="K84" s="22" t="s">
        <v>27</v>
      </c>
      <c r="L84" s="21" t="s">
        <v>3</v>
      </c>
      <c r="M84" s="21" t="s">
        <v>4</v>
      </c>
      <c r="N84" s="21" t="s">
        <v>7</v>
      </c>
      <c r="O84" s="21" t="s">
        <v>5</v>
      </c>
      <c r="P84" s="21" t="s">
        <v>6</v>
      </c>
      <c r="R84" s="14"/>
    </row>
    <row r="85" spans="1:18" s="31" customFormat="1" ht="16.95" customHeight="1" x14ac:dyDescent="0.3">
      <c r="A85" s="26">
        <v>250825</v>
      </c>
      <c r="B85" s="26"/>
      <c r="C85" s="27"/>
      <c r="D85" s="26"/>
      <c r="E85" s="28" t="s">
        <v>57</v>
      </c>
      <c r="F85" s="26" t="s">
        <v>24</v>
      </c>
      <c r="G85" s="26" t="s">
        <v>24</v>
      </c>
      <c r="H85" s="27" t="s">
        <v>24</v>
      </c>
      <c r="I85" s="26" t="s">
        <v>24</v>
      </c>
      <c r="J85" s="26" t="s">
        <v>24</v>
      </c>
      <c r="K85" s="26" t="s">
        <v>58</v>
      </c>
      <c r="L85" s="26" t="s">
        <v>24</v>
      </c>
      <c r="M85" s="26" t="s">
        <v>24</v>
      </c>
      <c r="N85" s="29">
        <v>5000</v>
      </c>
      <c r="O85" s="30"/>
      <c r="P85" s="29">
        <f>N85-O85</f>
        <v>5000</v>
      </c>
    </row>
    <row r="86" spans="1:18" s="31" customFormat="1" ht="16.95" customHeight="1" x14ac:dyDescent="0.3">
      <c r="A86" s="26">
        <v>250825</v>
      </c>
      <c r="B86" s="26"/>
      <c r="C86" s="27"/>
      <c r="D86" s="26"/>
      <c r="E86" s="28" t="s">
        <v>59</v>
      </c>
      <c r="F86" s="26" t="s">
        <v>24</v>
      </c>
      <c r="G86" s="26" t="s">
        <v>24</v>
      </c>
      <c r="H86" s="27" t="s">
        <v>24</v>
      </c>
      <c r="I86" s="26" t="s">
        <v>24</v>
      </c>
      <c r="J86" s="26" t="s">
        <v>24</v>
      </c>
      <c r="K86" s="26" t="s">
        <v>24</v>
      </c>
      <c r="L86" s="26" t="s">
        <v>24</v>
      </c>
      <c r="M86" s="26" t="s">
        <v>24</v>
      </c>
      <c r="N86" s="26">
        <v>5000</v>
      </c>
      <c r="O86" s="30"/>
      <c r="P86" s="29">
        <f t="shared" ref="P86:P89" si="7">N86-O86</f>
        <v>5000</v>
      </c>
    </row>
    <row r="87" spans="1:18" s="31" customFormat="1" ht="16.95" customHeight="1" x14ac:dyDescent="0.3">
      <c r="A87" s="26"/>
      <c r="B87" s="26"/>
      <c r="C87" s="27"/>
      <c r="D87" s="26"/>
      <c r="E87" s="28"/>
      <c r="F87" s="26"/>
      <c r="G87" s="26"/>
      <c r="H87" s="27"/>
      <c r="I87" s="26"/>
      <c r="J87" s="26"/>
      <c r="K87" s="26"/>
      <c r="L87" s="26"/>
      <c r="M87" s="26"/>
      <c r="N87" s="26"/>
      <c r="O87" s="30"/>
      <c r="P87" s="29">
        <f t="shared" si="7"/>
        <v>0</v>
      </c>
    </row>
    <row r="88" spans="1:18" s="31" customFormat="1" ht="16.95" customHeight="1" x14ac:dyDescent="0.3">
      <c r="A88" s="26"/>
      <c r="B88" s="26"/>
      <c r="C88" s="27"/>
      <c r="D88" s="26"/>
      <c r="E88" s="28"/>
      <c r="F88" s="26"/>
      <c r="G88" s="26"/>
      <c r="H88" s="27"/>
      <c r="I88" s="26"/>
      <c r="J88" s="26"/>
      <c r="K88" s="26"/>
      <c r="L88" s="26"/>
      <c r="M88" s="26"/>
      <c r="N88" s="26"/>
      <c r="O88" s="30"/>
      <c r="P88" s="29">
        <f t="shared" si="7"/>
        <v>0</v>
      </c>
    </row>
    <row r="89" spans="1:18" s="31" customFormat="1" ht="16.95" customHeight="1" x14ac:dyDescent="0.3">
      <c r="A89" s="32"/>
      <c r="B89" s="32"/>
      <c r="C89" s="33"/>
      <c r="D89" s="32"/>
      <c r="E89" s="34"/>
      <c r="F89" s="32"/>
      <c r="G89" s="32"/>
      <c r="H89" s="33"/>
      <c r="I89" s="32"/>
      <c r="J89" s="32"/>
      <c r="K89" s="32"/>
      <c r="L89" s="32"/>
      <c r="M89" s="35"/>
      <c r="N89" s="29">
        <f>SUM(N85:N88)</f>
        <v>10000</v>
      </c>
      <c r="O89" s="36">
        <f>SUM(O85:O88)</f>
        <v>0</v>
      </c>
      <c r="P89" s="29">
        <f t="shared" si="7"/>
        <v>10000</v>
      </c>
    </row>
    <row r="90" spans="1:18" s="31" customFormat="1" ht="16.95" customHeight="1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8" s="40" customFormat="1" ht="16.95" customHeight="1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119" t="s">
        <v>17</v>
      </c>
      <c r="M91" s="119"/>
      <c r="N91" s="38">
        <f>N89+N81+N73+N50+N37+N12</f>
        <v>28300</v>
      </c>
      <c r="O91" s="39">
        <f>O89+O81+O73+O50+O37+O12</f>
        <v>4340</v>
      </c>
      <c r="P91" s="38">
        <f>P89+P81+P73+P50+P37+P12</f>
        <v>23960</v>
      </c>
    </row>
    <row r="92" spans="1:18" s="31" customFormat="1" ht="16.95" customHeight="1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8" ht="16.95" customHeight="1" x14ac:dyDescent="0.3"/>
  </sheetData>
  <mergeCells count="11">
    <mergeCell ref="L91:M91"/>
    <mergeCell ref="A1:C1"/>
    <mergeCell ref="M1:N1"/>
    <mergeCell ref="O1:P1"/>
    <mergeCell ref="A2:P2"/>
    <mergeCell ref="A14:P14"/>
    <mergeCell ref="A26:P26"/>
    <mergeCell ref="A39:P39"/>
    <mergeCell ref="A52:P52"/>
    <mergeCell ref="A75:P75"/>
    <mergeCell ref="A83:P83"/>
  </mergeCells>
  <pageMargins left="0.19685039370078741" right="0.19685039370078741" top="0.39370078740157483" bottom="0.39370078740157483" header="0.31496062992125984" footer="0.31496062992125984"/>
  <pageSetup paperSize="9" scale="4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topLeftCell="A62" zoomScale="70" zoomScaleNormal="70" workbookViewId="0">
      <selection activeCell="O78" sqref="O78"/>
    </sheetView>
  </sheetViews>
  <sheetFormatPr defaultRowHeight="14.4" x14ac:dyDescent="0.3"/>
  <cols>
    <col min="1" max="1" width="13.77734375" style="1" customWidth="1"/>
    <col min="2" max="4" width="6.77734375" style="1" customWidth="1"/>
    <col min="5" max="5" width="46" style="1" bestFit="1" customWidth="1"/>
    <col min="6" max="6" width="10.77734375" style="1" customWidth="1"/>
    <col min="7" max="7" width="6.77734375" style="1" customWidth="1"/>
    <col min="8" max="8" width="9.77734375" style="1" customWidth="1"/>
    <col min="9" max="10" width="12.77734375" style="1" customWidth="1"/>
    <col min="11" max="11" width="16.44140625" style="1" bestFit="1" customWidth="1"/>
    <col min="12" max="12" width="20.44140625" style="1" customWidth="1"/>
    <col min="13" max="13" width="12.77734375" style="1" customWidth="1"/>
    <col min="14" max="16" width="8.88671875" style="1"/>
  </cols>
  <sheetData>
    <row r="1" spans="1:18" s="3" customFormat="1" ht="30" customHeight="1" x14ac:dyDescent="0.3">
      <c r="A1" s="115"/>
      <c r="B1" s="115"/>
      <c r="C1" s="115"/>
      <c r="D1" s="2"/>
      <c r="E1" s="2"/>
      <c r="F1" s="2"/>
      <c r="G1" s="2"/>
      <c r="H1" s="2"/>
      <c r="I1" s="2"/>
      <c r="J1" s="2"/>
      <c r="K1" s="2"/>
      <c r="L1" s="2"/>
      <c r="M1" s="118" t="s">
        <v>16</v>
      </c>
      <c r="N1" s="118"/>
      <c r="O1" s="116">
        <f ca="1">TODAY()</f>
        <v>45967</v>
      </c>
      <c r="P1" s="117"/>
    </row>
    <row r="2" spans="1:18" s="3" customFormat="1" ht="30" customHeight="1" x14ac:dyDescent="0.3">
      <c r="A2" s="120" t="s">
        <v>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</row>
    <row r="3" spans="1:18" s="7" customFormat="1" ht="29.4" customHeight="1" x14ac:dyDescent="0.3">
      <c r="A3" s="21" t="s">
        <v>0</v>
      </c>
      <c r="B3" s="21" t="s">
        <v>9</v>
      </c>
      <c r="C3" s="22" t="s">
        <v>11</v>
      </c>
      <c r="D3" s="21" t="s">
        <v>2</v>
      </c>
      <c r="E3" s="21" t="s">
        <v>1</v>
      </c>
      <c r="F3" s="21" t="s">
        <v>14</v>
      </c>
      <c r="G3" s="21" t="s">
        <v>8</v>
      </c>
      <c r="H3" s="22" t="s">
        <v>10</v>
      </c>
      <c r="I3" s="22" t="s">
        <v>12</v>
      </c>
      <c r="J3" s="22" t="s">
        <v>13</v>
      </c>
      <c r="K3" s="22" t="s">
        <v>27</v>
      </c>
      <c r="L3" s="21" t="s">
        <v>3</v>
      </c>
      <c r="M3" s="21" t="s">
        <v>4</v>
      </c>
      <c r="N3" s="21" t="s">
        <v>7</v>
      </c>
      <c r="O3" s="21" t="s">
        <v>5</v>
      </c>
      <c r="P3" s="21" t="s">
        <v>6</v>
      </c>
      <c r="R3" s="14"/>
    </row>
    <row r="4" spans="1:18" s="20" customFormat="1" ht="16.95" customHeight="1" x14ac:dyDescent="0.3">
      <c r="A4" s="21">
        <v>250068</v>
      </c>
      <c r="B4" s="21">
        <v>304</v>
      </c>
      <c r="C4" s="24">
        <v>0.6</v>
      </c>
      <c r="D4" s="21">
        <v>54.3</v>
      </c>
      <c r="E4" s="25" t="s">
        <v>32</v>
      </c>
      <c r="F4" s="21" t="s">
        <v>23</v>
      </c>
      <c r="G4" s="21">
        <v>430</v>
      </c>
      <c r="H4" s="24">
        <v>0.6</v>
      </c>
      <c r="I4" s="21"/>
      <c r="J4" s="21"/>
      <c r="K4" s="21" t="s">
        <v>28</v>
      </c>
      <c r="L4" s="21" t="s">
        <v>24</v>
      </c>
      <c r="M4" s="21" t="s">
        <v>24</v>
      </c>
      <c r="N4" s="6">
        <v>1650</v>
      </c>
      <c r="O4" s="23">
        <f>1310+340</f>
        <v>1650</v>
      </c>
      <c r="P4" s="6">
        <f>N4-O4</f>
        <v>0</v>
      </c>
    </row>
    <row r="5" spans="1:18" s="20" customFormat="1" ht="16.95" customHeight="1" x14ac:dyDescent="0.3">
      <c r="A5" s="21">
        <v>250069</v>
      </c>
      <c r="B5" s="21">
        <v>304</v>
      </c>
      <c r="C5" s="24">
        <v>0.6</v>
      </c>
      <c r="D5" s="21">
        <v>54.3</v>
      </c>
      <c r="E5" s="25" t="s">
        <v>33</v>
      </c>
      <c r="F5" s="21" t="s">
        <v>23</v>
      </c>
      <c r="G5" s="21">
        <v>430</v>
      </c>
      <c r="H5" s="24">
        <v>0.6</v>
      </c>
      <c r="I5" s="21"/>
      <c r="J5" s="21"/>
      <c r="K5" s="21" t="s">
        <v>28</v>
      </c>
      <c r="L5" s="21" t="s">
        <v>24</v>
      </c>
      <c r="M5" s="21" t="s">
        <v>24</v>
      </c>
      <c r="N5" s="6">
        <v>1650</v>
      </c>
      <c r="O5" s="23">
        <f>240+1450</f>
        <v>1690</v>
      </c>
      <c r="P5" s="6">
        <f t="shared" ref="P5:P12" si="0">N5-O5</f>
        <v>-40</v>
      </c>
    </row>
    <row r="6" spans="1:18" s="20" customFormat="1" ht="16.95" customHeight="1" x14ac:dyDescent="0.3">
      <c r="A6" s="21"/>
      <c r="B6" s="26">
        <v>430</v>
      </c>
      <c r="C6" s="27">
        <v>0.8</v>
      </c>
      <c r="D6" s="26">
        <v>36</v>
      </c>
      <c r="E6" s="28" t="s">
        <v>65</v>
      </c>
      <c r="F6" s="26" t="s">
        <v>42</v>
      </c>
      <c r="G6" s="26">
        <v>430</v>
      </c>
      <c r="H6" s="27">
        <v>0.8</v>
      </c>
      <c r="I6" s="26" t="s">
        <v>24</v>
      </c>
      <c r="J6" s="26" t="s">
        <v>24</v>
      </c>
      <c r="K6" s="26" t="s">
        <v>47</v>
      </c>
      <c r="L6" s="26" t="s">
        <v>44</v>
      </c>
      <c r="M6" s="26" t="s">
        <v>24</v>
      </c>
      <c r="N6" s="29">
        <v>5000</v>
      </c>
      <c r="O6" s="23">
        <v>2000</v>
      </c>
      <c r="P6" s="6">
        <f t="shared" si="0"/>
        <v>3000</v>
      </c>
    </row>
    <row r="7" spans="1:18" s="20" customFormat="1" ht="16.95" customHeight="1" x14ac:dyDescent="0.3">
      <c r="A7" s="21"/>
      <c r="B7" s="21"/>
      <c r="C7" s="24"/>
      <c r="D7" s="21"/>
      <c r="E7" s="25"/>
      <c r="F7" s="21"/>
      <c r="G7" s="21"/>
      <c r="H7" s="24"/>
      <c r="I7" s="21"/>
      <c r="J7" s="21"/>
      <c r="K7" s="21"/>
      <c r="L7" s="21"/>
      <c r="M7" s="21"/>
      <c r="N7" s="6"/>
      <c r="O7" s="23"/>
      <c r="P7" s="6">
        <f t="shared" si="0"/>
        <v>0</v>
      </c>
    </row>
    <row r="8" spans="1:18" s="20" customFormat="1" ht="16.95" customHeight="1" x14ac:dyDescent="0.3">
      <c r="A8" s="21"/>
      <c r="B8" s="21"/>
      <c r="C8" s="24"/>
      <c r="D8" s="21"/>
      <c r="E8" s="25"/>
      <c r="F8" s="21"/>
      <c r="G8" s="21"/>
      <c r="H8" s="24"/>
      <c r="I8" s="21"/>
      <c r="J8" s="21"/>
      <c r="K8" s="21"/>
      <c r="L8" s="21"/>
      <c r="M8" s="21"/>
      <c r="N8" s="6"/>
      <c r="O8" s="23"/>
      <c r="P8" s="6">
        <f t="shared" si="0"/>
        <v>0</v>
      </c>
    </row>
    <row r="9" spans="1:18" s="20" customFormat="1" ht="16.95" customHeight="1" x14ac:dyDescent="0.3">
      <c r="A9" s="21"/>
      <c r="B9" s="21"/>
      <c r="C9" s="24"/>
      <c r="D9" s="21"/>
      <c r="E9" s="25"/>
      <c r="F9" s="21"/>
      <c r="G9" s="21"/>
      <c r="H9" s="24"/>
      <c r="I9" s="21"/>
      <c r="J9" s="21"/>
      <c r="K9" s="21"/>
      <c r="L9" s="21"/>
      <c r="M9" s="21"/>
      <c r="N9" s="6"/>
      <c r="O9" s="23"/>
      <c r="P9" s="6">
        <f t="shared" si="0"/>
        <v>0</v>
      </c>
    </row>
    <row r="10" spans="1:18" s="20" customFormat="1" ht="16.95" customHeight="1" x14ac:dyDescent="0.3">
      <c r="A10" s="21"/>
      <c r="B10" s="21"/>
      <c r="C10" s="24"/>
      <c r="D10" s="21"/>
      <c r="E10" s="25"/>
      <c r="F10" s="21"/>
      <c r="G10" s="21"/>
      <c r="H10" s="24"/>
      <c r="I10" s="21"/>
      <c r="J10" s="21"/>
      <c r="K10" s="21"/>
      <c r="L10" s="21"/>
      <c r="M10" s="21"/>
      <c r="N10" s="21"/>
      <c r="O10" s="23"/>
      <c r="P10" s="6">
        <f t="shared" si="0"/>
        <v>0</v>
      </c>
    </row>
    <row r="11" spans="1:18" s="20" customFormat="1" ht="16.95" customHeight="1" x14ac:dyDescent="0.3">
      <c r="A11" s="21"/>
      <c r="B11" s="21"/>
      <c r="C11" s="24"/>
      <c r="D11" s="21"/>
      <c r="E11" s="25"/>
      <c r="F11" s="21"/>
      <c r="G11" s="21"/>
      <c r="H11" s="24"/>
      <c r="I11" s="21"/>
      <c r="J11" s="21"/>
      <c r="K11" s="21"/>
      <c r="L11" s="21"/>
      <c r="M11" s="21"/>
      <c r="N11" s="21"/>
      <c r="O11" s="23"/>
      <c r="P11" s="6">
        <f t="shared" si="0"/>
        <v>0</v>
      </c>
    </row>
    <row r="12" spans="1:18" s="14" customFormat="1" ht="15.6" x14ac:dyDescent="0.3">
      <c r="A12" s="8"/>
      <c r="B12" s="8"/>
      <c r="C12" s="9"/>
      <c r="D12" s="8"/>
      <c r="E12" s="10"/>
      <c r="F12" s="8"/>
      <c r="G12" s="8"/>
      <c r="H12" s="9"/>
      <c r="I12" s="8"/>
      <c r="J12" s="8"/>
      <c r="K12" s="8"/>
      <c r="L12" s="8"/>
      <c r="M12" s="11"/>
      <c r="N12" s="12">
        <f>SUM(N4:N11)</f>
        <v>8300</v>
      </c>
      <c r="O12" s="13">
        <f>SUM(O4:O11)</f>
        <v>5340</v>
      </c>
      <c r="P12" s="12">
        <f t="shared" si="0"/>
        <v>2960</v>
      </c>
    </row>
    <row r="13" spans="1:18" x14ac:dyDescent="0.3">
      <c r="C13" s="4"/>
      <c r="E13" s="5"/>
      <c r="H13" s="4"/>
    </row>
    <row r="14" spans="1:18" s="3" customFormat="1" ht="30" customHeight="1" x14ac:dyDescent="0.3">
      <c r="A14" s="120" t="s">
        <v>20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1:18" s="7" customFormat="1" ht="29.4" customHeight="1" x14ac:dyDescent="0.3">
      <c r="A15" s="21" t="s">
        <v>0</v>
      </c>
      <c r="B15" s="21" t="s">
        <v>9</v>
      </c>
      <c r="C15" s="22" t="s">
        <v>11</v>
      </c>
      <c r="D15" s="21" t="s">
        <v>2</v>
      </c>
      <c r="E15" s="21" t="s">
        <v>1</v>
      </c>
      <c r="F15" s="21" t="s">
        <v>14</v>
      </c>
      <c r="G15" s="21" t="s">
        <v>8</v>
      </c>
      <c r="H15" s="22" t="s">
        <v>10</v>
      </c>
      <c r="I15" s="22" t="s">
        <v>12</v>
      </c>
      <c r="J15" s="22" t="s">
        <v>13</v>
      </c>
      <c r="K15" s="22" t="s">
        <v>27</v>
      </c>
      <c r="L15" s="21" t="s">
        <v>3</v>
      </c>
      <c r="M15" s="21" t="s">
        <v>4</v>
      </c>
      <c r="N15" s="21" t="s">
        <v>7</v>
      </c>
      <c r="O15" s="21" t="s">
        <v>5</v>
      </c>
      <c r="P15" s="21" t="s">
        <v>6</v>
      </c>
      <c r="R15" s="14"/>
    </row>
    <row r="16" spans="1:18" s="31" customFormat="1" ht="16.95" customHeight="1" x14ac:dyDescent="0.3">
      <c r="A16" s="26">
        <v>250068</v>
      </c>
      <c r="B16" s="26">
        <v>304</v>
      </c>
      <c r="C16" s="27">
        <v>0.6</v>
      </c>
      <c r="D16" s="26">
        <v>54.3</v>
      </c>
      <c r="E16" s="28" t="s">
        <v>34</v>
      </c>
      <c r="F16" s="26" t="s">
        <v>23</v>
      </c>
      <c r="G16" s="26">
        <v>430</v>
      </c>
      <c r="H16" s="27">
        <v>0.6</v>
      </c>
      <c r="I16" s="26"/>
      <c r="J16" s="26"/>
      <c r="K16" s="26" t="s">
        <v>28</v>
      </c>
      <c r="L16" s="26" t="s">
        <v>24</v>
      </c>
      <c r="M16" s="26" t="s">
        <v>24</v>
      </c>
      <c r="N16" s="29">
        <v>1650</v>
      </c>
      <c r="O16" s="23">
        <f>1310+340</f>
        <v>1650</v>
      </c>
      <c r="P16" s="29">
        <f>N16-O16</f>
        <v>0</v>
      </c>
    </row>
    <row r="17" spans="1:18" s="31" customFormat="1" ht="16.95" customHeight="1" x14ac:dyDescent="0.3">
      <c r="A17" s="26">
        <v>250069</v>
      </c>
      <c r="B17" s="26">
        <v>304</v>
      </c>
      <c r="C17" s="27">
        <v>0.6</v>
      </c>
      <c r="D17" s="26">
        <v>54.3</v>
      </c>
      <c r="E17" s="28" t="s">
        <v>35</v>
      </c>
      <c r="F17" s="26" t="s">
        <v>23</v>
      </c>
      <c r="G17" s="26">
        <v>430</v>
      </c>
      <c r="H17" s="27">
        <v>0.6</v>
      </c>
      <c r="I17" s="26"/>
      <c r="J17" s="26"/>
      <c r="K17" s="26" t="s">
        <v>28</v>
      </c>
      <c r="L17" s="26" t="s">
        <v>24</v>
      </c>
      <c r="M17" s="26" t="s">
        <v>24</v>
      </c>
      <c r="N17" s="29">
        <v>1650</v>
      </c>
      <c r="O17" s="23">
        <f>240+1450+180</f>
        <v>1870</v>
      </c>
      <c r="P17" s="29">
        <f t="shared" ref="P17:P24" si="1">N17-O17</f>
        <v>-220</v>
      </c>
    </row>
    <row r="18" spans="1:18" s="31" customFormat="1" ht="16.95" customHeight="1" x14ac:dyDescent="0.3">
      <c r="A18" s="26"/>
      <c r="B18" s="26">
        <v>430</v>
      </c>
      <c r="C18" s="27">
        <v>0.8</v>
      </c>
      <c r="D18" s="26">
        <v>36</v>
      </c>
      <c r="E18" s="28" t="s">
        <v>49</v>
      </c>
      <c r="F18" s="26" t="s">
        <v>42</v>
      </c>
      <c r="G18" s="26">
        <v>430</v>
      </c>
      <c r="H18" s="27">
        <v>0.8</v>
      </c>
      <c r="I18" s="26" t="s">
        <v>24</v>
      </c>
      <c r="J18" s="26" t="s">
        <v>24</v>
      </c>
      <c r="K18" s="26" t="s">
        <v>47</v>
      </c>
      <c r="L18" s="26" t="s">
        <v>44</v>
      </c>
      <c r="M18" s="26" t="s">
        <v>24</v>
      </c>
      <c r="N18" s="29">
        <v>5000</v>
      </c>
      <c r="O18" s="30">
        <v>2000</v>
      </c>
      <c r="P18" s="29">
        <f t="shared" si="1"/>
        <v>3000</v>
      </c>
    </row>
    <row r="19" spans="1:18" s="31" customFormat="1" ht="16.95" customHeight="1" x14ac:dyDescent="0.3">
      <c r="A19" s="26"/>
      <c r="B19" s="26"/>
      <c r="C19" s="27"/>
      <c r="D19" s="26"/>
      <c r="E19" s="28"/>
      <c r="F19" s="26"/>
      <c r="G19" s="26"/>
      <c r="H19" s="27"/>
      <c r="I19" s="26"/>
      <c r="J19" s="26"/>
      <c r="K19" s="26"/>
      <c r="L19" s="26"/>
      <c r="M19" s="26"/>
      <c r="N19" s="29"/>
      <c r="O19" s="30"/>
      <c r="P19" s="29">
        <f t="shared" si="1"/>
        <v>0</v>
      </c>
    </row>
    <row r="20" spans="1:18" s="31" customFormat="1" ht="16.95" customHeight="1" x14ac:dyDescent="0.3">
      <c r="A20" s="26"/>
      <c r="B20" s="26"/>
      <c r="C20" s="27"/>
      <c r="D20" s="26"/>
      <c r="E20" s="28"/>
      <c r="F20" s="26"/>
      <c r="G20" s="26"/>
      <c r="H20" s="27"/>
      <c r="I20" s="26"/>
      <c r="J20" s="26"/>
      <c r="K20" s="26"/>
      <c r="L20" s="26"/>
      <c r="M20" s="26"/>
      <c r="N20" s="29"/>
      <c r="O20" s="30"/>
      <c r="P20" s="29">
        <f t="shared" si="1"/>
        <v>0</v>
      </c>
    </row>
    <row r="21" spans="1:18" s="31" customFormat="1" ht="16.95" customHeight="1" x14ac:dyDescent="0.3">
      <c r="A21" s="26"/>
      <c r="B21" s="26"/>
      <c r="C21" s="27"/>
      <c r="D21" s="26"/>
      <c r="E21" s="28"/>
      <c r="F21" s="26"/>
      <c r="G21" s="26"/>
      <c r="H21" s="27"/>
      <c r="I21" s="26"/>
      <c r="J21" s="26"/>
      <c r="K21" s="26"/>
      <c r="L21" s="26"/>
      <c r="M21" s="26"/>
      <c r="N21" s="29"/>
      <c r="O21" s="30"/>
      <c r="P21" s="29">
        <f t="shared" si="1"/>
        <v>0</v>
      </c>
    </row>
    <row r="22" spans="1:18" s="31" customFormat="1" ht="16.95" customHeight="1" x14ac:dyDescent="0.3">
      <c r="A22" s="26"/>
      <c r="B22" s="26"/>
      <c r="C22" s="27"/>
      <c r="D22" s="26"/>
      <c r="E22" s="28"/>
      <c r="F22" s="26"/>
      <c r="G22" s="26"/>
      <c r="H22" s="27"/>
      <c r="I22" s="26"/>
      <c r="J22" s="26"/>
      <c r="K22" s="26"/>
      <c r="L22" s="26"/>
      <c r="M22" s="26"/>
      <c r="N22" s="29"/>
      <c r="O22" s="30"/>
      <c r="P22" s="29">
        <f t="shared" si="1"/>
        <v>0</v>
      </c>
    </row>
    <row r="23" spans="1:18" s="31" customFormat="1" ht="16.95" customHeight="1" x14ac:dyDescent="0.3">
      <c r="A23" s="26"/>
      <c r="B23" s="26"/>
      <c r="C23" s="27"/>
      <c r="D23" s="26"/>
      <c r="E23" s="28"/>
      <c r="F23" s="26"/>
      <c r="G23" s="26"/>
      <c r="H23" s="27"/>
      <c r="I23" s="26"/>
      <c r="J23" s="26"/>
      <c r="K23" s="26"/>
      <c r="L23" s="26"/>
      <c r="M23" s="26"/>
      <c r="N23" s="26"/>
      <c r="O23" s="30"/>
      <c r="P23" s="29">
        <f t="shared" si="1"/>
        <v>0</v>
      </c>
    </row>
    <row r="24" spans="1:18" s="31" customFormat="1" ht="16.95" customHeight="1" x14ac:dyDescent="0.3">
      <c r="A24" s="32"/>
      <c r="B24" s="32"/>
      <c r="C24" s="33"/>
      <c r="D24" s="32"/>
      <c r="E24" s="34"/>
      <c r="F24" s="32"/>
      <c r="G24" s="32"/>
      <c r="H24" s="33"/>
      <c r="I24" s="32"/>
      <c r="J24" s="32"/>
      <c r="K24" s="32"/>
      <c r="L24" s="32"/>
      <c r="M24" s="35"/>
      <c r="N24" s="29">
        <f>SUM(N16:N23)</f>
        <v>8300</v>
      </c>
      <c r="O24" s="36">
        <f>SUM(O16:O23)</f>
        <v>5520</v>
      </c>
      <c r="P24" s="29">
        <f t="shared" si="1"/>
        <v>2780</v>
      </c>
    </row>
    <row r="25" spans="1:18" s="14" customFormat="1" ht="15.6" x14ac:dyDescent="0.3">
      <c r="A25" s="15"/>
      <c r="B25" s="15"/>
      <c r="C25" s="16"/>
      <c r="D25" s="15"/>
      <c r="E25" s="17"/>
      <c r="F25" s="15"/>
      <c r="G25" s="15"/>
      <c r="H25" s="16"/>
      <c r="I25" s="15"/>
      <c r="J25" s="15"/>
      <c r="K25" s="15"/>
      <c r="L25" s="15"/>
      <c r="M25" s="15"/>
      <c r="N25" s="18"/>
      <c r="O25" s="19"/>
      <c r="P25" s="18"/>
    </row>
    <row r="26" spans="1:18" s="3" customFormat="1" ht="30" customHeight="1" x14ac:dyDescent="0.3">
      <c r="A26" s="120" t="s">
        <v>19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2"/>
    </row>
    <row r="27" spans="1:18" s="7" customFormat="1" ht="29.4" customHeight="1" x14ac:dyDescent="0.3">
      <c r="A27" s="21" t="s">
        <v>0</v>
      </c>
      <c r="B27" s="21" t="s">
        <v>9</v>
      </c>
      <c r="C27" s="22" t="s">
        <v>11</v>
      </c>
      <c r="D27" s="21" t="s">
        <v>2</v>
      </c>
      <c r="E27" s="21" t="s">
        <v>1</v>
      </c>
      <c r="F27" s="21" t="s">
        <v>14</v>
      </c>
      <c r="G27" s="21" t="s">
        <v>8</v>
      </c>
      <c r="H27" s="22" t="s">
        <v>10</v>
      </c>
      <c r="I27" s="22" t="s">
        <v>12</v>
      </c>
      <c r="J27" s="22" t="s">
        <v>13</v>
      </c>
      <c r="K27" s="22" t="s">
        <v>27</v>
      </c>
      <c r="L27" s="21" t="s">
        <v>3</v>
      </c>
      <c r="M27" s="21" t="s">
        <v>4</v>
      </c>
      <c r="N27" s="21" t="s">
        <v>7</v>
      </c>
      <c r="O27" s="21" t="s">
        <v>5</v>
      </c>
      <c r="P27" s="21" t="s">
        <v>6</v>
      </c>
      <c r="R27" s="14"/>
    </row>
    <row r="28" spans="1:18" ht="16.95" customHeight="1" x14ac:dyDescent="0.3">
      <c r="A28" s="26"/>
      <c r="B28" s="26"/>
      <c r="C28" s="27"/>
      <c r="D28" s="26"/>
      <c r="E28" s="28"/>
      <c r="F28" s="26"/>
      <c r="G28" s="26"/>
      <c r="H28" s="27"/>
      <c r="I28" s="26"/>
      <c r="J28" s="26"/>
      <c r="K28" s="26"/>
      <c r="L28" s="26"/>
      <c r="M28" s="26"/>
      <c r="N28" s="29"/>
      <c r="O28" s="30"/>
      <c r="P28" s="29">
        <f>N28-O28</f>
        <v>0</v>
      </c>
    </row>
    <row r="29" spans="1:18" ht="16.95" customHeight="1" x14ac:dyDescent="0.3">
      <c r="A29" s="26"/>
      <c r="B29" s="26"/>
      <c r="C29" s="27"/>
      <c r="D29" s="26"/>
      <c r="E29" s="28"/>
      <c r="F29" s="26"/>
      <c r="G29" s="26"/>
      <c r="H29" s="27"/>
      <c r="I29" s="26"/>
      <c r="J29" s="26"/>
      <c r="K29" s="26"/>
      <c r="L29" s="26"/>
      <c r="M29" s="26"/>
      <c r="N29" s="29"/>
      <c r="O29" s="30"/>
      <c r="P29" s="29">
        <f>N29-O29</f>
        <v>0</v>
      </c>
    </row>
    <row r="30" spans="1:18" ht="16.95" customHeight="1" x14ac:dyDescent="0.3">
      <c r="A30" s="26"/>
      <c r="B30" s="26"/>
      <c r="C30" s="27"/>
      <c r="D30" s="26"/>
      <c r="E30" s="28"/>
      <c r="F30" s="26"/>
      <c r="G30" s="26"/>
      <c r="H30" s="27"/>
      <c r="I30" s="26"/>
      <c r="J30" s="26"/>
      <c r="K30" s="26"/>
      <c r="L30" s="26"/>
      <c r="M30" s="26"/>
      <c r="N30" s="29"/>
      <c r="O30" s="30"/>
      <c r="P30" s="29" t="s">
        <v>37</v>
      </c>
    </row>
    <row r="31" spans="1:18" ht="16.95" customHeight="1" x14ac:dyDescent="0.3">
      <c r="A31" s="26"/>
      <c r="B31" s="26"/>
      <c r="C31" s="27"/>
      <c r="D31" s="26"/>
      <c r="E31" s="28"/>
      <c r="F31" s="26"/>
      <c r="G31" s="26"/>
      <c r="H31" s="27"/>
      <c r="I31" s="26"/>
      <c r="J31" s="26"/>
      <c r="K31" s="26"/>
      <c r="L31" s="26"/>
      <c r="M31" s="26"/>
      <c r="N31" s="29"/>
      <c r="O31" s="30"/>
      <c r="P31" s="29" t="s">
        <v>37</v>
      </c>
    </row>
    <row r="32" spans="1:18" ht="16.95" customHeight="1" x14ac:dyDescent="0.3">
      <c r="A32" s="26"/>
      <c r="B32" s="26"/>
      <c r="C32" s="27"/>
      <c r="D32" s="26"/>
      <c r="E32" s="28"/>
      <c r="F32" s="26"/>
      <c r="G32" s="26"/>
      <c r="H32" s="27"/>
      <c r="I32" s="26"/>
      <c r="J32" s="26"/>
      <c r="K32" s="26"/>
      <c r="L32" s="26"/>
      <c r="M32" s="26"/>
      <c r="N32" s="29"/>
      <c r="O32" s="30"/>
      <c r="P32" s="29" t="s">
        <v>37</v>
      </c>
    </row>
    <row r="33" spans="1:18" ht="16.95" hidden="1" customHeight="1" x14ac:dyDescent="0.3">
      <c r="A33" s="26"/>
      <c r="B33" s="26"/>
      <c r="C33" s="27"/>
      <c r="D33" s="26"/>
      <c r="E33" s="28"/>
      <c r="F33" s="26"/>
      <c r="G33" s="26"/>
      <c r="H33" s="27"/>
      <c r="I33" s="26"/>
      <c r="J33" s="26"/>
      <c r="K33" s="26"/>
      <c r="L33" s="26"/>
      <c r="M33" s="26"/>
      <c r="N33" s="29"/>
      <c r="O33" s="30"/>
      <c r="P33" s="29" t="s">
        <v>37</v>
      </c>
    </row>
    <row r="34" spans="1:18" ht="16.95" hidden="1" customHeight="1" x14ac:dyDescent="0.3">
      <c r="A34" s="26"/>
      <c r="B34" s="26"/>
      <c r="C34" s="27"/>
      <c r="D34" s="26"/>
      <c r="E34" s="28"/>
      <c r="F34" s="26"/>
      <c r="G34" s="26"/>
      <c r="H34" s="27"/>
      <c r="I34" s="26"/>
      <c r="J34" s="26"/>
      <c r="K34" s="26"/>
      <c r="L34" s="26"/>
      <c r="M34" s="26"/>
      <c r="N34" s="26"/>
      <c r="O34" s="30"/>
      <c r="P34" s="29">
        <f t="shared" ref="P34:P37" si="2">N34-O34</f>
        <v>0</v>
      </c>
    </row>
    <row r="35" spans="1:18" ht="16.95" hidden="1" customHeight="1" x14ac:dyDescent="0.3">
      <c r="A35" s="26"/>
      <c r="B35" s="26"/>
      <c r="C35" s="27"/>
      <c r="D35" s="26"/>
      <c r="E35" s="28"/>
      <c r="F35" s="26"/>
      <c r="G35" s="26"/>
      <c r="H35" s="27"/>
      <c r="I35" s="26"/>
      <c r="J35" s="26"/>
      <c r="K35" s="26"/>
      <c r="L35" s="26"/>
      <c r="M35" s="26"/>
      <c r="N35" s="26"/>
      <c r="O35" s="30"/>
      <c r="P35" s="29">
        <f t="shared" si="2"/>
        <v>0</v>
      </c>
    </row>
    <row r="36" spans="1:18" ht="16.95" customHeight="1" x14ac:dyDescent="0.3">
      <c r="A36" s="26"/>
      <c r="B36" s="26"/>
      <c r="C36" s="27"/>
      <c r="D36" s="26"/>
      <c r="E36" s="28"/>
      <c r="F36" s="26"/>
      <c r="G36" s="26"/>
      <c r="H36" s="27"/>
      <c r="I36" s="26"/>
      <c r="J36" s="26"/>
      <c r="K36" s="26"/>
      <c r="L36" s="26"/>
      <c r="M36" s="26"/>
      <c r="N36" s="26"/>
      <c r="O36" s="30"/>
      <c r="P36" s="29">
        <f t="shared" si="2"/>
        <v>0</v>
      </c>
    </row>
    <row r="37" spans="1:18" s="14" customFormat="1" ht="15.6" x14ac:dyDescent="0.3">
      <c r="A37" s="32"/>
      <c r="B37" s="32"/>
      <c r="C37" s="33"/>
      <c r="D37" s="32"/>
      <c r="E37" s="34"/>
      <c r="F37" s="32"/>
      <c r="G37" s="32"/>
      <c r="H37" s="33"/>
      <c r="I37" s="32"/>
      <c r="J37" s="32"/>
      <c r="K37" s="32"/>
      <c r="L37" s="32"/>
      <c r="M37" s="35"/>
      <c r="N37" s="29">
        <f>SUM(N28:N36)</f>
        <v>0</v>
      </c>
      <c r="O37" s="36">
        <f>SUM(O28:O36)</f>
        <v>0</v>
      </c>
      <c r="P37" s="29">
        <f t="shared" si="2"/>
        <v>0</v>
      </c>
    </row>
    <row r="38" spans="1:18" s="14" customFormat="1" ht="15.6" x14ac:dyDescent="0.3">
      <c r="A38" s="15"/>
      <c r="B38" s="15"/>
      <c r="C38" s="16"/>
      <c r="D38" s="15"/>
      <c r="E38" s="17"/>
      <c r="F38" s="15"/>
      <c r="G38" s="15"/>
      <c r="H38" s="16"/>
      <c r="I38" s="15"/>
      <c r="J38" s="15"/>
      <c r="K38" s="15"/>
      <c r="L38" s="15"/>
      <c r="M38" s="15"/>
      <c r="N38" s="18"/>
      <c r="O38" s="19"/>
      <c r="P38" s="18"/>
    </row>
    <row r="39" spans="1:18" s="3" customFormat="1" ht="30" customHeight="1" x14ac:dyDescent="0.3">
      <c r="A39" s="120" t="s">
        <v>29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2"/>
    </row>
    <row r="40" spans="1:18" s="7" customFormat="1" ht="29.4" customHeight="1" x14ac:dyDescent="0.3">
      <c r="A40" s="21" t="s">
        <v>0</v>
      </c>
      <c r="B40" s="21" t="s">
        <v>9</v>
      </c>
      <c r="C40" s="22" t="s">
        <v>11</v>
      </c>
      <c r="D40" s="21" t="s">
        <v>2</v>
      </c>
      <c r="E40" s="21" t="s">
        <v>1</v>
      </c>
      <c r="F40" s="21" t="s">
        <v>14</v>
      </c>
      <c r="G40" s="21" t="s">
        <v>8</v>
      </c>
      <c r="H40" s="22" t="s">
        <v>10</v>
      </c>
      <c r="I40" s="22" t="s">
        <v>12</v>
      </c>
      <c r="J40" s="22" t="s">
        <v>13</v>
      </c>
      <c r="K40" s="22" t="s">
        <v>27</v>
      </c>
      <c r="L40" s="21" t="s">
        <v>3</v>
      </c>
      <c r="M40" s="21" t="s">
        <v>4</v>
      </c>
      <c r="N40" s="21" t="s">
        <v>7</v>
      </c>
      <c r="O40" s="21" t="s">
        <v>5</v>
      </c>
      <c r="P40" s="21" t="s">
        <v>6</v>
      </c>
      <c r="R40" s="14"/>
    </row>
    <row r="41" spans="1:18" ht="16.95" customHeight="1" x14ac:dyDescent="0.3">
      <c r="A41" s="26"/>
      <c r="B41" s="26"/>
      <c r="C41" s="27"/>
      <c r="D41" s="26"/>
      <c r="E41" s="28"/>
      <c r="F41" s="26"/>
      <c r="G41" s="26"/>
      <c r="H41" s="27"/>
      <c r="I41" s="26"/>
      <c r="J41" s="26"/>
      <c r="K41" s="26"/>
      <c r="L41" s="26"/>
      <c r="M41" s="26"/>
      <c r="N41" s="29"/>
      <c r="O41" s="30"/>
      <c r="P41" s="29">
        <f t="shared" ref="P41:P50" si="3">N41-O41</f>
        <v>0</v>
      </c>
    </row>
    <row r="42" spans="1:18" ht="16.95" customHeight="1" x14ac:dyDescent="0.3">
      <c r="A42" s="26"/>
      <c r="B42" s="26"/>
      <c r="C42" s="27"/>
      <c r="D42" s="26"/>
      <c r="E42" s="28"/>
      <c r="F42" s="26"/>
      <c r="G42" s="26"/>
      <c r="H42" s="27"/>
      <c r="I42" s="26"/>
      <c r="J42" s="26"/>
      <c r="K42" s="26"/>
      <c r="L42" s="26"/>
      <c r="M42" s="26"/>
      <c r="N42" s="29"/>
      <c r="O42" s="30"/>
      <c r="P42" s="29">
        <f t="shared" si="3"/>
        <v>0</v>
      </c>
    </row>
    <row r="43" spans="1:18" ht="16.95" customHeight="1" x14ac:dyDescent="0.3">
      <c r="A43" s="26"/>
      <c r="B43" s="26"/>
      <c r="C43" s="27"/>
      <c r="D43" s="26"/>
      <c r="E43" s="28"/>
      <c r="F43" s="26"/>
      <c r="G43" s="26"/>
      <c r="H43" s="27"/>
      <c r="I43" s="26"/>
      <c r="J43" s="26"/>
      <c r="K43" s="26"/>
      <c r="L43" s="26"/>
      <c r="M43" s="26"/>
      <c r="N43" s="29"/>
      <c r="O43" s="30"/>
      <c r="P43" s="29">
        <f t="shared" si="3"/>
        <v>0</v>
      </c>
    </row>
    <row r="44" spans="1:18" ht="16.95" customHeight="1" x14ac:dyDescent="0.3">
      <c r="A44" s="26"/>
      <c r="B44" s="26"/>
      <c r="C44" s="27"/>
      <c r="D44" s="26"/>
      <c r="E44" s="28"/>
      <c r="F44" s="26"/>
      <c r="G44" s="26"/>
      <c r="H44" s="27"/>
      <c r="I44" s="26"/>
      <c r="J44" s="26"/>
      <c r="K44" s="26"/>
      <c r="L44" s="26"/>
      <c r="M44" s="26"/>
      <c r="N44" s="29"/>
      <c r="O44" s="30"/>
      <c r="P44" s="29">
        <f t="shared" si="3"/>
        <v>0</v>
      </c>
    </row>
    <row r="45" spans="1:18" ht="16.95" customHeight="1" x14ac:dyDescent="0.3">
      <c r="A45" s="26"/>
      <c r="B45" s="26"/>
      <c r="C45" s="27"/>
      <c r="D45" s="26"/>
      <c r="E45" s="28"/>
      <c r="F45" s="26"/>
      <c r="G45" s="26"/>
      <c r="H45" s="27"/>
      <c r="I45" s="26"/>
      <c r="J45" s="26"/>
      <c r="K45" s="26"/>
      <c r="L45" s="26"/>
      <c r="M45" s="26"/>
      <c r="N45" s="29"/>
      <c r="O45" s="30"/>
      <c r="P45" s="29">
        <f t="shared" si="3"/>
        <v>0</v>
      </c>
    </row>
    <row r="46" spans="1:18" ht="16.95" customHeight="1" x14ac:dyDescent="0.3">
      <c r="A46" s="26"/>
      <c r="B46" s="26"/>
      <c r="C46" s="27"/>
      <c r="D46" s="26"/>
      <c r="E46" s="28"/>
      <c r="F46" s="26"/>
      <c r="G46" s="26"/>
      <c r="H46" s="27"/>
      <c r="I46" s="26"/>
      <c r="J46" s="26"/>
      <c r="K46" s="26"/>
      <c r="L46" s="26"/>
      <c r="M46" s="26"/>
      <c r="N46" s="29"/>
      <c r="O46" s="30"/>
      <c r="P46" s="29">
        <f t="shared" si="3"/>
        <v>0</v>
      </c>
    </row>
    <row r="47" spans="1:18" ht="16.95" hidden="1" customHeight="1" x14ac:dyDescent="0.3">
      <c r="A47" s="26"/>
      <c r="B47" s="26"/>
      <c r="C47" s="27"/>
      <c r="D47" s="26"/>
      <c r="E47" s="28"/>
      <c r="F47" s="26"/>
      <c r="G47" s="26"/>
      <c r="H47" s="27"/>
      <c r="I47" s="26"/>
      <c r="J47" s="26"/>
      <c r="K47" s="26"/>
      <c r="L47" s="26"/>
      <c r="M47" s="26"/>
      <c r="N47" s="26"/>
      <c r="O47" s="30"/>
      <c r="P47" s="29">
        <f t="shared" si="3"/>
        <v>0</v>
      </c>
    </row>
    <row r="48" spans="1:18" ht="16.95" hidden="1" customHeight="1" x14ac:dyDescent="0.3">
      <c r="A48" s="26"/>
      <c r="B48" s="26"/>
      <c r="C48" s="27"/>
      <c r="D48" s="26"/>
      <c r="E48" s="28"/>
      <c r="F48" s="26"/>
      <c r="G48" s="26"/>
      <c r="H48" s="27"/>
      <c r="I48" s="26"/>
      <c r="J48" s="26"/>
      <c r="K48" s="26"/>
      <c r="L48" s="26"/>
      <c r="M48" s="26"/>
      <c r="N48" s="26"/>
      <c r="O48" s="30"/>
      <c r="P48" s="29">
        <f t="shared" si="3"/>
        <v>0</v>
      </c>
    </row>
    <row r="49" spans="1:18" ht="16.95" customHeight="1" x14ac:dyDescent="0.3">
      <c r="A49" s="26"/>
      <c r="B49" s="26"/>
      <c r="C49" s="27"/>
      <c r="D49" s="26"/>
      <c r="E49" s="28"/>
      <c r="F49" s="26"/>
      <c r="G49" s="26"/>
      <c r="H49" s="27"/>
      <c r="I49" s="26"/>
      <c r="J49" s="26"/>
      <c r="K49" s="26"/>
      <c r="L49" s="26"/>
      <c r="M49" s="26"/>
      <c r="N49" s="26"/>
      <c r="O49" s="30"/>
      <c r="P49" s="29">
        <f t="shared" si="3"/>
        <v>0</v>
      </c>
    </row>
    <row r="50" spans="1:18" s="14" customFormat="1" ht="16.95" customHeight="1" x14ac:dyDescent="0.3">
      <c r="A50" s="32"/>
      <c r="B50" s="32"/>
      <c r="C50" s="33"/>
      <c r="D50" s="32"/>
      <c r="E50" s="34"/>
      <c r="F50" s="32"/>
      <c r="G50" s="32"/>
      <c r="H50" s="33"/>
      <c r="I50" s="32"/>
      <c r="J50" s="32"/>
      <c r="K50" s="32"/>
      <c r="L50" s="32"/>
      <c r="M50" s="35"/>
      <c r="N50" s="29">
        <f>SUM(N41:N49)</f>
        <v>0</v>
      </c>
      <c r="O50" s="36">
        <f>SUM(O41:O49)</f>
        <v>0</v>
      </c>
      <c r="P50" s="29">
        <f t="shared" si="3"/>
        <v>0</v>
      </c>
    </row>
    <row r="51" spans="1:18" s="14" customFormat="1" ht="15.6" x14ac:dyDescent="0.3">
      <c r="A51" s="15"/>
      <c r="B51" s="15"/>
      <c r="C51" s="16"/>
      <c r="D51" s="15"/>
      <c r="E51" s="17"/>
      <c r="F51" s="15"/>
      <c r="G51" s="15"/>
      <c r="H51" s="16"/>
      <c r="I51" s="15"/>
      <c r="J51" s="15"/>
      <c r="K51" s="15"/>
      <c r="L51" s="15"/>
      <c r="M51" s="15"/>
      <c r="N51" s="18"/>
      <c r="O51" s="19"/>
      <c r="P51" s="18"/>
    </row>
    <row r="52" spans="1:18" s="3" customFormat="1" ht="30" customHeight="1" x14ac:dyDescent="0.3">
      <c r="A52" s="120" t="s">
        <v>21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2"/>
    </row>
    <row r="53" spans="1:18" s="7" customFormat="1" ht="29.4" customHeight="1" x14ac:dyDescent="0.3">
      <c r="A53" s="21" t="s">
        <v>0</v>
      </c>
      <c r="B53" s="21" t="s">
        <v>9</v>
      </c>
      <c r="C53" s="22" t="s">
        <v>11</v>
      </c>
      <c r="D53" s="21" t="s">
        <v>2</v>
      </c>
      <c r="E53" s="21" t="s">
        <v>1</v>
      </c>
      <c r="F53" s="21" t="s">
        <v>14</v>
      </c>
      <c r="G53" s="21" t="s">
        <v>8</v>
      </c>
      <c r="H53" s="22" t="s">
        <v>10</v>
      </c>
      <c r="I53" s="22" t="s">
        <v>12</v>
      </c>
      <c r="J53" s="22" t="s">
        <v>13</v>
      </c>
      <c r="K53" s="22" t="s">
        <v>27</v>
      </c>
      <c r="L53" s="21" t="s">
        <v>3</v>
      </c>
      <c r="M53" s="21" t="s">
        <v>4</v>
      </c>
      <c r="N53" s="21" t="s">
        <v>7</v>
      </c>
      <c r="O53" s="21" t="s">
        <v>5</v>
      </c>
      <c r="P53" s="21" t="s">
        <v>6</v>
      </c>
      <c r="R53" s="14"/>
    </row>
    <row r="54" spans="1:18" s="31" customFormat="1" ht="16.95" customHeight="1" x14ac:dyDescent="0.3">
      <c r="A54" s="26">
        <v>270825</v>
      </c>
      <c r="B54" s="26">
        <v>430</v>
      </c>
      <c r="C54" s="27">
        <v>0.5</v>
      </c>
      <c r="D54" s="26">
        <v>26</v>
      </c>
      <c r="E54" s="28" t="s">
        <v>52</v>
      </c>
      <c r="F54" s="26" t="s">
        <v>23</v>
      </c>
      <c r="G54" s="26">
        <v>430</v>
      </c>
      <c r="H54" s="27">
        <v>0.6</v>
      </c>
      <c r="I54" s="26"/>
      <c r="J54" s="26"/>
      <c r="K54" s="26" t="s">
        <v>40</v>
      </c>
      <c r="L54" s="26" t="s">
        <v>39</v>
      </c>
      <c r="M54" s="26" t="s">
        <v>24</v>
      </c>
      <c r="N54" s="29">
        <v>2000</v>
      </c>
      <c r="O54" s="30">
        <f>600+1400</f>
        <v>2000</v>
      </c>
      <c r="P54" s="29">
        <f t="shared" ref="P54:P73" si="4">N54-O54</f>
        <v>0</v>
      </c>
    </row>
    <row r="55" spans="1:18" s="31" customFormat="1" ht="16.95" customHeight="1" x14ac:dyDescent="0.3">
      <c r="A55" s="42">
        <v>90725</v>
      </c>
      <c r="B55" s="26">
        <v>304</v>
      </c>
      <c r="C55" s="27">
        <v>0.6</v>
      </c>
      <c r="D55" s="26" t="s">
        <v>66</v>
      </c>
      <c r="E55" s="28" t="s">
        <v>67</v>
      </c>
      <c r="F55" s="26" t="s">
        <v>23</v>
      </c>
      <c r="G55" s="26"/>
      <c r="H55" s="27"/>
      <c r="I55" s="26"/>
      <c r="J55" s="26"/>
      <c r="K55" s="26"/>
      <c r="L55" s="26" t="s">
        <v>68</v>
      </c>
      <c r="M55" s="26"/>
      <c r="N55" s="29">
        <v>1750</v>
      </c>
      <c r="O55" s="30">
        <f>900+850</f>
        <v>1750</v>
      </c>
      <c r="P55" s="29">
        <f t="shared" si="4"/>
        <v>0</v>
      </c>
    </row>
    <row r="56" spans="1:18" s="31" customFormat="1" ht="16.95" customHeight="1" x14ac:dyDescent="0.3">
      <c r="A56" s="26"/>
      <c r="B56" s="26"/>
      <c r="C56" s="27"/>
      <c r="D56" s="26"/>
      <c r="E56" s="28"/>
      <c r="F56" s="26"/>
      <c r="G56" s="26"/>
      <c r="H56" s="27"/>
      <c r="I56" s="26"/>
      <c r="J56" s="26"/>
      <c r="K56" s="26"/>
      <c r="L56" s="26"/>
      <c r="M56" s="26"/>
      <c r="N56" s="29"/>
      <c r="O56" s="30"/>
      <c r="P56" s="29">
        <f t="shared" si="4"/>
        <v>0</v>
      </c>
    </row>
    <row r="57" spans="1:18" s="31" customFormat="1" ht="16.95" customHeight="1" x14ac:dyDescent="0.3">
      <c r="A57" s="26"/>
      <c r="B57" s="26"/>
      <c r="C57" s="27"/>
      <c r="D57" s="26"/>
      <c r="E57" s="28"/>
      <c r="F57" s="26"/>
      <c r="G57" s="26"/>
      <c r="H57" s="27"/>
      <c r="I57" s="26"/>
      <c r="J57" s="26"/>
      <c r="K57" s="26"/>
      <c r="L57" s="26"/>
      <c r="M57" s="26"/>
      <c r="N57" s="29"/>
      <c r="O57" s="30"/>
      <c r="P57" s="29">
        <f t="shared" si="4"/>
        <v>0</v>
      </c>
    </row>
    <row r="58" spans="1:18" s="31" customFormat="1" ht="16.95" customHeight="1" x14ac:dyDescent="0.3">
      <c r="A58" s="26"/>
      <c r="B58" s="26"/>
      <c r="C58" s="27"/>
      <c r="D58" s="26"/>
      <c r="E58" s="28"/>
      <c r="F58" s="26"/>
      <c r="G58" s="26"/>
      <c r="H58" s="27"/>
      <c r="I58" s="26"/>
      <c r="J58" s="26"/>
      <c r="K58" s="26"/>
      <c r="L58" s="26"/>
      <c r="M58" s="26"/>
      <c r="N58" s="29"/>
      <c r="O58" s="30"/>
      <c r="P58" s="29">
        <f t="shared" si="4"/>
        <v>0</v>
      </c>
    </row>
    <row r="59" spans="1:18" s="31" customFormat="1" ht="16.95" customHeight="1" x14ac:dyDescent="0.3">
      <c r="A59" s="26"/>
      <c r="B59" s="26"/>
      <c r="C59" s="27"/>
      <c r="D59" s="26"/>
      <c r="E59" s="28"/>
      <c r="F59" s="26"/>
      <c r="G59" s="26"/>
      <c r="H59" s="27"/>
      <c r="I59" s="26"/>
      <c r="J59" s="26"/>
      <c r="K59" s="26"/>
      <c r="L59" s="26"/>
      <c r="M59" s="26"/>
      <c r="N59" s="29"/>
      <c r="O59" s="30"/>
      <c r="P59" s="29">
        <f t="shared" si="4"/>
        <v>0</v>
      </c>
    </row>
    <row r="60" spans="1:18" s="31" customFormat="1" ht="16.95" customHeight="1" x14ac:dyDescent="0.3">
      <c r="A60" s="26"/>
      <c r="B60" s="26"/>
      <c r="C60" s="27"/>
      <c r="D60" s="26"/>
      <c r="E60" s="28"/>
      <c r="F60" s="26"/>
      <c r="G60" s="26"/>
      <c r="H60" s="27"/>
      <c r="I60" s="26"/>
      <c r="J60" s="26"/>
      <c r="K60" s="26"/>
      <c r="L60" s="26"/>
      <c r="M60" s="26"/>
      <c r="N60" s="29"/>
      <c r="O60" s="30"/>
      <c r="P60" s="29">
        <f t="shared" si="4"/>
        <v>0</v>
      </c>
    </row>
    <row r="61" spans="1:18" s="31" customFormat="1" ht="16.95" customHeight="1" x14ac:dyDescent="0.3">
      <c r="A61" s="26"/>
      <c r="B61" s="26"/>
      <c r="C61" s="27"/>
      <c r="D61" s="26"/>
      <c r="E61" s="28"/>
      <c r="F61" s="26"/>
      <c r="G61" s="26"/>
      <c r="H61" s="27"/>
      <c r="I61" s="26"/>
      <c r="J61" s="26"/>
      <c r="K61" s="26"/>
      <c r="L61" s="26"/>
      <c r="M61" s="26"/>
      <c r="N61" s="29"/>
      <c r="O61" s="30"/>
      <c r="P61" s="29">
        <f t="shared" si="4"/>
        <v>0</v>
      </c>
    </row>
    <row r="62" spans="1:18" s="31" customFormat="1" ht="16.95" customHeight="1" x14ac:dyDescent="0.3">
      <c r="A62" s="26">
        <v>250065</v>
      </c>
      <c r="B62" s="26">
        <v>430</v>
      </c>
      <c r="C62" s="27">
        <v>0.5</v>
      </c>
      <c r="D62" s="26">
        <v>22</v>
      </c>
      <c r="E62" s="28" t="s">
        <v>53</v>
      </c>
      <c r="F62" s="26" t="s">
        <v>23</v>
      </c>
      <c r="G62" s="26">
        <v>430</v>
      </c>
      <c r="H62" s="27">
        <v>0.6</v>
      </c>
      <c r="I62" s="26"/>
      <c r="J62" s="26"/>
      <c r="K62" s="26" t="s">
        <v>38</v>
      </c>
      <c r="L62" s="26" t="s">
        <v>39</v>
      </c>
      <c r="M62" s="26" t="s">
        <v>24</v>
      </c>
      <c r="N62" s="29">
        <v>1500</v>
      </c>
      <c r="O62" s="30">
        <v>1500</v>
      </c>
      <c r="P62" s="29">
        <f t="shared" si="4"/>
        <v>0</v>
      </c>
    </row>
    <row r="63" spans="1:18" s="31" customFormat="1" ht="16.95" customHeight="1" x14ac:dyDescent="0.3">
      <c r="A63" s="26">
        <v>250066</v>
      </c>
      <c r="B63" s="26">
        <v>430</v>
      </c>
      <c r="C63" s="27">
        <v>0.5</v>
      </c>
      <c r="D63" s="26">
        <v>22</v>
      </c>
      <c r="E63" s="28" t="s">
        <v>54</v>
      </c>
      <c r="F63" s="26" t="s">
        <v>23</v>
      </c>
      <c r="G63" s="26">
        <v>430</v>
      </c>
      <c r="H63" s="27">
        <v>0.6</v>
      </c>
      <c r="I63" s="26"/>
      <c r="J63" s="26"/>
      <c r="K63" s="26" t="s">
        <v>38</v>
      </c>
      <c r="L63" s="26" t="s">
        <v>39</v>
      </c>
      <c r="M63" s="26" t="s">
        <v>24</v>
      </c>
      <c r="N63" s="29">
        <v>1500</v>
      </c>
      <c r="O63" s="30">
        <f>50+1000+530</f>
        <v>1580</v>
      </c>
      <c r="P63" s="29">
        <f t="shared" si="4"/>
        <v>-80</v>
      </c>
    </row>
    <row r="64" spans="1:18" s="31" customFormat="1" ht="16.95" customHeight="1" x14ac:dyDescent="0.3">
      <c r="A64" s="26"/>
      <c r="B64" s="26"/>
      <c r="C64" s="27"/>
      <c r="D64" s="26"/>
      <c r="E64" s="28"/>
      <c r="F64" s="26"/>
      <c r="G64" s="26"/>
      <c r="H64" s="27"/>
      <c r="I64" s="26"/>
      <c r="J64" s="26"/>
      <c r="K64" s="26"/>
      <c r="L64" s="26"/>
      <c r="M64" s="26"/>
      <c r="N64" s="29"/>
      <c r="O64" s="30"/>
      <c r="P64" s="29">
        <f t="shared" si="4"/>
        <v>0</v>
      </c>
    </row>
    <row r="65" spans="1:18" s="31" customFormat="1" ht="16.95" customHeight="1" x14ac:dyDescent="0.3">
      <c r="A65" s="26"/>
      <c r="B65" s="26"/>
      <c r="C65" s="27"/>
      <c r="D65" s="26"/>
      <c r="E65" s="28"/>
      <c r="F65" s="26"/>
      <c r="G65" s="26"/>
      <c r="H65" s="27"/>
      <c r="I65" s="26"/>
      <c r="J65" s="26"/>
      <c r="K65" s="26"/>
      <c r="L65" s="26"/>
      <c r="M65" s="26"/>
      <c r="N65" s="29"/>
      <c r="O65" s="30"/>
      <c r="P65" s="29">
        <f t="shared" si="4"/>
        <v>0</v>
      </c>
    </row>
    <row r="66" spans="1:18" s="31" customFormat="1" ht="16.95" customHeight="1" x14ac:dyDescent="0.3">
      <c r="A66" s="26"/>
      <c r="B66" s="26"/>
      <c r="C66" s="27"/>
      <c r="D66" s="26"/>
      <c r="E66" s="28"/>
      <c r="F66" s="26"/>
      <c r="G66" s="26"/>
      <c r="H66" s="27"/>
      <c r="I66" s="26"/>
      <c r="J66" s="26"/>
      <c r="K66" s="26"/>
      <c r="L66" s="26"/>
      <c r="M66" s="26"/>
      <c r="N66" s="29"/>
      <c r="O66" s="30"/>
      <c r="P66" s="29">
        <f t="shared" si="4"/>
        <v>0</v>
      </c>
    </row>
    <row r="67" spans="1:18" s="31" customFormat="1" ht="16.95" customHeight="1" x14ac:dyDescent="0.3">
      <c r="A67" s="26"/>
      <c r="B67" s="26"/>
      <c r="C67" s="27"/>
      <c r="D67" s="26"/>
      <c r="E67" s="28"/>
      <c r="F67" s="26"/>
      <c r="G67" s="26"/>
      <c r="H67" s="27"/>
      <c r="I67" s="26"/>
      <c r="J67" s="26"/>
      <c r="K67" s="26"/>
      <c r="L67" s="26"/>
      <c r="M67" s="26"/>
      <c r="N67" s="29"/>
      <c r="O67" s="30"/>
      <c r="P67" s="29">
        <f t="shared" si="4"/>
        <v>0</v>
      </c>
    </row>
    <row r="68" spans="1:18" s="31" customFormat="1" ht="16.95" customHeight="1" x14ac:dyDescent="0.3">
      <c r="A68" s="26"/>
      <c r="B68" s="26"/>
      <c r="C68" s="27"/>
      <c r="D68" s="26"/>
      <c r="E68" s="28"/>
      <c r="F68" s="26"/>
      <c r="G68" s="26"/>
      <c r="H68" s="27"/>
      <c r="I68" s="26"/>
      <c r="J68" s="26"/>
      <c r="K68" s="26"/>
      <c r="L68" s="26"/>
      <c r="M68" s="26"/>
      <c r="N68" s="29"/>
      <c r="O68" s="30"/>
      <c r="P68" s="29">
        <f t="shared" si="4"/>
        <v>0</v>
      </c>
    </row>
    <row r="69" spans="1:18" s="31" customFormat="1" ht="16.95" customHeight="1" x14ac:dyDescent="0.3">
      <c r="A69" s="26"/>
      <c r="B69" s="26"/>
      <c r="C69" s="27"/>
      <c r="D69" s="26"/>
      <c r="E69" s="28"/>
      <c r="F69" s="26"/>
      <c r="G69" s="26"/>
      <c r="H69" s="27"/>
      <c r="I69" s="26"/>
      <c r="J69" s="26"/>
      <c r="K69" s="26"/>
      <c r="L69" s="26"/>
      <c r="M69" s="26"/>
      <c r="N69" s="29"/>
      <c r="O69" s="30"/>
      <c r="P69" s="29">
        <f t="shared" si="4"/>
        <v>0</v>
      </c>
    </row>
    <row r="70" spans="1:18" s="31" customFormat="1" ht="16.95" customHeight="1" x14ac:dyDescent="0.3">
      <c r="A70" s="26"/>
      <c r="B70" s="26"/>
      <c r="C70" s="27"/>
      <c r="D70" s="26"/>
      <c r="E70" s="28"/>
      <c r="F70" s="26"/>
      <c r="G70" s="26"/>
      <c r="H70" s="27"/>
      <c r="I70" s="26"/>
      <c r="J70" s="26"/>
      <c r="K70" s="26"/>
      <c r="L70" s="26"/>
      <c r="M70" s="26"/>
      <c r="N70" s="29"/>
      <c r="O70" s="30"/>
      <c r="P70" s="29">
        <f t="shared" si="4"/>
        <v>0</v>
      </c>
    </row>
    <row r="71" spans="1:18" s="31" customFormat="1" ht="16.95" customHeight="1" x14ac:dyDescent="0.3">
      <c r="A71" s="26"/>
      <c r="B71" s="26"/>
      <c r="C71" s="27"/>
      <c r="D71" s="26"/>
      <c r="E71" s="28"/>
      <c r="F71" s="26"/>
      <c r="G71" s="26"/>
      <c r="H71" s="27"/>
      <c r="I71" s="26"/>
      <c r="J71" s="26"/>
      <c r="K71" s="26"/>
      <c r="L71" s="26"/>
      <c r="M71" s="26"/>
      <c r="N71" s="29"/>
      <c r="O71" s="30"/>
      <c r="P71" s="29">
        <f t="shared" si="4"/>
        <v>0</v>
      </c>
    </row>
    <row r="72" spans="1:18" s="31" customFormat="1" ht="16.95" customHeight="1" x14ac:dyDescent="0.3">
      <c r="A72" s="26"/>
      <c r="B72" s="26"/>
      <c r="C72" s="27"/>
      <c r="D72" s="26"/>
      <c r="E72" s="28"/>
      <c r="F72" s="26"/>
      <c r="G72" s="26"/>
      <c r="H72" s="27"/>
      <c r="I72" s="26"/>
      <c r="J72" s="26"/>
      <c r="K72" s="26"/>
      <c r="L72" s="26"/>
      <c r="M72" s="26"/>
      <c r="N72" s="26"/>
      <c r="O72" s="30"/>
      <c r="P72" s="29">
        <f t="shared" si="4"/>
        <v>0</v>
      </c>
    </row>
    <row r="73" spans="1:18" s="31" customFormat="1" ht="16.95" customHeight="1" x14ac:dyDescent="0.3">
      <c r="A73" s="32"/>
      <c r="B73" s="32"/>
      <c r="C73" s="33"/>
      <c r="D73" s="32"/>
      <c r="E73" s="34"/>
      <c r="F73" s="32"/>
      <c r="G73" s="32"/>
      <c r="H73" s="33"/>
      <c r="I73" s="32"/>
      <c r="J73" s="32"/>
      <c r="K73" s="32"/>
      <c r="L73" s="32"/>
      <c r="M73" s="35"/>
      <c r="N73" s="29">
        <f>SUM(N54:N72)</f>
        <v>6750</v>
      </c>
      <c r="O73" s="36">
        <f>SUM(O54:O72)</f>
        <v>6830</v>
      </c>
      <c r="P73" s="29">
        <f t="shared" si="4"/>
        <v>-80</v>
      </c>
    </row>
    <row r="75" spans="1:18" s="3" customFormat="1" ht="30" customHeight="1" x14ac:dyDescent="0.3">
      <c r="A75" s="120" t="s">
        <v>22</v>
      </c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</row>
    <row r="76" spans="1:18" s="7" customFormat="1" ht="29.4" customHeight="1" x14ac:dyDescent="0.3">
      <c r="A76" s="21" t="s">
        <v>0</v>
      </c>
      <c r="B76" s="21" t="s">
        <v>9</v>
      </c>
      <c r="C76" s="22" t="s">
        <v>11</v>
      </c>
      <c r="D76" s="21" t="s">
        <v>2</v>
      </c>
      <c r="E76" s="21" t="s">
        <v>1</v>
      </c>
      <c r="F76" s="21" t="s">
        <v>14</v>
      </c>
      <c r="G76" s="21" t="s">
        <v>8</v>
      </c>
      <c r="H76" s="22" t="s">
        <v>10</v>
      </c>
      <c r="I76" s="22" t="s">
        <v>12</v>
      </c>
      <c r="J76" s="22" t="s">
        <v>13</v>
      </c>
      <c r="K76" s="22" t="s">
        <v>27</v>
      </c>
      <c r="L76" s="21" t="s">
        <v>3</v>
      </c>
      <c r="M76" s="21" t="s">
        <v>4</v>
      </c>
      <c r="N76" s="21" t="s">
        <v>7</v>
      </c>
      <c r="O76" s="21" t="s">
        <v>5</v>
      </c>
      <c r="P76" s="21" t="s">
        <v>6</v>
      </c>
      <c r="R76" s="14"/>
    </row>
    <row r="77" spans="1:18" s="31" customFormat="1" ht="16.95" customHeight="1" x14ac:dyDescent="0.3">
      <c r="A77" s="26">
        <v>250825</v>
      </c>
      <c r="B77" s="26">
        <v>430</v>
      </c>
      <c r="C77" s="27">
        <v>0.8</v>
      </c>
      <c r="D77" s="26">
        <v>42.5</v>
      </c>
      <c r="E77" s="28" t="s">
        <v>60</v>
      </c>
      <c r="F77" s="26" t="s">
        <v>42</v>
      </c>
      <c r="G77" s="26">
        <v>430</v>
      </c>
      <c r="H77" s="27">
        <v>0.8</v>
      </c>
      <c r="I77" s="26" t="s">
        <v>24</v>
      </c>
      <c r="J77" s="26" t="s">
        <v>24</v>
      </c>
      <c r="K77" s="26" t="s">
        <v>43</v>
      </c>
      <c r="L77" s="26" t="s">
        <v>44</v>
      </c>
      <c r="M77" s="26" t="s">
        <v>24</v>
      </c>
      <c r="N77" s="29">
        <v>5000</v>
      </c>
      <c r="O77" s="30">
        <f>300+1400+1500</f>
        <v>3200</v>
      </c>
      <c r="P77" s="29">
        <f>N77-O77</f>
        <v>1800</v>
      </c>
    </row>
    <row r="78" spans="1:18" s="31" customFormat="1" ht="16.95" customHeight="1" x14ac:dyDescent="0.3">
      <c r="A78" s="26">
        <v>250825</v>
      </c>
      <c r="B78" s="26"/>
      <c r="C78" s="27"/>
      <c r="D78" s="26"/>
      <c r="E78" s="28"/>
      <c r="F78" s="26"/>
      <c r="G78" s="26"/>
      <c r="H78" s="27"/>
      <c r="I78" s="26"/>
      <c r="J78" s="26"/>
      <c r="K78" s="26"/>
      <c r="L78" s="26"/>
      <c r="M78" s="26"/>
      <c r="N78" s="29"/>
      <c r="O78" s="30"/>
      <c r="P78" s="29">
        <f t="shared" ref="P78:P81" si="5">N78-O78</f>
        <v>0</v>
      </c>
    </row>
    <row r="79" spans="1:18" s="31" customFormat="1" ht="16.95" customHeight="1" x14ac:dyDescent="0.3">
      <c r="A79" s="26"/>
      <c r="B79" s="26"/>
      <c r="C79" s="27"/>
      <c r="D79" s="26"/>
      <c r="E79" s="28"/>
      <c r="F79" s="26"/>
      <c r="G79" s="26"/>
      <c r="H79" s="27"/>
      <c r="I79" s="26"/>
      <c r="J79" s="26"/>
      <c r="K79" s="26"/>
      <c r="L79" s="26"/>
      <c r="M79" s="26"/>
      <c r="N79" s="26"/>
      <c r="O79" s="30"/>
      <c r="P79" s="29">
        <f t="shared" si="5"/>
        <v>0</v>
      </c>
    </row>
    <row r="80" spans="1:18" s="31" customFormat="1" ht="16.95" customHeight="1" x14ac:dyDescent="0.3">
      <c r="A80" s="26"/>
      <c r="B80" s="26"/>
      <c r="C80" s="27"/>
      <c r="D80" s="26"/>
      <c r="E80" s="28"/>
      <c r="F80" s="26"/>
      <c r="G80" s="26"/>
      <c r="H80" s="27"/>
      <c r="I80" s="26"/>
      <c r="J80" s="26"/>
      <c r="K80" s="26"/>
      <c r="L80" s="26"/>
      <c r="M80" s="26"/>
      <c r="N80" s="29"/>
      <c r="O80" s="30"/>
      <c r="P80" s="29">
        <f t="shared" si="5"/>
        <v>0</v>
      </c>
    </row>
    <row r="81" spans="1:18" s="31" customFormat="1" ht="16.95" customHeight="1" x14ac:dyDescent="0.3">
      <c r="A81" s="32"/>
      <c r="B81" s="32"/>
      <c r="C81" s="33"/>
      <c r="D81" s="32"/>
      <c r="E81" s="34"/>
      <c r="F81" s="32"/>
      <c r="G81" s="32"/>
      <c r="H81" s="33"/>
      <c r="I81" s="32"/>
      <c r="J81" s="32"/>
      <c r="K81" s="32"/>
      <c r="L81" s="32"/>
      <c r="M81" s="35"/>
      <c r="N81" s="29">
        <f>SUM(N77:N80)</f>
        <v>5000</v>
      </c>
      <c r="O81" s="36">
        <f>SUM(O77:O80)</f>
        <v>3200</v>
      </c>
      <c r="P81" s="29">
        <f t="shared" si="5"/>
        <v>1800</v>
      </c>
    </row>
    <row r="83" spans="1:18" s="3" customFormat="1" ht="30" customHeight="1" x14ac:dyDescent="0.3">
      <c r="A83" s="120" t="s">
        <v>15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2"/>
    </row>
    <row r="84" spans="1:18" s="7" customFormat="1" ht="29.4" customHeight="1" x14ac:dyDescent="0.3">
      <c r="A84" s="21" t="s">
        <v>0</v>
      </c>
      <c r="B84" s="21" t="s">
        <v>9</v>
      </c>
      <c r="C84" s="22" t="s">
        <v>11</v>
      </c>
      <c r="D84" s="21" t="s">
        <v>2</v>
      </c>
      <c r="E84" s="21" t="s">
        <v>1</v>
      </c>
      <c r="F84" s="21" t="s">
        <v>14</v>
      </c>
      <c r="G84" s="21" t="s">
        <v>8</v>
      </c>
      <c r="H84" s="22" t="s">
        <v>10</v>
      </c>
      <c r="I84" s="22" t="s">
        <v>12</v>
      </c>
      <c r="J84" s="22" t="s">
        <v>13</v>
      </c>
      <c r="K84" s="22" t="s">
        <v>27</v>
      </c>
      <c r="L84" s="21" t="s">
        <v>3</v>
      </c>
      <c r="M84" s="21" t="s">
        <v>4</v>
      </c>
      <c r="N84" s="21" t="s">
        <v>7</v>
      </c>
      <c r="O84" s="21" t="s">
        <v>5</v>
      </c>
      <c r="P84" s="21" t="s">
        <v>6</v>
      </c>
      <c r="R84" s="14"/>
    </row>
    <row r="85" spans="1:18" s="31" customFormat="1" ht="16.95" customHeight="1" x14ac:dyDescent="0.3">
      <c r="A85" s="26">
        <v>250825</v>
      </c>
      <c r="B85" s="26"/>
      <c r="C85" s="27"/>
      <c r="D85" s="26"/>
      <c r="E85" s="28" t="s">
        <v>57</v>
      </c>
      <c r="F85" s="26" t="s">
        <v>24</v>
      </c>
      <c r="G85" s="26" t="s">
        <v>24</v>
      </c>
      <c r="H85" s="27" t="s">
        <v>24</v>
      </c>
      <c r="I85" s="26" t="s">
        <v>24</v>
      </c>
      <c r="J85" s="26" t="s">
        <v>24</v>
      </c>
      <c r="K85" s="26" t="s">
        <v>58</v>
      </c>
      <c r="L85" s="26" t="s">
        <v>24</v>
      </c>
      <c r="M85" s="26" t="s">
        <v>24</v>
      </c>
      <c r="N85" s="29">
        <v>5000</v>
      </c>
      <c r="O85" s="30"/>
      <c r="P85" s="29">
        <f>N85-O85</f>
        <v>5000</v>
      </c>
    </row>
    <row r="86" spans="1:18" s="31" customFormat="1" ht="16.95" customHeight="1" x14ac:dyDescent="0.3">
      <c r="A86" s="26">
        <v>250825</v>
      </c>
      <c r="B86" s="26"/>
      <c r="C86" s="27"/>
      <c r="D86" s="26"/>
      <c r="E86" s="28" t="s">
        <v>59</v>
      </c>
      <c r="F86" s="26" t="s">
        <v>24</v>
      </c>
      <c r="G86" s="26" t="s">
        <v>24</v>
      </c>
      <c r="H86" s="27" t="s">
        <v>24</v>
      </c>
      <c r="I86" s="26" t="s">
        <v>24</v>
      </c>
      <c r="J86" s="26" t="s">
        <v>24</v>
      </c>
      <c r="K86" s="26" t="s">
        <v>24</v>
      </c>
      <c r="L86" s="26" t="s">
        <v>24</v>
      </c>
      <c r="M86" s="26" t="s">
        <v>24</v>
      </c>
      <c r="N86" s="26">
        <v>5000</v>
      </c>
      <c r="O86" s="30">
        <v>2700</v>
      </c>
      <c r="P86" s="29">
        <f t="shared" ref="P86:P89" si="6">N86-O86</f>
        <v>2300</v>
      </c>
    </row>
    <row r="87" spans="1:18" s="31" customFormat="1" ht="16.95" customHeight="1" x14ac:dyDescent="0.3">
      <c r="A87" s="26"/>
      <c r="B87" s="26"/>
      <c r="C87" s="27"/>
      <c r="D87" s="26"/>
      <c r="E87" s="28"/>
      <c r="F87" s="26"/>
      <c r="G87" s="26"/>
      <c r="H87" s="27"/>
      <c r="I87" s="26"/>
      <c r="J87" s="26"/>
      <c r="K87" s="26"/>
      <c r="L87" s="26"/>
      <c r="M87" s="26"/>
      <c r="N87" s="26"/>
      <c r="O87" s="30"/>
      <c r="P87" s="29">
        <f t="shared" si="6"/>
        <v>0</v>
      </c>
    </row>
    <row r="88" spans="1:18" s="31" customFormat="1" ht="16.95" customHeight="1" x14ac:dyDescent="0.3">
      <c r="A88" s="26"/>
      <c r="B88" s="26"/>
      <c r="C88" s="27"/>
      <c r="D88" s="26"/>
      <c r="E88" s="28"/>
      <c r="F88" s="26"/>
      <c r="G88" s="26"/>
      <c r="H88" s="27"/>
      <c r="I88" s="26"/>
      <c r="J88" s="26"/>
      <c r="K88" s="26"/>
      <c r="L88" s="26"/>
      <c r="M88" s="26"/>
      <c r="N88" s="26"/>
      <c r="O88" s="30"/>
      <c r="P88" s="29">
        <f t="shared" si="6"/>
        <v>0</v>
      </c>
    </row>
    <row r="89" spans="1:18" s="31" customFormat="1" ht="16.95" customHeight="1" x14ac:dyDescent="0.3">
      <c r="A89" s="32"/>
      <c r="B89" s="32"/>
      <c r="C89" s="33"/>
      <c r="D89" s="32"/>
      <c r="E89" s="34"/>
      <c r="F89" s="32"/>
      <c r="G89" s="32"/>
      <c r="H89" s="33"/>
      <c r="I89" s="32"/>
      <c r="J89" s="32"/>
      <c r="K89" s="32"/>
      <c r="L89" s="32"/>
      <c r="M89" s="35"/>
      <c r="N89" s="29">
        <f>SUM(N85:N88)</f>
        <v>10000</v>
      </c>
      <c r="O89" s="36">
        <f>SUM(O85:O88)</f>
        <v>2700</v>
      </c>
      <c r="P89" s="29">
        <f t="shared" si="6"/>
        <v>7300</v>
      </c>
    </row>
    <row r="90" spans="1:18" s="31" customFormat="1" ht="16.95" customHeight="1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8" s="40" customFormat="1" ht="16.95" customHeight="1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119" t="s">
        <v>17</v>
      </c>
      <c r="M91" s="119"/>
      <c r="N91" s="38">
        <f>N89+N81+N73+N50+N37+N12</f>
        <v>30050</v>
      </c>
      <c r="O91" s="39">
        <f>O89+O81+O73+O50+O37+O12</f>
        <v>18070</v>
      </c>
      <c r="P91" s="38">
        <f>P89+P81+P73+P50+P37+P12</f>
        <v>11980</v>
      </c>
    </row>
    <row r="92" spans="1:18" s="31" customFormat="1" ht="16.95" customHeight="1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8" ht="16.95" customHeight="1" x14ac:dyDescent="0.3"/>
  </sheetData>
  <mergeCells count="11">
    <mergeCell ref="A39:P39"/>
    <mergeCell ref="A52:P52"/>
    <mergeCell ref="A75:P75"/>
    <mergeCell ref="A83:P83"/>
    <mergeCell ref="L91:M91"/>
    <mergeCell ref="A26:P26"/>
    <mergeCell ref="A1:C1"/>
    <mergeCell ref="M1:N1"/>
    <mergeCell ref="O1:P1"/>
    <mergeCell ref="A2:P2"/>
    <mergeCell ref="A14:P14"/>
  </mergeCells>
  <pageMargins left="0.19685039370078741" right="0.19685039370078741" top="0.39370078740157483" bottom="0.39370078740157483" header="0.31496062992125984" footer="0.31496062992125984"/>
  <pageSetup paperSize="9" scale="4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topLeftCell="A82" zoomScale="70" zoomScaleNormal="70" workbookViewId="0">
      <selection activeCell="Q92" sqref="Q92"/>
    </sheetView>
  </sheetViews>
  <sheetFormatPr defaultRowHeight="14.4" x14ac:dyDescent="0.3"/>
  <cols>
    <col min="1" max="1" width="13.77734375" style="1" customWidth="1"/>
    <col min="2" max="4" width="6.77734375" style="1" customWidth="1"/>
    <col min="5" max="5" width="46" style="1" bestFit="1" customWidth="1"/>
    <col min="6" max="6" width="10.77734375" style="1" customWidth="1"/>
    <col min="7" max="7" width="6.77734375" style="1" customWidth="1"/>
    <col min="8" max="8" width="9.77734375" style="1" customWidth="1"/>
    <col min="9" max="10" width="12.77734375" style="1" customWidth="1"/>
    <col min="11" max="11" width="16.44140625" style="1" bestFit="1" customWidth="1"/>
    <col min="12" max="12" width="20.44140625" style="1" customWidth="1"/>
    <col min="13" max="13" width="12.77734375" style="1" customWidth="1"/>
    <col min="14" max="16" width="8.88671875" style="1"/>
  </cols>
  <sheetData>
    <row r="1" spans="1:18" s="3" customFormat="1" ht="30" customHeight="1" x14ac:dyDescent="0.3">
      <c r="A1" s="115"/>
      <c r="B1" s="115"/>
      <c r="C1" s="115"/>
      <c r="D1" s="2"/>
      <c r="E1" s="2"/>
      <c r="F1" s="2"/>
      <c r="G1" s="2"/>
      <c r="H1" s="2"/>
      <c r="I1" s="2"/>
      <c r="J1" s="2"/>
      <c r="K1" s="2"/>
      <c r="L1" s="2"/>
      <c r="M1" s="118" t="s">
        <v>16</v>
      </c>
      <c r="N1" s="118"/>
      <c r="O1" s="116">
        <f ca="1">TODAY()</f>
        <v>45967</v>
      </c>
      <c r="P1" s="117"/>
    </row>
    <row r="2" spans="1:18" s="3" customFormat="1" ht="30" customHeight="1" x14ac:dyDescent="0.3">
      <c r="A2" s="120" t="s">
        <v>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</row>
    <row r="3" spans="1:18" s="7" customFormat="1" ht="29.4" customHeight="1" x14ac:dyDescent="0.3">
      <c r="A3" s="21" t="s">
        <v>0</v>
      </c>
      <c r="B3" s="21" t="s">
        <v>9</v>
      </c>
      <c r="C3" s="22" t="s">
        <v>11</v>
      </c>
      <c r="D3" s="21" t="s">
        <v>2</v>
      </c>
      <c r="E3" s="21" t="s">
        <v>1</v>
      </c>
      <c r="F3" s="21" t="s">
        <v>14</v>
      </c>
      <c r="G3" s="21" t="s">
        <v>8</v>
      </c>
      <c r="H3" s="22" t="s">
        <v>10</v>
      </c>
      <c r="I3" s="22" t="s">
        <v>12</v>
      </c>
      <c r="J3" s="22" t="s">
        <v>13</v>
      </c>
      <c r="K3" s="22" t="s">
        <v>27</v>
      </c>
      <c r="L3" s="21" t="s">
        <v>3</v>
      </c>
      <c r="M3" s="21" t="s">
        <v>4</v>
      </c>
      <c r="N3" s="21" t="s">
        <v>7</v>
      </c>
      <c r="O3" s="21" t="s">
        <v>5</v>
      </c>
      <c r="P3" s="21" t="s">
        <v>6</v>
      </c>
      <c r="R3" s="14"/>
    </row>
    <row r="4" spans="1:18" s="20" customFormat="1" ht="16.95" customHeight="1" x14ac:dyDescent="0.3">
      <c r="A4" s="21">
        <v>250068</v>
      </c>
      <c r="B4" s="21">
        <v>304</v>
      </c>
      <c r="C4" s="24">
        <v>0.6</v>
      </c>
      <c r="D4" s="21">
        <v>54.3</v>
      </c>
      <c r="E4" s="25" t="s">
        <v>32</v>
      </c>
      <c r="F4" s="21" t="s">
        <v>23</v>
      </c>
      <c r="G4" s="21">
        <v>430</v>
      </c>
      <c r="H4" s="24">
        <v>0.6</v>
      </c>
      <c r="I4" s="21"/>
      <c r="J4" s="21"/>
      <c r="K4" s="21" t="s">
        <v>28</v>
      </c>
      <c r="L4" s="21" t="s">
        <v>24</v>
      </c>
      <c r="M4" s="21" t="s">
        <v>24</v>
      </c>
      <c r="N4" s="6">
        <v>1650</v>
      </c>
      <c r="O4" s="23">
        <f>1310+340</f>
        <v>1650</v>
      </c>
      <c r="P4" s="6">
        <f>N4-O4</f>
        <v>0</v>
      </c>
    </row>
    <row r="5" spans="1:18" s="20" customFormat="1" ht="16.95" customHeight="1" x14ac:dyDescent="0.3">
      <c r="A5" s="21">
        <v>250069</v>
      </c>
      <c r="B5" s="21">
        <v>304</v>
      </c>
      <c r="C5" s="24">
        <v>0.6</v>
      </c>
      <c r="D5" s="21">
        <v>54.3</v>
      </c>
      <c r="E5" s="25" t="s">
        <v>33</v>
      </c>
      <c r="F5" s="21" t="s">
        <v>23</v>
      </c>
      <c r="G5" s="21">
        <v>430</v>
      </c>
      <c r="H5" s="24">
        <v>0.6</v>
      </c>
      <c r="I5" s="21"/>
      <c r="J5" s="21"/>
      <c r="K5" s="21" t="s">
        <v>28</v>
      </c>
      <c r="L5" s="21" t="s">
        <v>24</v>
      </c>
      <c r="M5" s="21" t="s">
        <v>24</v>
      </c>
      <c r="N5" s="6">
        <v>1650</v>
      </c>
      <c r="O5" s="23">
        <f>240+1450</f>
        <v>1690</v>
      </c>
      <c r="P5" s="6">
        <f t="shared" ref="P5:P12" si="0">N5-O5</f>
        <v>-40</v>
      </c>
    </row>
    <row r="6" spans="1:18" s="20" customFormat="1" ht="16.95" customHeight="1" x14ac:dyDescent="0.3">
      <c r="A6" s="21"/>
      <c r="B6" s="26">
        <v>430</v>
      </c>
      <c r="C6" s="27">
        <v>0.8</v>
      </c>
      <c r="D6" s="26">
        <v>36</v>
      </c>
      <c r="E6" s="28" t="s">
        <v>65</v>
      </c>
      <c r="F6" s="26" t="s">
        <v>42</v>
      </c>
      <c r="G6" s="26">
        <v>430</v>
      </c>
      <c r="H6" s="27">
        <v>0.8</v>
      </c>
      <c r="I6" s="26" t="s">
        <v>24</v>
      </c>
      <c r="J6" s="26" t="s">
        <v>24</v>
      </c>
      <c r="K6" s="26" t="s">
        <v>47</v>
      </c>
      <c r="L6" s="26" t="s">
        <v>44</v>
      </c>
      <c r="M6" s="26" t="s">
        <v>24</v>
      </c>
      <c r="N6" s="29">
        <v>5000</v>
      </c>
      <c r="O6" s="23">
        <f>2000+2600</f>
        <v>4600</v>
      </c>
      <c r="P6" s="6">
        <f t="shared" si="0"/>
        <v>400</v>
      </c>
    </row>
    <row r="7" spans="1:18" s="20" customFormat="1" ht="16.95" customHeight="1" x14ac:dyDescent="0.3">
      <c r="A7" s="21"/>
      <c r="B7" s="21"/>
      <c r="C7" s="24"/>
      <c r="D7" s="21"/>
      <c r="E7" s="25"/>
      <c r="F7" s="21"/>
      <c r="G7" s="21"/>
      <c r="H7" s="24"/>
      <c r="I7" s="21"/>
      <c r="J7" s="21"/>
      <c r="K7" s="21"/>
      <c r="L7" s="21"/>
      <c r="M7" s="21"/>
      <c r="N7" s="6"/>
      <c r="O7" s="23"/>
      <c r="P7" s="6">
        <f t="shared" si="0"/>
        <v>0</v>
      </c>
    </row>
    <row r="8" spans="1:18" s="20" customFormat="1" ht="16.95" customHeight="1" x14ac:dyDescent="0.3">
      <c r="A8" s="21"/>
      <c r="B8" s="21"/>
      <c r="C8" s="24"/>
      <c r="D8" s="21"/>
      <c r="E8" s="25"/>
      <c r="F8" s="21"/>
      <c r="G8" s="21"/>
      <c r="H8" s="24"/>
      <c r="I8" s="21"/>
      <c r="J8" s="21"/>
      <c r="K8" s="21"/>
      <c r="L8" s="21"/>
      <c r="M8" s="21"/>
      <c r="N8" s="6"/>
      <c r="O8" s="23"/>
      <c r="P8" s="6">
        <f t="shared" si="0"/>
        <v>0</v>
      </c>
    </row>
    <row r="9" spans="1:18" s="20" customFormat="1" ht="16.95" customHeight="1" x14ac:dyDescent="0.3">
      <c r="A9" s="21"/>
      <c r="B9" s="21"/>
      <c r="C9" s="24"/>
      <c r="D9" s="21"/>
      <c r="E9" s="25"/>
      <c r="F9" s="21"/>
      <c r="G9" s="21"/>
      <c r="H9" s="24"/>
      <c r="I9" s="21"/>
      <c r="J9" s="21"/>
      <c r="K9" s="21"/>
      <c r="L9" s="21"/>
      <c r="M9" s="21"/>
      <c r="N9" s="6"/>
      <c r="O9" s="23"/>
      <c r="P9" s="6">
        <f t="shared" si="0"/>
        <v>0</v>
      </c>
    </row>
    <row r="10" spans="1:18" s="20" customFormat="1" ht="16.95" customHeight="1" x14ac:dyDescent="0.3">
      <c r="A10" s="21"/>
      <c r="B10" s="21"/>
      <c r="C10" s="24"/>
      <c r="D10" s="21"/>
      <c r="E10" s="25"/>
      <c r="F10" s="21"/>
      <c r="G10" s="21"/>
      <c r="H10" s="24"/>
      <c r="I10" s="21"/>
      <c r="J10" s="21"/>
      <c r="K10" s="21"/>
      <c r="L10" s="21"/>
      <c r="M10" s="21"/>
      <c r="N10" s="21"/>
      <c r="O10" s="23"/>
      <c r="P10" s="6">
        <f t="shared" si="0"/>
        <v>0</v>
      </c>
    </row>
    <row r="11" spans="1:18" s="20" customFormat="1" ht="16.95" customHeight="1" x14ac:dyDescent="0.3">
      <c r="A11" s="21"/>
      <c r="B11" s="21"/>
      <c r="C11" s="24"/>
      <c r="D11" s="21"/>
      <c r="E11" s="25"/>
      <c r="F11" s="21"/>
      <c r="G11" s="21"/>
      <c r="H11" s="24"/>
      <c r="I11" s="21"/>
      <c r="J11" s="21"/>
      <c r="K11" s="21"/>
      <c r="L11" s="21"/>
      <c r="M11" s="21"/>
      <c r="N11" s="21"/>
      <c r="O11" s="23"/>
      <c r="P11" s="6">
        <f t="shared" si="0"/>
        <v>0</v>
      </c>
    </row>
    <row r="12" spans="1:18" s="14" customFormat="1" ht="15.6" x14ac:dyDescent="0.3">
      <c r="A12" s="8"/>
      <c r="B12" s="8"/>
      <c r="C12" s="9"/>
      <c r="D12" s="8"/>
      <c r="E12" s="10"/>
      <c r="F12" s="8"/>
      <c r="G12" s="8"/>
      <c r="H12" s="9"/>
      <c r="I12" s="8"/>
      <c r="J12" s="8"/>
      <c r="K12" s="8"/>
      <c r="L12" s="8"/>
      <c r="M12" s="11"/>
      <c r="N12" s="12">
        <f>SUM(N4:N11)</f>
        <v>8300</v>
      </c>
      <c r="O12" s="13">
        <f>SUM(O4:O11)</f>
        <v>7940</v>
      </c>
      <c r="P12" s="12">
        <f t="shared" si="0"/>
        <v>360</v>
      </c>
    </row>
    <row r="13" spans="1:18" x14ac:dyDescent="0.3">
      <c r="C13" s="4"/>
      <c r="E13" s="5"/>
      <c r="H13" s="4"/>
    </row>
    <row r="14" spans="1:18" s="3" customFormat="1" ht="30" customHeight="1" x14ac:dyDescent="0.3">
      <c r="A14" s="120" t="s">
        <v>20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1:18" s="7" customFormat="1" ht="29.4" customHeight="1" x14ac:dyDescent="0.3">
      <c r="A15" s="21" t="s">
        <v>0</v>
      </c>
      <c r="B15" s="21" t="s">
        <v>9</v>
      </c>
      <c r="C15" s="22" t="s">
        <v>11</v>
      </c>
      <c r="D15" s="21" t="s">
        <v>2</v>
      </c>
      <c r="E15" s="21" t="s">
        <v>1</v>
      </c>
      <c r="F15" s="21" t="s">
        <v>14</v>
      </c>
      <c r="G15" s="21" t="s">
        <v>8</v>
      </c>
      <c r="H15" s="22" t="s">
        <v>10</v>
      </c>
      <c r="I15" s="22" t="s">
        <v>12</v>
      </c>
      <c r="J15" s="22" t="s">
        <v>13</v>
      </c>
      <c r="K15" s="22" t="s">
        <v>27</v>
      </c>
      <c r="L15" s="21" t="s">
        <v>3</v>
      </c>
      <c r="M15" s="21" t="s">
        <v>4</v>
      </c>
      <c r="N15" s="21" t="s">
        <v>7</v>
      </c>
      <c r="O15" s="21" t="s">
        <v>5</v>
      </c>
      <c r="P15" s="21" t="s">
        <v>6</v>
      </c>
      <c r="R15" s="14"/>
    </row>
    <row r="16" spans="1:18" s="31" customFormat="1" ht="16.95" customHeight="1" x14ac:dyDescent="0.3">
      <c r="A16" s="26">
        <v>250068</v>
      </c>
      <c r="B16" s="26">
        <v>304</v>
      </c>
      <c r="C16" s="27">
        <v>0.6</v>
      </c>
      <c r="D16" s="26">
        <v>54.3</v>
      </c>
      <c r="E16" s="28" t="s">
        <v>34</v>
      </c>
      <c r="F16" s="26" t="s">
        <v>23</v>
      </c>
      <c r="G16" s="26">
        <v>430</v>
      </c>
      <c r="H16" s="27">
        <v>0.6</v>
      </c>
      <c r="I16" s="26"/>
      <c r="J16" s="26"/>
      <c r="K16" s="26" t="s">
        <v>28</v>
      </c>
      <c r="L16" s="26" t="s">
        <v>24</v>
      </c>
      <c r="M16" s="26" t="s">
        <v>24</v>
      </c>
      <c r="N16" s="29">
        <v>1650</v>
      </c>
      <c r="O16" s="23">
        <f>1310+340</f>
        <v>1650</v>
      </c>
      <c r="P16" s="29">
        <f>N16-O16</f>
        <v>0</v>
      </c>
    </row>
    <row r="17" spans="1:18" s="31" customFormat="1" ht="16.95" customHeight="1" x14ac:dyDescent="0.3">
      <c r="A17" s="26">
        <v>250069</v>
      </c>
      <c r="B17" s="26">
        <v>304</v>
      </c>
      <c r="C17" s="27">
        <v>0.6</v>
      </c>
      <c r="D17" s="26">
        <v>54.3</v>
      </c>
      <c r="E17" s="28" t="s">
        <v>35</v>
      </c>
      <c r="F17" s="26" t="s">
        <v>23</v>
      </c>
      <c r="G17" s="26">
        <v>430</v>
      </c>
      <c r="H17" s="27">
        <v>0.6</v>
      </c>
      <c r="I17" s="26"/>
      <c r="J17" s="26"/>
      <c r="K17" s="26" t="s">
        <v>28</v>
      </c>
      <c r="L17" s="26" t="s">
        <v>24</v>
      </c>
      <c r="M17" s="26" t="s">
        <v>24</v>
      </c>
      <c r="N17" s="29">
        <v>1650</v>
      </c>
      <c r="O17" s="23">
        <f>240+1450+180</f>
        <v>1870</v>
      </c>
      <c r="P17" s="29">
        <f t="shared" ref="P17:P24" si="1">N17-O17</f>
        <v>-220</v>
      </c>
    </row>
    <row r="18" spans="1:18" s="31" customFormat="1" ht="16.95" customHeight="1" x14ac:dyDescent="0.3">
      <c r="A18" s="26"/>
      <c r="B18" s="26">
        <v>430</v>
      </c>
      <c r="C18" s="27">
        <v>0.8</v>
      </c>
      <c r="D18" s="26">
        <v>36</v>
      </c>
      <c r="E18" s="28" t="s">
        <v>49</v>
      </c>
      <c r="F18" s="26" t="s">
        <v>42</v>
      </c>
      <c r="G18" s="26">
        <v>430</v>
      </c>
      <c r="H18" s="27">
        <v>0.8</v>
      </c>
      <c r="I18" s="26" t="s">
        <v>24</v>
      </c>
      <c r="J18" s="26" t="s">
        <v>24</v>
      </c>
      <c r="K18" s="26" t="s">
        <v>47</v>
      </c>
      <c r="L18" s="26" t="s">
        <v>44</v>
      </c>
      <c r="M18" s="26" t="s">
        <v>24</v>
      </c>
      <c r="N18" s="29">
        <v>5000</v>
      </c>
      <c r="O18" s="30">
        <f>2000+2600</f>
        <v>4600</v>
      </c>
      <c r="P18" s="29">
        <f t="shared" si="1"/>
        <v>400</v>
      </c>
    </row>
    <row r="19" spans="1:18" s="31" customFormat="1" ht="16.95" customHeight="1" x14ac:dyDescent="0.3">
      <c r="A19" s="26"/>
      <c r="B19" s="26"/>
      <c r="C19" s="27"/>
      <c r="D19" s="26"/>
      <c r="E19" s="28"/>
      <c r="F19" s="26"/>
      <c r="G19" s="26"/>
      <c r="H19" s="27"/>
      <c r="I19" s="26"/>
      <c r="J19" s="26"/>
      <c r="K19" s="26"/>
      <c r="L19" s="26"/>
      <c r="M19" s="26"/>
      <c r="N19" s="29"/>
      <c r="O19" s="30"/>
      <c r="P19" s="29">
        <f t="shared" si="1"/>
        <v>0</v>
      </c>
    </row>
    <row r="20" spans="1:18" s="31" customFormat="1" ht="16.95" customHeight="1" x14ac:dyDescent="0.3">
      <c r="A20" s="26"/>
      <c r="B20" s="26"/>
      <c r="C20" s="27"/>
      <c r="D20" s="26"/>
      <c r="E20" s="28"/>
      <c r="F20" s="26"/>
      <c r="G20" s="26"/>
      <c r="H20" s="27"/>
      <c r="I20" s="26"/>
      <c r="J20" s="26"/>
      <c r="K20" s="26"/>
      <c r="L20" s="26"/>
      <c r="M20" s="26"/>
      <c r="N20" s="29"/>
      <c r="O20" s="30"/>
      <c r="P20" s="29">
        <f t="shared" si="1"/>
        <v>0</v>
      </c>
    </row>
    <row r="21" spans="1:18" s="31" customFormat="1" ht="16.95" customHeight="1" x14ac:dyDescent="0.3">
      <c r="A21" s="26"/>
      <c r="B21" s="26"/>
      <c r="C21" s="27"/>
      <c r="D21" s="26"/>
      <c r="E21" s="28"/>
      <c r="F21" s="26"/>
      <c r="G21" s="26"/>
      <c r="H21" s="27"/>
      <c r="I21" s="26"/>
      <c r="J21" s="26"/>
      <c r="K21" s="26"/>
      <c r="L21" s="26"/>
      <c r="M21" s="26"/>
      <c r="N21" s="29"/>
      <c r="O21" s="30"/>
      <c r="P21" s="29">
        <f t="shared" si="1"/>
        <v>0</v>
      </c>
    </row>
    <row r="22" spans="1:18" s="31" customFormat="1" ht="16.95" customHeight="1" x14ac:dyDescent="0.3">
      <c r="A22" s="26"/>
      <c r="B22" s="26"/>
      <c r="C22" s="27"/>
      <c r="D22" s="26"/>
      <c r="E22" s="28"/>
      <c r="F22" s="26"/>
      <c r="G22" s="26"/>
      <c r="H22" s="27"/>
      <c r="I22" s="26"/>
      <c r="J22" s="26"/>
      <c r="K22" s="26"/>
      <c r="L22" s="26"/>
      <c r="M22" s="26"/>
      <c r="N22" s="29"/>
      <c r="O22" s="30"/>
      <c r="P22" s="29">
        <f t="shared" si="1"/>
        <v>0</v>
      </c>
    </row>
    <row r="23" spans="1:18" s="31" customFormat="1" ht="16.95" customHeight="1" x14ac:dyDescent="0.3">
      <c r="A23" s="26"/>
      <c r="B23" s="26"/>
      <c r="C23" s="27"/>
      <c r="D23" s="26"/>
      <c r="E23" s="28"/>
      <c r="F23" s="26"/>
      <c r="G23" s="26"/>
      <c r="H23" s="27"/>
      <c r="I23" s="26"/>
      <c r="J23" s="26"/>
      <c r="K23" s="26"/>
      <c r="L23" s="26"/>
      <c r="M23" s="26"/>
      <c r="N23" s="26"/>
      <c r="O23" s="30"/>
      <c r="P23" s="29">
        <f t="shared" si="1"/>
        <v>0</v>
      </c>
    </row>
    <row r="24" spans="1:18" s="31" customFormat="1" ht="16.95" customHeight="1" x14ac:dyDescent="0.3">
      <c r="A24" s="32"/>
      <c r="B24" s="32"/>
      <c r="C24" s="33"/>
      <c r="D24" s="32"/>
      <c r="E24" s="34"/>
      <c r="F24" s="32"/>
      <c r="G24" s="32"/>
      <c r="H24" s="33"/>
      <c r="I24" s="32"/>
      <c r="J24" s="32"/>
      <c r="K24" s="32"/>
      <c r="L24" s="32"/>
      <c r="M24" s="35"/>
      <c r="N24" s="29">
        <f>SUM(N16:N23)</f>
        <v>8300</v>
      </c>
      <c r="O24" s="36">
        <f>SUM(O16:O23)</f>
        <v>8120</v>
      </c>
      <c r="P24" s="29">
        <f t="shared" si="1"/>
        <v>180</v>
      </c>
    </row>
    <row r="25" spans="1:18" s="14" customFormat="1" ht="15.6" x14ac:dyDescent="0.3">
      <c r="A25" s="15"/>
      <c r="B25" s="15"/>
      <c r="C25" s="16"/>
      <c r="D25" s="15"/>
      <c r="E25" s="17"/>
      <c r="F25" s="15"/>
      <c r="G25" s="15"/>
      <c r="H25" s="16"/>
      <c r="I25" s="15"/>
      <c r="J25" s="15"/>
      <c r="K25" s="15"/>
      <c r="L25" s="15"/>
      <c r="M25" s="15"/>
      <c r="N25" s="18"/>
      <c r="O25" s="19"/>
      <c r="P25" s="18"/>
    </row>
    <row r="26" spans="1:18" s="3" customFormat="1" ht="30" customHeight="1" x14ac:dyDescent="0.3">
      <c r="A26" s="120" t="s">
        <v>19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2"/>
    </row>
    <row r="27" spans="1:18" s="7" customFormat="1" ht="29.4" customHeight="1" x14ac:dyDescent="0.3">
      <c r="A27" s="21" t="s">
        <v>0</v>
      </c>
      <c r="B27" s="21" t="s">
        <v>9</v>
      </c>
      <c r="C27" s="22" t="s">
        <v>11</v>
      </c>
      <c r="D27" s="21" t="s">
        <v>2</v>
      </c>
      <c r="E27" s="21" t="s">
        <v>1</v>
      </c>
      <c r="F27" s="21" t="s">
        <v>14</v>
      </c>
      <c r="G27" s="21" t="s">
        <v>8</v>
      </c>
      <c r="H27" s="22" t="s">
        <v>10</v>
      </c>
      <c r="I27" s="22" t="s">
        <v>12</v>
      </c>
      <c r="J27" s="22" t="s">
        <v>13</v>
      </c>
      <c r="K27" s="22" t="s">
        <v>27</v>
      </c>
      <c r="L27" s="21" t="s">
        <v>3</v>
      </c>
      <c r="M27" s="21" t="s">
        <v>4</v>
      </c>
      <c r="N27" s="21" t="s">
        <v>7</v>
      </c>
      <c r="O27" s="21" t="s">
        <v>5</v>
      </c>
      <c r="P27" s="21" t="s">
        <v>6</v>
      </c>
      <c r="R27" s="14"/>
    </row>
    <row r="28" spans="1:18" ht="16.95" customHeight="1" x14ac:dyDescent="0.3">
      <c r="A28" s="26"/>
      <c r="B28" s="26"/>
      <c r="C28" s="27"/>
      <c r="D28" s="26"/>
      <c r="E28" s="28"/>
      <c r="F28" s="26"/>
      <c r="G28" s="26"/>
      <c r="H28" s="27"/>
      <c r="I28" s="26"/>
      <c r="J28" s="26"/>
      <c r="K28" s="26"/>
      <c r="L28" s="26"/>
      <c r="M28" s="26"/>
      <c r="N28" s="29"/>
      <c r="O28" s="30"/>
      <c r="P28" s="29">
        <f>N28-O28</f>
        <v>0</v>
      </c>
    </row>
    <row r="29" spans="1:18" ht="16.95" customHeight="1" x14ac:dyDescent="0.3">
      <c r="A29" s="26"/>
      <c r="B29" s="26"/>
      <c r="C29" s="27"/>
      <c r="D29" s="26"/>
      <c r="E29" s="28"/>
      <c r="F29" s="26"/>
      <c r="G29" s="26"/>
      <c r="H29" s="27"/>
      <c r="I29" s="26"/>
      <c r="J29" s="26"/>
      <c r="K29" s="26"/>
      <c r="L29" s="26"/>
      <c r="M29" s="26"/>
      <c r="N29" s="29"/>
      <c r="O29" s="30"/>
      <c r="P29" s="29">
        <f>N29-O29</f>
        <v>0</v>
      </c>
    </row>
    <row r="30" spans="1:18" ht="16.95" customHeight="1" x14ac:dyDescent="0.3">
      <c r="A30" s="26"/>
      <c r="B30" s="26"/>
      <c r="C30" s="27"/>
      <c r="D30" s="26"/>
      <c r="E30" s="28"/>
      <c r="F30" s="26"/>
      <c r="G30" s="26"/>
      <c r="H30" s="27"/>
      <c r="I30" s="26"/>
      <c r="J30" s="26"/>
      <c r="K30" s="26"/>
      <c r="L30" s="26"/>
      <c r="M30" s="26"/>
      <c r="N30" s="29"/>
      <c r="O30" s="30"/>
      <c r="P30" s="29" t="s">
        <v>37</v>
      </c>
    </row>
    <row r="31" spans="1:18" ht="16.95" customHeight="1" x14ac:dyDescent="0.3">
      <c r="A31" s="26"/>
      <c r="B31" s="26"/>
      <c r="C31" s="27"/>
      <c r="D31" s="26"/>
      <c r="E31" s="28"/>
      <c r="F31" s="26"/>
      <c r="G31" s="26"/>
      <c r="H31" s="27"/>
      <c r="I31" s="26"/>
      <c r="J31" s="26"/>
      <c r="K31" s="26"/>
      <c r="L31" s="26"/>
      <c r="M31" s="26"/>
      <c r="N31" s="29"/>
      <c r="O31" s="30"/>
      <c r="P31" s="29" t="s">
        <v>37</v>
      </c>
    </row>
    <row r="32" spans="1:18" ht="16.95" customHeight="1" x14ac:dyDescent="0.3">
      <c r="A32" s="26"/>
      <c r="B32" s="26"/>
      <c r="C32" s="27"/>
      <c r="D32" s="26"/>
      <c r="E32" s="28"/>
      <c r="F32" s="26"/>
      <c r="G32" s="26"/>
      <c r="H32" s="27"/>
      <c r="I32" s="26"/>
      <c r="J32" s="26"/>
      <c r="K32" s="26"/>
      <c r="L32" s="26"/>
      <c r="M32" s="26"/>
      <c r="N32" s="29"/>
      <c r="O32" s="30"/>
      <c r="P32" s="29" t="s">
        <v>37</v>
      </c>
    </row>
    <row r="33" spans="1:18" ht="16.95" hidden="1" customHeight="1" x14ac:dyDescent="0.3">
      <c r="A33" s="26"/>
      <c r="B33" s="26"/>
      <c r="C33" s="27"/>
      <c r="D33" s="26"/>
      <c r="E33" s="28"/>
      <c r="F33" s="26"/>
      <c r="G33" s="26"/>
      <c r="H33" s="27"/>
      <c r="I33" s="26"/>
      <c r="J33" s="26"/>
      <c r="K33" s="26"/>
      <c r="L33" s="26"/>
      <c r="M33" s="26"/>
      <c r="N33" s="29"/>
      <c r="O33" s="30"/>
      <c r="P33" s="29" t="s">
        <v>37</v>
      </c>
    </row>
    <row r="34" spans="1:18" ht="16.95" hidden="1" customHeight="1" x14ac:dyDescent="0.3">
      <c r="A34" s="26"/>
      <c r="B34" s="26"/>
      <c r="C34" s="27"/>
      <c r="D34" s="26"/>
      <c r="E34" s="28"/>
      <c r="F34" s="26"/>
      <c r="G34" s="26"/>
      <c r="H34" s="27"/>
      <c r="I34" s="26"/>
      <c r="J34" s="26"/>
      <c r="K34" s="26"/>
      <c r="L34" s="26"/>
      <c r="M34" s="26"/>
      <c r="N34" s="26"/>
      <c r="O34" s="30"/>
      <c r="P34" s="29">
        <f t="shared" ref="P34:P37" si="2">N34-O34</f>
        <v>0</v>
      </c>
    </row>
    <row r="35" spans="1:18" ht="16.95" hidden="1" customHeight="1" x14ac:dyDescent="0.3">
      <c r="A35" s="26"/>
      <c r="B35" s="26"/>
      <c r="C35" s="27"/>
      <c r="D35" s="26"/>
      <c r="E35" s="28"/>
      <c r="F35" s="26"/>
      <c r="G35" s="26"/>
      <c r="H35" s="27"/>
      <c r="I35" s="26"/>
      <c r="J35" s="26"/>
      <c r="K35" s="26"/>
      <c r="L35" s="26"/>
      <c r="M35" s="26"/>
      <c r="N35" s="26"/>
      <c r="O35" s="30"/>
      <c r="P35" s="29">
        <f t="shared" si="2"/>
        <v>0</v>
      </c>
    </row>
    <row r="36" spans="1:18" ht="16.95" customHeight="1" x14ac:dyDescent="0.3">
      <c r="A36" s="26"/>
      <c r="B36" s="26"/>
      <c r="C36" s="27"/>
      <c r="D36" s="26"/>
      <c r="E36" s="28"/>
      <c r="F36" s="26"/>
      <c r="G36" s="26"/>
      <c r="H36" s="27"/>
      <c r="I36" s="26"/>
      <c r="J36" s="26"/>
      <c r="K36" s="26"/>
      <c r="L36" s="26"/>
      <c r="M36" s="26"/>
      <c r="N36" s="26"/>
      <c r="O36" s="30"/>
      <c r="P36" s="29">
        <f t="shared" si="2"/>
        <v>0</v>
      </c>
    </row>
    <row r="37" spans="1:18" s="14" customFormat="1" ht="15.6" x14ac:dyDescent="0.3">
      <c r="A37" s="32"/>
      <c r="B37" s="32"/>
      <c r="C37" s="33"/>
      <c r="D37" s="32"/>
      <c r="E37" s="34"/>
      <c r="F37" s="32"/>
      <c r="G37" s="32"/>
      <c r="H37" s="33"/>
      <c r="I37" s="32"/>
      <c r="J37" s="32"/>
      <c r="K37" s="32"/>
      <c r="L37" s="32"/>
      <c r="M37" s="35"/>
      <c r="N37" s="29">
        <f>SUM(N28:N36)</f>
        <v>0</v>
      </c>
      <c r="O37" s="36">
        <f>SUM(O28:O36)</f>
        <v>0</v>
      </c>
      <c r="P37" s="29">
        <f t="shared" si="2"/>
        <v>0</v>
      </c>
    </row>
    <row r="38" spans="1:18" s="14" customFormat="1" ht="15.6" x14ac:dyDescent="0.3">
      <c r="A38" s="15"/>
      <c r="B38" s="15"/>
      <c r="C38" s="16"/>
      <c r="D38" s="15"/>
      <c r="E38" s="17"/>
      <c r="F38" s="15"/>
      <c r="G38" s="15"/>
      <c r="H38" s="16"/>
      <c r="I38" s="15"/>
      <c r="J38" s="15"/>
      <c r="K38" s="15"/>
      <c r="L38" s="15"/>
      <c r="M38" s="15"/>
      <c r="N38" s="18"/>
      <c r="O38" s="19"/>
      <c r="P38" s="18"/>
    </row>
    <row r="39" spans="1:18" s="3" customFormat="1" ht="30" customHeight="1" x14ac:dyDescent="0.3">
      <c r="A39" s="120" t="s">
        <v>29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2"/>
    </row>
    <row r="40" spans="1:18" s="7" customFormat="1" ht="29.4" customHeight="1" x14ac:dyDescent="0.3">
      <c r="A40" s="21" t="s">
        <v>0</v>
      </c>
      <c r="B40" s="21" t="s">
        <v>9</v>
      </c>
      <c r="C40" s="22" t="s">
        <v>11</v>
      </c>
      <c r="D40" s="21" t="s">
        <v>2</v>
      </c>
      <c r="E40" s="21" t="s">
        <v>1</v>
      </c>
      <c r="F40" s="21" t="s">
        <v>14</v>
      </c>
      <c r="G40" s="21" t="s">
        <v>8</v>
      </c>
      <c r="H40" s="22" t="s">
        <v>10</v>
      </c>
      <c r="I40" s="22" t="s">
        <v>12</v>
      </c>
      <c r="J40" s="22" t="s">
        <v>13</v>
      </c>
      <c r="K40" s="22" t="s">
        <v>27</v>
      </c>
      <c r="L40" s="21" t="s">
        <v>3</v>
      </c>
      <c r="M40" s="21" t="s">
        <v>4</v>
      </c>
      <c r="N40" s="21" t="s">
        <v>7</v>
      </c>
      <c r="O40" s="21" t="s">
        <v>5</v>
      </c>
      <c r="P40" s="21" t="s">
        <v>6</v>
      </c>
      <c r="R40" s="14"/>
    </row>
    <row r="41" spans="1:18" ht="16.95" customHeight="1" x14ac:dyDescent="0.3">
      <c r="A41" s="26"/>
      <c r="B41" s="26"/>
      <c r="C41" s="27"/>
      <c r="D41" s="26"/>
      <c r="E41" s="28"/>
      <c r="F41" s="26"/>
      <c r="G41" s="26"/>
      <c r="H41" s="27"/>
      <c r="I41" s="26"/>
      <c r="J41" s="26"/>
      <c r="K41" s="26"/>
      <c r="L41" s="26"/>
      <c r="M41" s="26"/>
      <c r="N41" s="29"/>
      <c r="O41" s="30"/>
      <c r="P41" s="29">
        <f t="shared" ref="P41:P50" si="3">N41-O41</f>
        <v>0</v>
      </c>
    </row>
    <row r="42" spans="1:18" ht="16.95" customHeight="1" x14ac:dyDescent="0.3">
      <c r="A42" s="26"/>
      <c r="B42" s="26"/>
      <c r="C42" s="27"/>
      <c r="D42" s="26"/>
      <c r="E42" s="28"/>
      <c r="F42" s="26"/>
      <c r="G42" s="26"/>
      <c r="H42" s="27"/>
      <c r="I42" s="26"/>
      <c r="J42" s="26"/>
      <c r="K42" s="26"/>
      <c r="L42" s="26"/>
      <c r="M42" s="26"/>
      <c r="N42" s="29"/>
      <c r="O42" s="30"/>
      <c r="P42" s="29">
        <f t="shared" si="3"/>
        <v>0</v>
      </c>
    </row>
    <row r="43" spans="1:18" ht="16.95" customHeight="1" x14ac:dyDescent="0.3">
      <c r="A43" s="26"/>
      <c r="B43" s="26"/>
      <c r="C43" s="27"/>
      <c r="D43" s="26"/>
      <c r="E43" s="28"/>
      <c r="F43" s="26"/>
      <c r="G43" s="26"/>
      <c r="H43" s="27"/>
      <c r="I43" s="26"/>
      <c r="J43" s="26"/>
      <c r="K43" s="26"/>
      <c r="L43" s="26"/>
      <c r="M43" s="26"/>
      <c r="N43" s="29"/>
      <c r="O43" s="30"/>
      <c r="P43" s="29">
        <f t="shared" si="3"/>
        <v>0</v>
      </c>
    </row>
    <row r="44" spans="1:18" ht="16.95" customHeight="1" x14ac:dyDescent="0.3">
      <c r="A44" s="26"/>
      <c r="B44" s="26"/>
      <c r="C44" s="27"/>
      <c r="D44" s="26"/>
      <c r="E44" s="28"/>
      <c r="F44" s="26"/>
      <c r="G44" s="26"/>
      <c r="H44" s="27"/>
      <c r="I44" s="26"/>
      <c r="J44" s="26"/>
      <c r="K44" s="26"/>
      <c r="L44" s="26"/>
      <c r="M44" s="26"/>
      <c r="N44" s="29"/>
      <c r="O44" s="30"/>
      <c r="P44" s="29">
        <f t="shared" si="3"/>
        <v>0</v>
      </c>
    </row>
    <row r="45" spans="1:18" ht="16.95" customHeight="1" x14ac:dyDescent="0.3">
      <c r="A45" s="26"/>
      <c r="B45" s="26"/>
      <c r="C45" s="27"/>
      <c r="D45" s="26"/>
      <c r="E45" s="28"/>
      <c r="F45" s="26"/>
      <c r="G45" s="26"/>
      <c r="H45" s="27"/>
      <c r="I45" s="26"/>
      <c r="J45" s="26"/>
      <c r="K45" s="26"/>
      <c r="L45" s="26"/>
      <c r="M45" s="26"/>
      <c r="N45" s="29"/>
      <c r="O45" s="30"/>
      <c r="P45" s="29">
        <f t="shared" si="3"/>
        <v>0</v>
      </c>
    </row>
    <row r="46" spans="1:18" ht="16.95" customHeight="1" x14ac:dyDescent="0.3">
      <c r="A46" s="26"/>
      <c r="B46" s="26"/>
      <c r="C46" s="27"/>
      <c r="D46" s="26"/>
      <c r="E46" s="28"/>
      <c r="F46" s="26"/>
      <c r="G46" s="26"/>
      <c r="H46" s="27"/>
      <c r="I46" s="26"/>
      <c r="J46" s="26"/>
      <c r="K46" s="26"/>
      <c r="L46" s="26"/>
      <c r="M46" s="26"/>
      <c r="N46" s="29"/>
      <c r="O46" s="30"/>
      <c r="P46" s="29">
        <f t="shared" si="3"/>
        <v>0</v>
      </c>
    </row>
    <row r="47" spans="1:18" ht="16.95" hidden="1" customHeight="1" x14ac:dyDescent="0.3">
      <c r="A47" s="26"/>
      <c r="B47" s="26"/>
      <c r="C47" s="27"/>
      <c r="D47" s="26"/>
      <c r="E47" s="28"/>
      <c r="F47" s="26"/>
      <c r="G47" s="26"/>
      <c r="H47" s="27"/>
      <c r="I47" s="26"/>
      <c r="J47" s="26"/>
      <c r="K47" s="26"/>
      <c r="L47" s="26"/>
      <c r="M47" s="26"/>
      <c r="N47" s="26"/>
      <c r="O47" s="30"/>
      <c r="P47" s="29">
        <f t="shared" si="3"/>
        <v>0</v>
      </c>
    </row>
    <row r="48" spans="1:18" ht="16.95" hidden="1" customHeight="1" x14ac:dyDescent="0.3">
      <c r="A48" s="26"/>
      <c r="B48" s="26"/>
      <c r="C48" s="27"/>
      <c r="D48" s="26"/>
      <c r="E48" s="28"/>
      <c r="F48" s="26"/>
      <c r="G48" s="26"/>
      <c r="H48" s="27"/>
      <c r="I48" s="26"/>
      <c r="J48" s="26"/>
      <c r="K48" s="26"/>
      <c r="L48" s="26"/>
      <c r="M48" s="26"/>
      <c r="N48" s="26"/>
      <c r="O48" s="30"/>
      <c r="P48" s="29">
        <f t="shared" si="3"/>
        <v>0</v>
      </c>
    </row>
    <row r="49" spans="1:18" ht="16.95" customHeight="1" x14ac:dyDescent="0.3">
      <c r="A49" s="26"/>
      <c r="B49" s="26"/>
      <c r="C49" s="27"/>
      <c r="D49" s="26"/>
      <c r="E49" s="28"/>
      <c r="F49" s="26"/>
      <c r="G49" s="26"/>
      <c r="H49" s="27"/>
      <c r="I49" s="26"/>
      <c r="J49" s="26"/>
      <c r="K49" s="26"/>
      <c r="L49" s="26"/>
      <c r="M49" s="26"/>
      <c r="N49" s="26"/>
      <c r="O49" s="30"/>
      <c r="P49" s="29">
        <f t="shared" si="3"/>
        <v>0</v>
      </c>
    </row>
    <row r="50" spans="1:18" s="14" customFormat="1" ht="16.95" customHeight="1" x14ac:dyDescent="0.3">
      <c r="A50" s="32"/>
      <c r="B50" s="32"/>
      <c r="C50" s="33"/>
      <c r="D50" s="32"/>
      <c r="E50" s="34"/>
      <c r="F50" s="32"/>
      <c r="G50" s="32"/>
      <c r="H50" s="33"/>
      <c r="I50" s="32"/>
      <c r="J50" s="32"/>
      <c r="K50" s="32"/>
      <c r="L50" s="32"/>
      <c r="M50" s="35"/>
      <c r="N50" s="29">
        <f>SUM(N41:N49)</f>
        <v>0</v>
      </c>
      <c r="O50" s="36">
        <f>SUM(O41:O49)</f>
        <v>0</v>
      </c>
      <c r="P50" s="29">
        <f t="shared" si="3"/>
        <v>0</v>
      </c>
    </row>
    <row r="51" spans="1:18" s="14" customFormat="1" ht="15.6" x14ac:dyDescent="0.3">
      <c r="A51" s="15"/>
      <c r="B51" s="15"/>
      <c r="C51" s="16"/>
      <c r="D51" s="15"/>
      <c r="E51" s="17"/>
      <c r="F51" s="15"/>
      <c r="G51" s="15"/>
      <c r="H51" s="16"/>
      <c r="I51" s="15"/>
      <c r="J51" s="15"/>
      <c r="K51" s="15"/>
      <c r="L51" s="15"/>
      <c r="M51" s="15"/>
      <c r="N51" s="18"/>
      <c r="O51" s="19"/>
      <c r="P51" s="18"/>
    </row>
    <row r="52" spans="1:18" s="3" customFormat="1" ht="30" customHeight="1" x14ac:dyDescent="0.3">
      <c r="A52" s="120" t="s">
        <v>21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2"/>
    </row>
    <row r="53" spans="1:18" s="7" customFormat="1" ht="29.4" customHeight="1" x14ac:dyDescent="0.3">
      <c r="A53" s="21" t="s">
        <v>0</v>
      </c>
      <c r="B53" s="21" t="s">
        <v>9</v>
      </c>
      <c r="C53" s="22" t="s">
        <v>11</v>
      </c>
      <c r="D53" s="21" t="s">
        <v>2</v>
      </c>
      <c r="E53" s="21" t="s">
        <v>1</v>
      </c>
      <c r="F53" s="21" t="s">
        <v>14</v>
      </c>
      <c r="G53" s="21" t="s">
        <v>8</v>
      </c>
      <c r="H53" s="22" t="s">
        <v>10</v>
      </c>
      <c r="I53" s="22" t="s">
        <v>12</v>
      </c>
      <c r="J53" s="22" t="s">
        <v>13</v>
      </c>
      <c r="K53" s="22" t="s">
        <v>27</v>
      </c>
      <c r="L53" s="21" t="s">
        <v>3</v>
      </c>
      <c r="M53" s="21" t="s">
        <v>4</v>
      </c>
      <c r="N53" s="21" t="s">
        <v>7</v>
      </c>
      <c r="O53" s="21" t="s">
        <v>5</v>
      </c>
      <c r="P53" s="21" t="s">
        <v>6</v>
      </c>
      <c r="R53" s="14"/>
    </row>
    <row r="54" spans="1:18" s="31" customFormat="1" ht="16.95" customHeight="1" x14ac:dyDescent="0.3">
      <c r="A54" s="26">
        <v>290825</v>
      </c>
      <c r="B54" s="26">
        <v>430</v>
      </c>
      <c r="C54" s="27">
        <v>0.5</v>
      </c>
      <c r="D54" s="26">
        <v>35</v>
      </c>
      <c r="E54" s="28" t="s">
        <v>69</v>
      </c>
      <c r="F54" s="26" t="s">
        <v>42</v>
      </c>
      <c r="G54" s="26" t="s">
        <v>70</v>
      </c>
      <c r="H54" s="27" t="s">
        <v>70</v>
      </c>
      <c r="I54" s="26" t="s">
        <v>70</v>
      </c>
      <c r="J54" s="26" t="s">
        <v>70</v>
      </c>
      <c r="K54" s="26" t="s">
        <v>70</v>
      </c>
      <c r="L54" s="26" t="s">
        <v>70</v>
      </c>
      <c r="M54" s="26" t="s">
        <v>70</v>
      </c>
      <c r="N54" s="29">
        <v>1000</v>
      </c>
      <c r="O54" s="30">
        <v>1000</v>
      </c>
      <c r="P54" s="29">
        <f t="shared" ref="P54:P73" si="4">N54-O54</f>
        <v>0</v>
      </c>
    </row>
    <row r="55" spans="1:18" s="31" customFormat="1" ht="16.95" customHeight="1" x14ac:dyDescent="0.3">
      <c r="A55" s="42"/>
      <c r="B55" s="26"/>
      <c r="C55" s="27"/>
      <c r="D55" s="26"/>
      <c r="E55" s="28"/>
      <c r="F55" s="26"/>
      <c r="G55" s="26"/>
      <c r="H55" s="27"/>
      <c r="I55" s="26"/>
      <c r="J55" s="26"/>
      <c r="K55" s="26"/>
      <c r="L55" s="26"/>
      <c r="M55" s="26"/>
      <c r="N55" s="29"/>
      <c r="O55" s="30"/>
      <c r="P55" s="29">
        <f t="shared" si="4"/>
        <v>0</v>
      </c>
    </row>
    <row r="56" spans="1:18" s="31" customFormat="1" ht="16.95" customHeight="1" x14ac:dyDescent="0.3">
      <c r="A56" s="26"/>
      <c r="B56" s="26"/>
      <c r="C56" s="27"/>
      <c r="D56" s="26"/>
      <c r="E56" s="28"/>
      <c r="F56" s="26"/>
      <c r="G56" s="26"/>
      <c r="H56" s="27"/>
      <c r="I56" s="26"/>
      <c r="J56" s="26"/>
      <c r="K56" s="26"/>
      <c r="L56" s="26"/>
      <c r="M56" s="26"/>
      <c r="N56" s="29"/>
      <c r="O56" s="30"/>
      <c r="P56" s="29">
        <f t="shared" si="4"/>
        <v>0</v>
      </c>
    </row>
    <row r="57" spans="1:18" s="31" customFormat="1" ht="16.95" customHeight="1" x14ac:dyDescent="0.3">
      <c r="A57" s="26"/>
      <c r="B57" s="26"/>
      <c r="C57" s="27"/>
      <c r="D57" s="26"/>
      <c r="E57" s="28"/>
      <c r="F57" s="26"/>
      <c r="G57" s="26"/>
      <c r="H57" s="27"/>
      <c r="I57" s="26"/>
      <c r="J57" s="26"/>
      <c r="K57" s="26"/>
      <c r="L57" s="26"/>
      <c r="M57" s="26"/>
      <c r="N57" s="29"/>
      <c r="O57" s="30"/>
      <c r="P57" s="29">
        <f t="shared" si="4"/>
        <v>0</v>
      </c>
    </row>
    <row r="58" spans="1:18" s="31" customFormat="1" ht="16.95" customHeight="1" x14ac:dyDescent="0.3">
      <c r="A58" s="26"/>
      <c r="B58" s="26"/>
      <c r="C58" s="27"/>
      <c r="D58" s="26"/>
      <c r="E58" s="28"/>
      <c r="F58" s="26"/>
      <c r="G58" s="26"/>
      <c r="H58" s="27"/>
      <c r="I58" s="26"/>
      <c r="J58" s="26"/>
      <c r="K58" s="26"/>
      <c r="L58" s="26"/>
      <c r="M58" s="26"/>
      <c r="N58" s="29"/>
      <c r="O58" s="30"/>
      <c r="P58" s="29">
        <f t="shared" si="4"/>
        <v>0</v>
      </c>
    </row>
    <row r="59" spans="1:18" s="31" customFormat="1" ht="16.95" customHeight="1" x14ac:dyDescent="0.3">
      <c r="A59" s="26"/>
      <c r="B59" s="26"/>
      <c r="C59" s="27"/>
      <c r="D59" s="26"/>
      <c r="E59" s="28"/>
      <c r="F59" s="26"/>
      <c r="G59" s="26"/>
      <c r="H59" s="27"/>
      <c r="I59" s="26"/>
      <c r="J59" s="26"/>
      <c r="K59" s="26"/>
      <c r="L59" s="26"/>
      <c r="M59" s="26"/>
      <c r="N59" s="29"/>
      <c r="O59" s="30"/>
      <c r="P59" s="29">
        <f t="shared" si="4"/>
        <v>0</v>
      </c>
    </row>
    <row r="60" spans="1:18" s="31" customFormat="1" ht="16.95" customHeight="1" x14ac:dyDescent="0.3">
      <c r="A60" s="26"/>
      <c r="B60" s="26"/>
      <c r="C60" s="27"/>
      <c r="D60" s="26"/>
      <c r="E60" s="28"/>
      <c r="F60" s="26"/>
      <c r="G60" s="26"/>
      <c r="H60" s="27"/>
      <c r="I60" s="26"/>
      <c r="J60" s="26"/>
      <c r="K60" s="26"/>
      <c r="L60" s="26"/>
      <c r="M60" s="26"/>
      <c r="N60" s="29"/>
      <c r="O60" s="30"/>
      <c r="P60" s="29">
        <f t="shared" si="4"/>
        <v>0</v>
      </c>
    </row>
    <row r="61" spans="1:18" s="31" customFormat="1" ht="16.95" customHeight="1" x14ac:dyDescent="0.3">
      <c r="A61" s="26"/>
      <c r="B61" s="26"/>
      <c r="C61" s="27"/>
      <c r="D61" s="26"/>
      <c r="E61" s="28"/>
      <c r="F61" s="26"/>
      <c r="G61" s="26"/>
      <c r="H61" s="27"/>
      <c r="I61" s="26"/>
      <c r="J61" s="26"/>
      <c r="K61" s="26"/>
      <c r="L61" s="26"/>
      <c r="M61" s="26"/>
      <c r="N61" s="29"/>
      <c r="O61" s="30"/>
      <c r="P61" s="29">
        <f t="shared" si="4"/>
        <v>0</v>
      </c>
    </row>
    <row r="62" spans="1:18" s="31" customFormat="1" ht="16.95" customHeight="1" x14ac:dyDescent="0.3">
      <c r="A62" s="26"/>
      <c r="B62" s="26"/>
      <c r="C62" s="27"/>
      <c r="D62" s="26"/>
      <c r="E62" s="28"/>
      <c r="F62" s="26"/>
      <c r="G62" s="26"/>
      <c r="H62" s="27"/>
      <c r="I62" s="26"/>
      <c r="J62" s="26"/>
      <c r="K62" s="26"/>
      <c r="L62" s="26"/>
      <c r="M62" s="26"/>
      <c r="N62" s="29"/>
      <c r="O62" s="30"/>
      <c r="P62" s="29">
        <f t="shared" si="4"/>
        <v>0</v>
      </c>
    </row>
    <row r="63" spans="1:18" s="31" customFormat="1" ht="16.95" customHeight="1" x14ac:dyDescent="0.3">
      <c r="A63" s="26"/>
      <c r="B63" s="26"/>
      <c r="C63" s="27"/>
      <c r="D63" s="26"/>
      <c r="E63" s="28"/>
      <c r="F63" s="26"/>
      <c r="G63" s="26"/>
      <c r="H63" s="27"/>
      <c r="I63" s="26"/>
      <c r="J63" s="26"/>
      <c r="K63" s="26"/>
      <c r="L63" s="26"/>
      <c r="M63" s="26"/>
      <c r="N63" s="29"/>
      <c r="O63" s="30"/>
      <c r="P63" s="29">
        <f t="shared" si="4"/>
        <v>0</v>
      </c>
    </row>
    <row r="64" spans="1:18" s="31" customFormat="1" ht="16.95" customHeight="1" x14ac:dyDescent="0.3">
      <c r="A64" s="26"/>
      <c r="B64" s="26"/>
      <c r="C64" s="27"/>
      <c r="D64" s="26"/>
      <c r="E64" s="28"/>
      <c r="F64" s="26"/>
      <c r="G64" s="26"/>
      <c r="H64" s="27"/>
      <c r="I64" s="26"/>
      <c r="J64" s="26"/>
      <c r="K64" s="26"/>
      <c r="L64" s="26"/>
      <c r="M64" s="26"/>
      <c r="N64" s="29"/>
      <c r="O64" s="30"/>
      <c r="P64" s="29">
        <f t="shared" si="4"/>
        <v>0</v>
      </c>
    </row>
    <row r="65" spans="1:18" s="31" customFormat="1" ht="16.95" customHeight="1" x14ac:dyDescent="0.3">
      <c r="A65" s="26"/>
      <c r="B65" s="26"/>
      <c r="C65" s="27"/>
      <c r="D65" s="26"/>
      <c r="E65" s="28"/>
      <c r="F65" s="26"/>
      <c r="G65" s="26"/>
      <c r="H65" s="27"/>
      <c r="I65" s="26"/>
      <c r="J65" s="26"/>
      <c r="K65" s="26"/>
      <c r="L65" s="26"/>
      <c r="M65" s="26"/>
      <c r="N65" s="29"/>
      <c r="O65" s="30"/>
      <c r="P65" s="29">
        <f t="shared" si="4"/>
        <v>0</v>
      </c>
    </row>
    <row r="66" spans="1:18" s="31" customFormat="1" ht="16.95" customHeight="1" x14ac:dyDescent="0.3">
      <c r="A66" s="26"/>
      <c r="B66" s="26"/>
      <c r="C66" s="27"/>
      <c r="D66" s="26"/>
      <c r="E66" s="28"/>
      <c r="F66" s="26"/>
      <c r="G66" s="26"/>
      <c r="H66" s="27"/>
      <c r="I66" s="26"/>
      <c r="J66" s="26"/>
      <c r="K66" s="26"/>
      <c r="L66" s="26"/>
      <c r="M66" s="26"/>
      <c r="N66" s="29"/>
      <c r="O66" s="30"/>
      <c r="P66" s="29">
        <f t="shared" si="4"/>
        <v>0</v>
      </c>
    </row>
    <row r="67" spans="1:18" s="31" customFormat="1" ht="16.95" customHeight="1" x14ac:dyDescent="0.3">
      <c r="A67" s="26"/>
      <c r="B67" s="26"/>
      <c r="C67" s="27"/>
      <c r="D67" s="26"/>
      <c r="E67" s="28"/>
      <c r="F67" s="26"/>
      <c r="G67" s="26"/>
      <c r="H67" s="27"/>
      <c r="I67" s="26"/>
      <c r="J67" s="26"/>
      <c r="K67" s="26"/>
      <c r="L67" s="26"/>
      <c r="M67" s="26"/>
      <c r="N67" s="29"/>
      <c r="O67" s="30"/>
      <c r="P67" s="29">
        <f t="shared" si="4"/>
        <v>0</v>
      </c>
    </row>
    <row r="68" spans="1:18" s="31" customFormat="1" ht="16.95" customHeight="1" x14ac:dyDescent="0.3">
      <c r="A68" s="26"/>
      <c r="B68" s="26"/>
      <c r="C68" s="27"/>
      <c r="D68" s="26"/>
      <c r="E68" s="28"/>
      <c r="F68" s="26"/>
      <c r="G68" s="26"/>
      <c r="H68" s="27"/>
      <c r="I68" s="26"/>
      <c r="J68" s="26"/>
      <c r="K68" s="26"/>
      <c r="L68" s="26"/>
      <c r="M68" s="26"/>
      <c r="N68" s="29"/>
      <c r="O68" s="30"/>
      <c r="P68" s="29">
        <f t="shared" si="4"/>
        <v>0</v>
      </c>
    </row>
    <row r="69" spans="1:18" s="31" customFormat="1" ht="16.95" customHeight="1" x14ac:dyDescent="0.3">
      <c r="A69" s="26"/>
      <c r="B69" s="26"/>
      <c r="C69" s="27"/>
      <c r="D69" s="26"/>
      <c r="E69" s="28"/>
      <c r="F69" s="26"/>
      <c r="G69" s="26"/>
      <c r="H69" s="27"/>
      <c r="I69" s="26"/>
      <c r="J69" s="26"/>
      <c r="K69" s="26"/>
      <c r="L69" s="26"/>
      <c r="M69" s="26"/>
      <c r="N69" s="29"/>
      <c r="O69" s="30"/>
      <c r="P69" s="29">
        <f t="shared" si="4"/>
        <v>0</v>
      </c>
    </row>
    <row r="70" spans="1:18" s="31" customFormat="1" ht="16.95" customHeight="1" x14ac:dyDescent="0.3">
      <c r="A70" s="26"/>
      <c r="B70" s="26"/>
      <c r="C70" s="27"/>
      <c r="D70" s="26"/>
      <c r="E70" s="28"/>
      <c r="F70" s="26"/>
      <c r="G70" s="26"/>
      <c r="H70" s="27"/>
      <c r="I70" s="26"/>
      <c r="J70" s="26"/>
      <c r="K70" s="26"/>
      <c r="L70" s="26"/>
      <c r="M70" s="26"/>
      <c r="N70" s="29"/>
      <c r="O70" s="30"/>
      <c r="P70" s="29">
        <f t="shared" si="4"/>
        <v>0</v>
      </c>
    </row>
    <row r="71" spans="1:18" s="31" customFormat="1" ht="16.95" customHeight="1" x14ac:dyDescent="0.3">
      <c r="A71" s="26"/>
      <c r="B71" s="26"/>
      <c r="C71" s="27"/>
      <c r="D71" s="26"/>
      <c r="E71" s="28"/>
      <c r="F71" s="26"/>
      <c r="G71" s="26"/>
      <c r="H71" s="27"/>
      <c r="I71" s="26"/>
      <c r="J71" s="26"/>
      <c r="K71" s="26"/>
      <c r="L71" s="26"/>
      <c r="M71" s="26"/>
      <c r="N71" s="29"/>
      <c r="O71" s="30"/>
      <c r="P71" s="29">
        <f t="shared" si="4"/>
        <v>0</v>
      </c>
    </row>
    <row r="72" spans="1:18" s="31" customFormat="1" ht="16.95" customHeight="1" x14ac:dyDescent="0.3">
      <c r="A72" s="26"/>
      <c r="B72" s="26"/>
      <c r="C72" s="27"/>
      <c r="D72" s="26"/>
      <c r="E72" s="28"/>
      <c r="F72" s="26"/>
      <c r="G72" s="26"/>
      <c r="H72" s="27"/>
      <c r="I72" s="26"/>
      <c r="J72" s="26"/>
      <c r="K72" s="26"/>
      <c r="L72" s="26"/>
      <c r="M72" s="26"/>
      <c r="N72" s="26"/>
      <c r="O72" s="30"/>
      <c r="P72" s="29">
        <f t="shared" si="4"/>
        <v>0</v>
      </c>
    </row>
    <row r="73" spans="1:18" s="31" customFormat="1" ht="16.95" customHeight="1" x14ac:dyDescent="0.3">
      <c r="A73" s="32"/>
      <c r="B73" s="32"/>
      <c r="C73" s="33"/>
      <c r="D73" s="32"/>
      <c r="E73" s="34"/>
      <c r="F73" s="32"/>
      <c r="G73" s="32"/>
      <c r="H73" s="33"/>
      <c r="I73" s="32"/>
      <c r="J73" s="32"/>
      <c r="K73" s="32"/>
      <c r="L73" s="32"/>
      <c r="M73" s="35"/>
      <c r="N73" s="29">
        <f>SUM(N54:N72)</f>
        <v>1000</v>
      </c>
      <c r="O73" s="36">
        <f>SUM(O54:O72)</f>
        <v>1000</v>
      </c>
      <c r="P73" s="29">
        <f t="shared" si="4"/>
        <v>0</v>
      </c>
    </row>
    <row r="75" spans="1:18" s="3" customFormat="1" ht="30" customHeight="1" x14ac:dyDescent="0.3">
      <c r="A75" s="120" t="s">
        <v>22</v>
      </c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</row>
    <row r="76" spans="1:18" s="7" customFormat="1" ht="29.4" customHeight="1" x14ac:dyDescent="0.3">
      <c r="A76" s="21" t="s">
        <v>0</v>
      </c>
      <c r="B76" s="21" t="s">
        <v>9</v>
      </c>
      <c r="C76" s="22" t="s">
        <v>11</v>
      </c>
      <c r="D76" s="21" t="s">
        <v>2</v>
      </c>
      <c r="E76" s="21" t="s">
        <v>1</v>
      </c>
      <c r="F76" s="21" t="s">
        <v>14</v>
      </c>
      <c r="G76" s="21" t="s">
        <v>8</v>
      </c>
      <c r="H76" s="22" t="s">
        <v>10</v>
      </c>
      <c r="I76" s="22" t="s">
        <v>12</v>
      </c>
      <c r="J76" s="22" t="s">
        <v>13</v>
      </c>
      <c r="K76" s="22" t="s">
        <v>27</v>
      </c>
      <c r="L76" s="21" t="s">
        <v>3</v>
      </c>
      <c r="M76" s="21" t="s">
        <v>4</v>
      </c>
      <c r="N76" s="21" t="s">
        <v>7</v>
      </c>
      <c r="O76" s="21" t="s">
        <v>5</v>
      </c>
      <c r="P76" s="21" t="s">
        <v>6</v>
      </c>
      <c r="R76" s="14"/>
    </row>
    <row r="77" spans="1:18" s="31" customFormat="1" ht="16.95" customHeight="1" x14ac:dyDescent="0.3">
      <c r="A77" s="26">
        <v>250825</v>
      </c>
      <c r="B77" s="26">
        <v>430</v>
      </c>
      <c r="C77" s="27">
        <v>0.8</v>
      </c>
      <c r="D77" s="26">
        <v>42.5</v>
      </c>
      <c r="E77" s="28" t="s">
        <v>60</v>
      </c>
      <c r="F77" s="26" t="s">
        <v>42</v>
      </c>
      <c r="G77" s="26">
        <v>430</v>
      </c>
      <c r="H77" s="27">
        <v>0.8</v>
      </c>
      <c r="I77" s="26" t="s">
        <v>24</v>
      </c>
      <c r="J77" s="26" t="s">
        <v>24</v>
      </c>
      <c r="K77" s="26" t="s">
        <v>43</v>
      </c>
      <c r="L77" s="26" t="s">
        <v>44</v>
      </c>
      <c r="M77" s="26" t="s">
        <v>24</v>
      </c>
      <c r="N77" s="29">
        <v>5000</v>
      </c>
      <c r="O77" s="30">
        <f>300+1400+1500+1900</f>
        <v>5100</v>
      </c>
      <c r="P77" s="29">
        <f>N77-O77</f>
        <v>-100</v>
      </c>
    </row>
    <row r="78" spans="1:18" s="31" customFormat="1" ht="16.95" customHeight="1" x14ac:dyDescent="0.3">
      <c r="A78" s="26">
        <v>250825</v>
      </c>
      <c r="B78" s="26"/>
      <c r="C78" s="27"/>
      <c r="D78" s="26"/>
      <c r="E78" s="28"/>
      <c r="F78" s="26"/>
      <c r="G78" s="26"/>
      <c r="H78" s="27"/>
      <c r="I78" s="26"/>
      <c r="J78" s="26"/>
      <c r="K78" s="26"/>
      <c r="L78" s="26"/>
      <c r="M78" s="26"/>
      <c r="N78" s="29"/>
      <c r="O78" s="30"/>
      <c r="P78" s="29">
        <f t="shared" ref="P78:P81" si="5">N78-O78</f>
        <v>0</v>
      </c>
    </row>
    <row r="79" spans="1:18" s="31" customFormat="1" ht="16.95" customHeight="1" x14ac:dyDescent="0.3">
      <c r="A79" s="26"/>
      <c r="B79" s="26"/>
      <c r="C79" s="27"/>
      <c r="D79" s="26"/>
      <c r="E79" s="28"/>
      <c r="F79" s="26"/>
      <c r="G79" s="26"/>
      <c r="H79" s="27"/>
      <c r="I79" s="26"/>
      <c r="J79" s="26"/>
      <c r="K79" s="26"/>
      <c r="L79" s="26"/>
      <c r="M79" s="26"/>
      <c r="N79" s="26"/>
      <c r="O79" s="30"/>
      <c r="P79" s="29">
        <f t="shared" si="5"/>
        <v>0</v>
      </c>
    </row>
    <row r="80" spans="1:18" s="31" customFormat="1" ht="16.95" customHeight="1" x14ac:dyDescent="0.3">
      <c r="A80" s="26"/>
      <c r="B80" s="26"/>
      <c r="C80" s="27"/>
      <c r="D80" s="26"/>
      <c r="E80" s="28"/>
      <c r="F80" s="26"/>
      <c r="G80" s="26"/>
      <c r="H80" s="27"/>
      <c r="I80" s="26"/>
      <c r="J80" s="26"/>
      <c r="K80" s="26"/>
      <c r="L80" s="26"/>
      <c r="M80" s="26"/>
      <c r="N80" s="29"/>
      <c r="O80" s="30"/>
      <c r="P80" s="29">
        <f t="shared" si="5"/>
        <v>0</v>
      </c>
    </row>
    <row r="81" spans="1:18" s="31" customFormat="1" ht="16.95" customHeight="1" x14ac:dyDescent="0.3">
      <c r="A81" s="32"/>
      <c r="B81" s="32"/>
      <c r="C81" s="33"/>
      <c r="D81" s="32"/>
      <c r="E81" s="34"/>
      <c r="F81" s="32"/>
      <c r="G81" s="32"/>
      <c r="H81" s="33"/>
      <c r="I81" s="32"/>
      <c r="J81" s="32"/>
      <c r="K81" s="32"/>
      <c r="L81" s="32"/>
      <c r="M81" s="35"/>
      <c r="N81" s="29">
        <f>SUM(N77:N80)</f>
        <v>5000</v>
      </c>
      <c r="O81" s="36">
        <f>SUM(O77:O80)</f>
        <v>5100</v>
      </c>
      <c r="P81" s="29">
        <f t="shared" si="5"/>
        <v>-100</v>
      </c>
    </row>
    <row r="83" spans="1:18" s="3" customFormat="1" ht="30" customHeight="1" x14ac:dyDescent="0.3">
      <c r="A83" s="120" t="s">
        <v>15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2"/>
    </row>
    <row r="84" spans="1:18" s="7" customFormat="1" ht="29.4" customHeight="1" x14ac:dyDescent="0.3">
      <c r="A84" s="21" t="s">
        <v>0</v>
      </c>
      <c r="B84" s="21" t="s">
        <v>9</v>
      </c>
      <c r="C84" s="22" t="s">
        <v>11</v>
      </c>
      <c r="D84" s="21" t="s">
        <v>2</v>
      </c>
      <c r="E84" s="21" t="s">
        <v>1</v>
      </c>
      <c r="F84" s="21" t="s">
        <v>14</v>
      </c>
      <c r="G84" s="21" t="s">
        <v>8</v>
      </c>
      <c r="H84" s="22" t="s">
        <v>10</v>
      </c>
      <c r="I84" s="22" t="s">
        <v>12</v>
      </c>
      <c r="J84" s="22" t="s">
        <v>13</v>
      </c>
      <c r="K84" s="22" t="s">
        <v>27</v>
      </c>
      <c r="L84" s="21" t="s">
        <v>3</v>
      </c>
      <c r="M84" s="21" t="s">
        <v>4</v>
      </c>
      <c r="N84" s="21" t="s">
        <v>7</v>
      </c>
      <c r="O84" s="21" t="s">
        <v>5</v>
      </c>
      <c r="P84" s="21" t="s">
        <v>6</v>
      </c>
      <c r="R84" s="14"/>
    </row>
    <row r="85" spans="1:18" s="31" customFormat="1" ht="16.95" customHeight="1" x14ac:dyDescent="0.3">
      <c r="A85" s="26">
        <v>250825</v>
      </c>
      <c r="B85" s="26"/>
      <c r="C85" s="27"/>
      <c r="D85" s="26"/>
      <c r="E85" s="28" t="s">
        <v>57</v>
      </c>
      <c r="F85" s="26" t="s">
        <v>24</v>
      </c>
      <c r="G85" s="26" t="s">
        <v>24</v>
      </c>
      <c r="H85" s="27" t="s">
        <v>24</v>
      </c>
      <c r="I85" s="26" t="s">
        <v>24</v>
      </c>
      <c r="J85" s="26" t="s">
        <v>24</v>
      </c>
      <c r="K85" s="26" t="s">
        <v>58</v>
      </c>
      <c r="L85" s="26" t="s">
        <v>24</v>
      </c>
      <c r="M85" s="26" t="s">
        <v>24</v>
      </c>
      <c r="N85" s="29">
        <v>5000</v>
      </c>
      <c r="O85" s="30"/>
      <c r="P85" s="29">
        <f>N85-O85</f>
        <v>5000</v>
      </c>
    </row>
    <row r="86" spans="1:18" s="31" customFormat="1" ht="16.95" customHeight="1" x14ac:dyDescent="0.3">
      <c r="A86" s="26">
        <v>250825</v>
      </c>
      <c r="B86" s="26"/>
      <c r="C86" s="27"/>
      <c r="D86" s="26"/>
      <c r="E86" s="28" t="s">
        <v>59</v>
      </c>
      <c r="F86" s="26" t="s">
        <v>24</v>
      </c>
      <c r="G86" s="26" t="s">
        <v>24</v>
      </c>
      <c r="H86" s="27" t="s">
        <v>24</v>
      </c>
      <c r="I86" s="26" t="s">
        <v>24</v>
      </c>
      <c r="J86" s="26" t="s">
        <v>24</v>
      </c>
      <c r="K86" s="26" t="s">
        <v>24</v>
      </c>
      <c r="L86" s="26" t="s">
        <v>24</v>
      </c>
      <c r="M86" s="26" t="s">
        <v>24</v>
      </c>
      <c r="N86" s="26">
        <v>5000</v>
      </c>
      <c r="O86" s="30">
        <v>2100</v>
      </c>
      <c r="P86" s="29">
        <f t="shared" ref="P86:P89" si="6">N86-O86</f>
        <v>2900</v>
      </c>
    </row>
    <row r="87" spans="1:18" s="31" customFormat="1" ht="16.95" customHeight="1" x14ac:dyDescent="0.3">
      <c r="A87" s="26"/>
      <c r="B87" s="26"/>
      <c r="C87" s="27"/>
      <c r="D87" s="26"/>
      <c r="E87" s="28"/>
      <c r="F87" s="26"/>
      <c r="G87" s="26"/>
      <c r="H87" s="27"/>
      <c r="I87" s="26"/>
      <c r="J87" s="26"/>
      <c r="K87" s="26"/>
      <c r="L87" s="26"/>
      <c r="M87" s="26"/>
      <c r="N87" s="26"/>
      <c r="O87" s="30"/>
      <c r="P87" s="29">
        <f t="shared" si="6"/>
        <v>0</v>
      </c>
    </row>
    <row r="88" spans="1:18" s="31" customFormat="1" ht="16.95" customHeight="1" x14ac:dyDescent="0.3">
      <c r="A88" s="26"/>
      <c r="B88" s="26"/>
      <c r="C88" s="27"/>
      <c r="D88" s="26"/>
      <c r="E88" s="28"/>
      <c r="F88" s="26"/>
      <c r="G88" s="26"/>
      <c r="H88" s="27"/>
      <c r="I88" s="26"/>
      <c r="J88" s="26"/>
      <c r="K88" s="26"/>
      <c r="L88" s="26"/>
      <c r="M88" s="26"/>
      <c r="N88" s="26"/>
      <c r="O88" s="30"/>
      <c r="P88" s="29">
        <f t="shared" si="6"/>
        <v>0</v>
      </c>
    </row>
    <row r="89" spans="1:18" s="31" customFormat="1" ht="16.95" customHeight="1" x14ac:dyDescent="0.3">
      <c r="A89" s="32"/>
      <c r="B89" s="32"/>
      <c r="C89" s="33"/>
      <c r="D89" s="32"/>
      <c r="E89" s="34"/>
      <c r="F89" s="32"/>
      <c r="G89" s="32"/>
      <c r="H89" s="33"/>
      <c r="I89" s="32"/>
      <c r="J89" s="32"/>
      <c r="K89" s="32"/>
      <c r="L89" s="32"/>
      <c r="M89" s="35"/>
      <c r="N89" s="29">
        <f>SUM(N85:N88)</f>
        <v>10000</v>
      </c>
      <c r="O89" s="36">
        <f>SUM(O85:O88)</f>
        <v>2100</v>
      </c>
      <c r="P89" s="29">
        <f t="shared" si="6"/>
        <v>7900</v>
      </c>
    </row>
    <row r="90" spans="1:18" s="31" customFormat="1" ht="16.95" customHeight="1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8" s="40" customFormat="1" ht="16.95" customHeight="1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119" t="s">
        <v>17</v>
      </c>
      <c r="M91" s="119"/>
      <c r="N91" s="38">
        <f>N89+N81+N73+N50+N37+N12</f>
        <v>24300</v>
      </c>
      <c r="O91" s="39">
        <f>O89+O81+O73+O50+O37+O12</f>
        <v>16140</v>
      </c>
      <c r="P91" s="38">
        <f>P89+P81+P73+P50+P37+P12</f>
        <v>8160</v>
      </c>
    </row>
    <row r="92" spans="1:18" s="31" customFormat="1" ht="16.95" customHeight="1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8" ht="16.95" customHeight="1" x14ac:dyDescent="0.3"/>
  </sheetData>
  <mergeCells count="11">
    <mergeCell ref="A39:P39"/>
    <mergeCell ref="A52:P52"/>
    <mergeCell ref="A75:P75"/>
    <mergeCell ref="A83:P83"/>
    <mergeCell ref="L91:M91"/>
    <mergeCell ref="A26:P26"/>
    <mergeCell ref="A1:C1"/>
    <mergeCell ref="M1:N1"/>
    <mergeCell ref="O1:P1"/>
    <mergeCell ref="A2:P2"/>
    <mergeCell ref="A14:P14"/>
  </mergeCells>
  <phoneticPr fontId="9" type="noConversion"/>
  <pageMargins left="0.19685039370078741" right="0.19685039370078741" top="0.39370078740157483" bottom="0.39370078740157483" header="0.31496062992125984" footer="0.31496062992125984"/>
  <pageSetup paperSize="9" scale="4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93"/>
  <sheetViews>
    <sheetView zoomScale="70" zoomScaleNormal="70" workbookViewId="0">
      <selection activeCell="E13" sqref="E13"/>
    </sheetView>
  </sheetViews>
  <sheetFormatPr defaultRowHeight="14.4" x14ac:dyDescent="0.3"/>
  <cols>
    <col min="1" max="1" width="13.77734375" style="1" customWidth="1"/>
    <col min="2" max="4" width="6.77734375" style="1" customWidth="1"/>
    <col min="5" max="5" width="46" style="1" bestFit="1" customWidth="1"/>
    <col min="6" max="6" width="10.77734375" style="1" customWidth="1"/>
    <col min="7" max="7" width="6.77734375" style="1" customWidth="1"/>
    <col min="8" max="8" width="9.77734375" style="1" customWidth="1"/>
    <col min="9" max="10" width="12.77734375" style="1" customWidth="1"/>
    <col min="11" max="11" width="16.44140625" style="1" bestFit="1" customWidth="1"/>
    <col min="12" max="12" width="20.44140625" style="1" customWidth="1"/>
    <col min="13" max="13" width="12.77734375" style="1" customWidth="1"/>
    <col min="14" max="16" width="8.88671875" style="1"/>
  </cols>
  <sheetData>
    <row r="1" spans="1:18" s="3" customFormat="1" ht="30" customHeight="1" x14ac:dyDescent="0.3">
      <c r="A1" s="115"/>
      <c r="B1" s="115"/>
      <c r="C1" s="115"/>
      <c r="D1" s="2"/>
      <c r="E1" s="2"/>
      <c r="F1" s="2"/>
      <c r="G1" s="2"/>
      <c r="H1" s="2"/>
      <c r="I1" s="2"/>
      <c r="J1" s="2"/>
      <c r="K1" s="2"/>
      <c r="L1" s="2"/>
      <c r="M1" s="118" t="s">
        <v>16</v>
      </c>
      <c r="N1" s="118"/>
      <c r="O1" s="116">
        <f ca="1">TODAY()</f>
        <v>45967</v>
      </c>
      <c r="P1" s="117"/>
    </row>
    <row r="2" spans="1:18" s="3" customFormat="1" ht="30" customHeight="1" x14ac:dyDescent="0.3">
      <c r="A2" s="120" t="s">
        <v>18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2"/>
    </row>
    <row r="3" spans="1:18" s="7" customFormat="1" ht="29.4" customHeight="1" x14ac:dyDescent="0.3">
      <c r="A3" s="21" t="s">
        <v>0</v>
      </c>
      <c r="B3" s="21" t="s">
        <v>9</v>
      </c>
      <c r="C3" s="22" t="s">
        <v>11</v>
      </c>
      <c r="D3" s="21" t="s">
        <v>2</v>
      </c>
      <c r="E3" s="21" t="s">
        <v>1</v>
      </c>
      <c r="F3" s="21" t="s">
        <v>14</v>
      </c>
      <c r="G3" s="21" t="s">
        <v>8</v>
      </c>
      <c r="H3" s="22" t="s">
        <v>10</v>
      </c>
      <c r="I3" s="22" t="s">
        <v>12</v>
      </c>
      <c r="J3" s="22" t="s">
        <v>13</v>
      </c>
      <c r="K3" s="22" t="s">
        <v>27</v>
      </c>
      <c r="L3" s="21" t="s">
        <v>3</v>
      </c>
      <c r="M3" s="21" t="s">
        <v>4</v>
      </c>
      <c r="N3" s="21" t="s">
        <v>7</v>
      </c>
      <c r="O3" s="21" t="s">
        <v>5</v>
      </c>
      <c r="P3" s="21" t="s">
        <v>6</v>
      </c>
      <c r="R3" s="14"/>
    </row>
    <row r="4" spans="1:18" s="20" customFormat="1" ht="16.95" customHeight="1" x14ac:dyDescent="0.3">
      <c r="A4" s="21"/>
      <c r="B4" s="21"/>
      <c r="C4" s="24"/>
      <c r="D4" s="21"/>
      <c r="E4" s="25"/>
      <c r="F4" s="21"/>
      <c r="G4" s="21"/>
      <c r="H4" s="24"/>
      <c r="I4" s="21"/>
      <c r="J4" s="21"/>
      <c r="K4" s="21"/>
      <c r="L4" s="21"/>
      <c r="M4" s="21"/>
      <c r="N4" s="6"/>
      <c r="O4" s="23"/>
      <c r="P4" s="6">
        <f>N4-O4</f>
        <v>0</v>
      </c>
    </row>
    <row r="5" spans="1:18" s="20" customFormat="1" ht="16.95" customHeight="1" x14ac:dyDescent="0.3">
      <c r="A5" s="21">
        <v>250069</v>
      </c>
      <c r="B5" s="21">
        <v>304</v>
      </c>
      <c r="C5" s="24">
        <v>0.6</v>
      </c>
      <c r="D5" s="21">
        <v>54.3</v>
      </c>
      <c r="E5" s="25" t="s">
        <v>33</v>
      </c>
      <c r="F5" s="21" t="s">
        <v>23</v>
      </c>
      <c r="G5" s="21">
        <v>430</v>
      </c>
      <c r="H5" s="24">
        <v>0.6</v>
      </c>
      <c r="I5" s="21"/>
      <c r="J5" s="21"/>
      <c r="K5" s="21" t="s">
        <v>28</v>
      </c>
      <c r="L5" s="21" t="s">
        <v>24</v>
      </c>
      <c r="M5" s="21" t="s">
        <v>24</v>
      </c>
      <c r="N5" s="6">
        <v>1650</v>
      </c>
      <c r="O5" s="23">
        <f>240+1450</f>
        <v>1690</v>
      </c>
      <c r="P5" s="6">
        <f t="shared" ref="P5:P12" si="0">N5-O5</f>
        <v>-40</v>
      </c>
    </row>
    <row r="6" spans="1:18" s="20" customFormat="1" ht="16.95" customHeight="1" x14ac:dyDescent="0.3">
      <c r="A6" s="21"/>
      <c r="B6" s="26">
        <v>430</v>
      </c>
      <c r="C6" s="27">
        <v>0.8</v>
      </c>
      <c r="D6" s="26">
        <v>36</v>
      </c>
      <c r="E6" s="28" t="s">
        <v>65</v>
      </c>
      <c r="F6" s="26" t="s">
        <v>42</v>
      </c>
      <c r="G6" s="26">
        <v>430</v>
      </c>
      <c r="H6" s="27">
        <v>0.8</v>
      </c>
      <c r="I6" s="26" t="s">
        <v>24</v>
      </c>
      <c r="J6" s="26" t="s">
        <v>24</v>
      </c>
      <c r="K6" s="26" t="s">
        <v>47</v>
      </c>
      <c r="L6" s="26" t="s">
        <v>44</v>
      </c>
      <c r="M6" s="26" t="s">
        <v>24</v>
      </c>
      <c r="N6" s="29">
        <v>5000</v>
      </c>
      <c r="O6" s="23">
        <f>2000+2600</f>
        <v>4600</v>
      </c>
      <c r="P6" s="6">
        <f t="shared" si="0"/>
        <v>400</v>
      </c>
    </row>
    <row r="7" spans="1:18" s="20" customFormat="1" ht="16.95" customHeight="1" x14ac:dyDescent="0.3">
      <c r="A7" s="21"/>
      <c r="B7" s="21"/>
      <c r="C7" s="24"/>
      <c r="D7" s="21"/>
      <c r="E7" s="25"/>
      <c r="F7" s="21"/>
      <c r="G7" s="21"/>
      <c r="H7" s="24"/>
      <c r="I7" s="21"/>
      <c r="J7" s="21"/>
      <c r="K7" s="21"/>
      <c r="L7" s="21"/>
      <c r="M7" s="21"/>
      <c r="N7" s="6"/>
      <c r="O7" s="23"/>
      <c r="P7" s="6">
        <f t="shared" si="0"/>
        <v>0</v>
      </c>
    </row>
    <row r="8" spans="1:18" s="20" customFormat="1" ht="16.95" customHeight="1" x14ac:dyDescent="0.3">
      <c r="A8" s="21"/>
      <c r="B8" s="21"/>
      <c r="C8" s="24"/>
      <c r="D8" s="21"/>
      <c r="E8" s="25"/>
      <c r="F8" s="21"/>
      <c r="G8" s="21"/>
      <c r="H8" s="24"/>
      <c r="I8" s="21"/>
      <c r="J8" s="21"/>
      <c r="K8" s="21"/>
      <c r="L8" s="21"/>
      <c r="M8" s="21"/>
      <c r="N8" s="6"/>
      <c r="O8" s="23"/>
      <c r="P8" s="6">
        <f t="shared" si="0"/>
        <v>0</v>
      </c>
    </row>
    <row r="9" spans="1:18" s="20" customFormat="1" ht="16.95" customHeight="1" x14ac:dyDescent="0.3">
      <c r="A9" s="21"/>
      <c r="B9" s="21"/>
      <c r="C9" s="24"/>
      <c r="D9" s="21"/>
      <c r="E9" s="25"/>
      <c r="F9" s="21"/>
      <c r="G9" s="21"/>
      <c r="H9" s="24"/>
      <c r="I9" s="21"/>
      <c r="J9" s="21"/>
      <c r="K9" s="21"/>
      <c r="L9" s="21"/>
      <c r="M9" s="21"/>
      <c r="N9" s="6"/>
      <c r="O9" s="23"/>
      <c r="P9" s="6">
        <f t="shared" si="0"/>
        <v>0</v>
      </c>
    </row>
    <row r="10" spans="1:18" s="20" customFormat="1" ht="16.95" customHeight="1" x14ac:dyDescent="0.3">
      <c r="A10" s="21"/>
      <c r="B10" s="21"/>
      <c r="C10" s="24"/>
      <c r="D10" s="21"/>
      <c r="E10" s="25"/>
      <c r="F10" s="21"/>
      <c r="G10" s="21"/>
      <c r="H10" s="24"/>
      <c r="I10" s="21"/>
      <c r="J10" s="21"/>
      <c r="K10" s="21"/>
      <c r="L10" s="21"/>
      <c r="M10" s="21"/>
      <c r="N10" s="21"/>
      <c r="O10" s="23"/>
      <c r="P10" s="6">
        <f t="shared" si="0"/>
        <v>0</v>
      </c>
    </row>
    <row r="11" spans="1:18" s="20" customFormat="1" ht="16.95" customHeight="1" x14ac:dyDescent="0.3">
      <c r="A11" s="21"/>
      <c r="B11" s="21"/>
      <c r="C11" s="24"/>
      <c r="D11" s="21"/>
      <c r="E11" s="25"/>
      <c r="F11" s="21"/>
      <c r="G11" s="21"/>
      <c r="H11" s="24"/>
      <c r="I11" s="21"/>
      <c r="J11" s="21"/>
      <c r="K11" s="21"/>
      <c r="L11" s="21"/>
      <c r="M11" s="21"/>
      <c r="N11" s="21"/>
      <c r="O11" s="23"/>
      <c r="P11" s="6">
        <f t="shared" si="0"/>
        <v>0</v>
      </c>
    </row>
    <row r="12" spans="1:18" s="14" customFormat="1" ht="15.6" x14ac:dyDescent="0.3">
      <c r="A12" s="8"/>
      <c r="B12" s="8"/>
      <c r="C12" s="9"/>
      <c r="D12" s="8"/>
      <c r="E12" s="10"/>
      <c r="F12" s="8"/>
      <c r="G12" s="8"/>
      <c r="H12" s="9"/>
      <c r="I12" s="8"/>
      <c r="J12" s="8"/>
      <c r="K12" s="8"/>
      <c r="L12" s="8"/>
      <c r="M12" s="11"/>
      <c r="N12" s="12">
        <f>SUM(N4:N11)</f>
        <v>6650</v>
      </c>
      <c r="O12" s="13">
        <f>SUM(O4:O11)</f>
        <v>6290</v>
      </c>
      <c r="P12" s="12">
        <f t="shared" si="0"/>
        <v>360</v>
      </c>
    </row>
    <row r="13" spans="1:18" x14ac:dyDescent="0.3">
      <c r="C13" s="4"/>
      <c r="E13" s="5"/>
      <c r="H13" s="4"/>
    </row>
    <row r="14" spans="1:18" s="3" customFormat="1" ht="30" customHeight="1" x14ac:dyDescent="0.3">
      <c r="A14" s="120" t="s">
        <v>20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1:18" s="7" customFormat="1" ht="29.4" customHeight="1" x14ac:dyDescent="0.3">
      <c r="A15" s="21" t="s">
        <v>0</v>
      </c>
      <c r="B15" s="21" t="s">
        <v>9</v>
      </c>
      <c r="C15" s="22" t="s">
        <v>11</v>
      </c>
      <c r="D15" s="21" t="s">
        <v>2</v>
      </c>
      <c r="E15" s="21" t="s">
        <v>1</v>
      </c>
      <c r="F15" s="21" t="s">
        <v>14</v>
      </c>
      <c r="G15" s="21" t="s">
        <v>8</v>
      </c>
      <c r="H15" s="22" t="s">
        <v>10</v>
      </c>
      <c r="I15" s="22" t="s">
        <v>12</v>
      </c>
      <c r="J15" s="22" t="s">
        <v>13</v>
      </c>
      <c r="K15" s="22" t="s">
        <v>27</v>
      </c>
      <c r="L15" s="21" t="s">
        <v>3</v>
      </c>
      <c r="M15" s="21" t="s">
        <v>4</v>
      </c>
      <c r="N15" s="21" t="s">
        <v>7</v>
      </c>
      <c r="O15" s="21" t="s">
        <v>5</v>
      </c>
      <c r="P15" s="21" t="s">
        <v>6</v>
      </c>
      <c r="R15" s="14"/>
    </row>
    <row r="16" spans="1:18" s="31" customFormat="1" ht="16.95" customHeight="1" x14ac:dyDescent="0.3">
      <c r="A16" s="26"/>
      <c r="B16" s="26"/>
      <c r="C16" s="27"/>
      <c r="D16" s="26"/>
      <c r="E16" s="28"/>
      <c r="F16" s="26"/>
      <c r="G16" s="26"/>
      <c r="H16" s="27"/>
      <c r="I16" s="26"/>
      <c r="J16" s="26"/>
      <c r="K16" s="26"/>
      <c r="L16" s="26"/>
      <c r="M16" s="26"/>
      <c r="N16" s="29"/>
      <c r="O16" s="23"/>
      <c r="P16" s="29">
        <f>N16-O16</f>
        <v>0</v>
      </c>
    </row>
    <row r="17" spans="1:18" s="31" customFormat="1" ht="16.95" customHeight="1" x14ac:dyDescent="0.3">
      <c r="A17" s="26">
        <v>250069</v>
      </c>
      <c r="B17" s="26">
        <v>304</v>
      </c>
      <c r="C17" s="27">
        <v>0.6</v>
      </c>
      <c r="D17" s="26">
        <v>54.3</v>
      </c>
      <c r="E17" s="28" t="s">
        <v>35</v>
      </c>
      <c r="F17" s="26" t="s">
        <v>23</v>
      </c>
      <c r="G17" s="26">
        <v>430</v>
      </c>
      <c r="H17" s="27">
        <v>0.6</v>
      </c>
      <c r="I17" s="26"/>
      <c r="J17" s="26"/>
      <c r="K17" s="26" t="s">
        <v>28</v>
      </c>
      <c r="L17" s="26" t="s">
        <v>24</v>
      </c>
      <c r="M17" s="26" t="s">
        <v>24</v>
      </c>
      <c r="N17" s="29">
        <v>1650</v>
      </c>
      <c r="O17" s="23">
        <f>240+1450+180</f>
        <v>1870</v>
      </c>
      <c r="P17" s="29">
        <f t="shared" ref="P17:P24" si="1">N17-O17</f>
        <v>-220</v>
      </c>
      <c r="Q17" s="43" t="s">
        <v>71</v>
      </c>
    </row>
    <row r="18" spans="1:18" s="31" customFormat="1" ht="16.95" customHeight="1" x14ac:dyDescent="0.3">
      <c r="A18" s="26"/>
      <c r="B18" s="26">
        <v>430</v>
      </c>
      <c r="C18" s="27">
        <v>0.8</v>
      </c>
      <c r="D18" s="26">
        <v>36</v>
      </c>
      <c r="E18" s="28" t="s">
        <v>49</v>
      </c>
      <c r="F18" s="26" t="s">
        <v>42</v>
      </c>
      <c r="G18" s="26">
        <v>430</v>
      </c>
      <c r="H18" s="27">
        <v>0.8</v>
      </c>
      <c r="I18" s="26" t="s">
        <v>24</v>
      </c>
      <c r="J18" s="26" t="s">
        <v>24</v>
      </c>
      <c r="K18" s="26" t="s">
        <v>47</v>
      </c>
      <c r="L18" s="26" t="s">
        <v>44</v>
      </c>
      <c r="M18" s="26" t="s">
        <v>24</v>
      </c>
      <c r="N18" s="29">
        <v>5000</v>
      </c>
      <c r="O18" s="30">
        <f>2000+2600</f>
        <v>4600</v>
      </c>
      <c r="P18" s="29">
        <f t="shared" si="1"/>
        <v>400</v>
      </c>
    </row>
    <row r="19" spans="1:18" s="31" customFormat="1" ht="16.95" customHeight="1" x14ac:dyDescent="0.3">
      <c r="A19" s="26"/>
      <c r="B19" s="26"/>
      <c r="C19" s="27"/>
      <c r="D19" s="26"/>
      <c r="E19" s="28"/>
      <c r="F19" s="26"/>
      <c r="G19" s="26"/>
      <c r="H19" s="27"/>
      <c r="I19" s="26"/>
      <c r="J19" s="26"/>
      <c r="K19" s="26"/>
      <c r="L19" s="26"/>
      <c r="M19" s="26"/>
      <c r="N19" s="29"/>
      <c r="O19" s="30"/>
      <c r="P19" s="29">
        <f t="shared" si="1"/>
        <v>0</v>
      </c>
    </row>
    <row r="20" spans="1:18" s="31" customFormat="1" ht="16.95" customHeight="1" x14ac:dyDescent="0.3">
      <c r="A20" s="26"/>
      <c r="B20" s="26"/>
      <c r="C20" s="27"/>
      <c r="D20" s="26"/>
      <c r="E20" s="28"/>
      <c r="F20" s="26"/>
      <c r="G20" s="26"/>
      <c r="H20" s="27"/>
      <c r="I20" s="26"/>
      <c r="J20" s="26"/>
      <c r="K20" s="26"/>
      <c r="L20" s="26"/>
      <c r="M20" s="26"/>
      <c r="N20" s="29"/>
      <c r="O20" s="30"/>
      <c r="P20" s="29">
        <f t="shared" si="1"/>
        <v>0</v>
      </c>
    </row>
    <row r="21" spans="1:18" s="31" customFormat="1" ht="16.95" customHeight="1" x14ac:dyDescent="0.3">
      <c r="A21" s="26"/>
      <c r="B21" s="26"/>
      <c r="C21" s="27"/>
      <c r="D21" s="26"/>
      <c r="E21" s="28"/>
      <c r="F21" s="26"/>
      <c r="G21" s="26"/>
      <c r="H21" s="27"/>
      <c r="I21" s="26"/>
      <c r="J21" s="26"/>
      <c r="K21" s="26"/>
      <c r="L21" s="26"/>
      <c r="M21" s="26"/>
      <c r="N21" s="29"/>
      <c r="O21" s="30"/>
      <c r="P21" s="29">
        <f t="shared" si="1"/>
        <v>0</v>
      </c>
    </row>
    <row r="22" spans="1:18" s="31" customFormat="1" ht="16.95" customHeight="1" x14ac:dyDescent="0.3">
      <c r="A22" s="26"/>
      <c r="B22" s="26"/>
      <c r="C22" s="27"/>
      <c r="D22" s="26"/>
      <c r="E22" s="28"/>
      <c r="F22" s="26"/>
      <c r="G22" s="26"/>
      <c r="H22" s="27"/>
      <c r="I22" s="26"/>
      <c r="J22" s="26"/>
      <c r="K22" s="26"/>
      <c r="L22" s="26"/>
      <c r="M22" s="26"/>
      <c r="N22" s="29"/>
      <c r="O22" s="30"/>
      <c r="P22" s="29">
        <f t="shared" si="1"/>
        <v>0</v>
      </c>
    </row>
    <row r="23" spans="1:18" s="31" customFormat="1" ht="16.95" customHeight="1" x14ac:dyDescent="0.3">
      <c r="A23" s="26"/>
      <c r="B23" s="26"/>
      <c r="C23" s="27"/>
      <c r="D23" s="26"/>
      <c r="E23" s="28"/>
      <c r="F23" s="26"/>
      <c r="G23" s="26"/>
      <c r="H23" s="27"/>
      <c r="I23" s="26"/>
      <c r="J23" s="26"/>
      <c r="K23" s="26"/>
      <c r="L23" s="26"/>
      <c r="M23" s="26"/>
      <c r="N23" s="26"/>
      <c r="O23" s="30"/>
      <c r="P23" s="29">
        <f t="shared" si="1"/>
        <v>0</v>
      </c>
    </row>
    <row r="24" spans="1:18" s="31" customFormat="1" ht="16.95" customHeight="1" x14ac:dyDescent="0.3">
      <c r="A24" s="32"/>
      <c r="B24" s="32"/>
      <c r="C24" s="33"/>
      <c r="D24" s="32"/>
      <c r="E24" s="34"/>
      <c r="F24" s="32"/>
      <c r="G24" s="32"/>
      <c r="H24" s="33"/>
      <c r="I24" s="32"/>
      <c r="J24" s="32"/>
      <c r="K24" s="32"/>
      <c r="L24" s="32"/>
      <c r="M24" s="35"/>
      <c r="N24" s="29">
        <f>SUM(N16:N23)</f>
        <v>6650</v>
      </c>
      <c r="O24" s="36">
        <f>SUM(O16:O23)</f>
        <v>6470</v>
      </c>
      <c r="P24" s="29">
        <f t="shared" si="1"/>
        <v>180</v>
      </c>
    </row>
    <row r="25" spans="1:18" s="14" customFormat="1" ht="15.6" x14ac:dyDescent="0.3">
      <c r="A25" s="15"/>
      <c r="B25" s="15"/>
      <c r="C25" s="16"/>
      <c r="D25" s="15"/>
      <c r="E25" s="17"/>
      <c r="F25" s="15"/>
      <c r="G25" s="15"/>
      <c r="H25" s="16"/>
      <c r="I25" s="15"/>
      <c r="J25" s="15"/>
      <c r="K25" s="15"/>
      <c r="L25" s="15"/>
      <c r="M25" s="15"/>
      <c r="N25" s="18"/>
      <c r="O25" s="19"/>
      <c r="P25" s="18"/>
    </row>
    <row r="26" spans="1:18" s="3" customFormat="1" ht="30" customHeight="1" x14ac:dyDescent="0.3">
      <c r="A26" s="120" t="s">
        <v>19</v>
      </c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2"/>
    </row>
    <row r="27" spans="1:18" s="7" customFormat="1" ht="29.4" customHeight="1" x14ac:dyDescent="0.3">
      <c r="A27" s="21" t="s">
        <v>0</v>
      </c>
      <c r="B27" s="21" t="s">
        <v>9</v>
      </c>
      <c r="C27" s="22" t="s">
        <v>11</v>
      </c>
      <c r="D27" s="21" t="s">
        <v>2</v>
      </c>
      <c r="E27" s="21" t="s">
        <v>1</v>
      </c>
      <c r="F27" s="21" t="s">
        <v>14</v>
      </c>
      <c r="G27" s="21" t="s">
        <v>8</v>
      </c>
      <c r="H27" s="22" t="s">
        <v>10</v>
      </c>
      <c r="I27" s="22" t="s">
        <v>12</v>
      </c>
      <c r="J27" s="22" t="s">
        <v>13</v>
      </c>
      <c r="K27" s="22" t="s">
        <v>27</v>
      </c>
      <c r="L27" s="21" t="s">
        <v>3</v>
      </c>
      <c r="M27" s="21" t="s">
        <v>4</v>
      </c>
      <c r="N27" s="21" t="s">
        <v>7</v>
      </c>
      <c r="O27" s="21" t="s">
        <v>5</v>
      </c>
      <c r="P27" s="21" t="s">
        <v>6</v>
      </c>
      <c r="R27" s="14"/>
    </row>
    <row r="28" spans="1:18" ht="16.95" customHeight="1" x14ac:dyDescent="0.3">
      <c r="A28" s="26"/>
      <c r="B28" s="26"/>
      <c r="C28" s="27"/>
      <c r="D28" s="26"/>
      <c r="E28" s="28"/>
      <c r="F28" s="26"/>
      <c r="G28" s="26"/>
      <c r="H28" s="27"/>
      <c r="I28" s="26"/>
      <c r="J28" s="26"/>
      <c r="K28" s="26"/>
      <c r="L28" s="26"/>
      <c r="M28" s="26"/>
      <c r="N28" s="29"/>
      <c r="O28" s="30"/>
      <c r="P28" s="29">
        <f>N28-O28</f>
        <v>0</v>
      </c>
    </row>
    <row r="29" spans="1:18" ht="16.95" customHeight="1" x14ac:dyDescent="0.3">
      <c r="A29" s="26"/>
      <c r="B29" s="26"/>
      <c r="C29" s="27"/>
      <c r="D29" s="26"/>
      <c r="E29" s="28"/>
      <c r="F29" s="26"/>
      <c r="G29" s="26"/>
      <c r="H29" s="27"/>
      <c r="I29" s="26"/>
      <c r="J29" s="26"/>
      <c r="K29" s="26"/>
      <c r="L29" s="26"/>
      <c r="M29" s="26"/>
      <c r="N29" s="29"/>
      <c r="O29" s="30"/>
      <c r="P29" s="29">
        <f>N29-O29</f>
        <v>0</v>
      </c>
    </row>
    <row r="30" spans="1:18" ht="16.95" customHeight="1" x14ac:dyDescent="0.3">
      <c r="A30" s="26"/>
      <c r="B30" s="26"/>
      <c r="C30" s="27"/>
      <c r="D30" s="26"/>
      <c r="E30" s="28"/>
      <c r="F30" s="26"/>
      <c r="G30" s="26"/>
      <c r="H30" s="27"/>
      <c r="I30" s="26"/>
      <c r="J30" s="26"/>
      <c r="K30" s="26"/>
      <c r="L30" s="26"/>
      <c r="M30" s="26"/>
      <c r="N30" s="29"/>
      <c r="O30" s="30"/>
      <c r="P30" s="29" t="s">
        <v>37</v>
      </c>
    </row>
    <row r="31" spans="1:18" ht="16.95" customHeight="1" x14ac:dyDescent="0.3">
      <c r="A31" s="26"/>
      <c r="B31" s="26"/>
      <c r="C31" s="27"/>
      <c r="D31" s="26"/>
      <c r="E31" s="28"/>
      <c r="F31" s="26"/>
      <c r="G31" s="26"/>
      <c r="H31" s="27"/>
      <c r="I31" s="26"/>
      <c r="J31" s="26"/>
      <c r="K31" s="26"/>
      <c r="L31" s="26"/>
      <c r="M31" s="26"/>
      <c r="N31" s="29"/>
      <c r="O31" s="30"/>
      <c r="P31" s="29" t="s">
        <v>37</v>
      </c>
    </row>
    <row r="32" spans="1:18" ht="16.95" customHeight="1" x14ac:dyDescent="0.3">
      <c r="A32" s="26"/>
      <c r="B32" s="26"/>
      <c r="C32" s="27"/>
      <c r="D32" s="26"/>
      <c r="E32" s="28"/>
      <c r="F32" s="26"/>
      <c r="G32" s="26"/>
      <c r="H32" s="27"/>
      <c r="I32" s="26"/>
      <c r="J32" s="26"/>
      <c r="K32" s="26"/>
      <c r="L32" s="26"/>
      <c r="M32" s="26"/>
      <c r="N32" s="29"/>
      <c r="O32" s="30"/>
      <c r="P32" s="29" t="s">
        <v>37</v>
      </c>
    </row>
    <row r="33" spans="1:18" ht="16.95" hidden="1" customHeight="1" x14ac:dyDescent="0.3">
      <c r="A33" s="26"/>
      <c r="B33" s="26"/>
      <c r="C33" s="27"/>
      <c r="D33" s="26"/>
      <c r="E33" s="28"/>
      <c r="F33" s="26"/>
      <c r="G33" s="26"/>
      <c r="H33" s="27"/>
      <c r="I33" s="26"/>
      <c r="J33" s="26"/>
      <c r="K33" s="26"/>
      <c r="L33" s="26"/>
      <c r="M33" s="26"/>
      <c r="N33" s="29"/>
      <c r="O33" s="30"/>
      <c r="P33" s="29" t="s">
        <v>37</v>
      </c>
    </row>
    <row r="34" spans="1:18" ht="16.95" hidden="1" customHeight="1" x14ac:dyDescent="0.3">
      <c r="A34" s="26"/>
      <c r="B34" s="26"/>
      <c r="C34" s="27"/>
      <c r="D34" s="26"/>
      <c r="E34" s="28"/>
      <c r="F34" s="26"/>
      <c r="G34" s="26"/>
      <c r="H34" s="27"/>
      <c r="I34" s="26"/>
      <c r="J34" s="26"/>
      <c r="K34" s="26"/>
      <c r="L34" s="26"/>
      <c r="M34" s="26"/>
      <c r="N34" s="26"/>
      <c r="O34" s="30"/>
      <c r="P34" s="29">
        <f t="shared" ref="P34:P37" si="2">N34-O34</f>
        <v>0</v>
      </c>
    </row>
    <row r="35" spans="1:18" ht="16.95" hidden="1" customHeight="1" x14ac:dyDescent="0.3">
      <c r="A35" s="26"/>
      <c r="B35" s="26"/>
      <c r="C35" s="27"/>
      <c r="D35" s="26"/>
      <c r="E35" s="28"/>
      <c r="F35" s="26"/>
      <c r="G35" s="26"/>
      <c r="H35" s="27"/>
      <c r="I35" s="26"/>
      <c r="J35" s="26"/>
      <c r="K35" s="26"/>
      <c r="L35" s="26"/>
      <c r="M35" s="26"/>
      <c r="N35" s="26"/>
      <c r="O35" s="30"/>
      <c r="P35" s="29">
        <f t="shared" si="2"/>
        <v>0</v>
      </c>
    </row>
    <row r="36" spans="1:18" ht="16.95" customHeight="1" x14ac:dyDescent="0.3">
      <c r="A36" s="26"/>
      <c r="B36" s="26"/>
      <c r="C36" s="27"/>
      <c r="D36" s="26"/>
      <c r="E36" s="28"/>
      <c r="F36" s="26"/>
      <c r="G36" s="26"/>
      <c r="H36" s="27"/>
      <c r="I36" s="26"/>
      <c r="J36" s="26"/>
      <c r="K36" s="26"/>
      <c r="L36" s="26"/>
      <c r="M36" s="26"/>
      <c r="N36" s="26"/>
      <c r="O36" s="30"/>
      <c r="P36" s="29">
        <f t="shared" si="2"/>
        <v>0</v>
      </c>
    </row>
    <row r="37" spans="1:18" s="14" customFormat="1" ht="15.6" x14ac:dyDescent="0.3">
      <c r="A37" s="32"/>
      <c r="B37" s="32"/>
      <c r="C37" s="33"/>
      <c r="D37" s="32"/>
      <c r="E37" s="34"/>
      <c r="F37" s="32"/>
      <c r="G37" s="32"/>
      <c r="H37" s="33"/>
      <c r="I37" s="32"/>
      <c r="J37" s="32"/>
      <c r="K37" s="32"/>
      <c r="L37" s="32"/>
      <c r="M37" s="35"/>
      <c r="N37" s="29">
        <f>SUM(N28:N36)</f>
        <v>0</v>
      </c>
      <c r="O37" s="36">
        <f>SUM(O28:O36)</f>
        <v>0</v>
      </c>
      <c r="P37" s="29">
        <f t="shared" si="2"/>
        <v>0</v>
      </c>
    </row>
    <row r="38" spans="1:18" s="14" customFormat="1" ht="15.6" x14ac:dyDescent="0.3">
      <c r="A38" s="15"/>
      <c r="B38" s="15"/>
      <c r="C38" s="16"/>
      <c r="D38" s="15"/>
      <c r="E38" s="17"/>
      <c r="F38" s="15"/>
      <c r="G38" s="15"/>
      <c r="H38" s="16"/>
      <c r="I38" s="15"/>
      <c r="J38" s="15"/>
      <c r="K38" s="15"/>
      <c r="L38" s="15"/>
      <c r="M38" s="15"/>
      <c r="N38" s="18"/>
      <c r="O38" s="19"/>
      <c r="P38" s="18"/>
    </row>
    <row r="39" spans="1:18" s="3" customFormat="1" ht="30" customHeight="1" x14ac:dyDescent="0.3">
      <c r="A39" s="120" t="s">
        <v>29</v>
      </c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2"/>
    </row>
    <row r="40" spans="1:18" s="7" customFormat="1" ht="29.4" customHeight="1" x14ac:dyDescent="0.3">
      <c r="A40" s="21" t="s">
        <v>0</v>
      </c>
      <c r="B40" s="21" t="s">
        <v>9</v>
      </c>
      <c r="C40" s="22" t="s">
        <v>11</v>
      </c>
      <c r="D40" s="21" t="s">
        <v>2</v>
      </c>
      <c r="E40" s="21" t="s">
        <v>1</v>
      </c>
      <c r="F40" s="21" t="s">
        <v>14</v>
      </c>
      <c r="G40" s="21" t="s">
        <v>8</v>
      </c>
      <c r="H40" s="22" t="s">
        <v>10</v>
      </c>
      <c r="I40" s="22" t="s">
        <v>12</v>
      </c>
      <c r="J40" s="22" t="s">
        <v>13</v>
      </c>
      <c r="K40" s="22" t="s">
        <v>27</v>
      </c>
      <c r="L40" s="21" t="s">
        <v>3</v>
      </c>
      <c r="M40" s="21" t="s">
        <v>4</v>
      </c>
      <c r="N40" s="21" t="s">
        <v>7</v>
      </c>
      <c r="O40" s="21" t="s">
        <v>5</v>
      </c>
      <c r="P40" s="21" t="s">
        <v>6</v>
      </c>
      <c r="R40" s="14"/>
    </row>
    <row r="41" spans="1:18" ht="16.95" customHeight="1" x14ac:dyDescent="0.3">
      <c r="A41" s="26"/>
      <c r="B41" s="26"/>
      <c r="C41" s="27"/>
      <c r="D41" s="26"/>
      <c r="E41" s="28"/>
      <c r="F41" s="26"/>
      <c r="G41" s="26"/>
      <c r="H41" s="27"/>
      <c r="I41" s="26"/>
      <c r="J41" s="26"/>
      <c r="K41" s="26"/>
      <c r="L41" s="26"/>
      <c r="M41" s="26"/>
      <c r="N41" s="29"/>
      <c r="O41" s="30"/>
      <c r="P41" s="29">
        <f t="shared" ref="P41:P50" si="3">N41-O41</f>
        <v>0</v>
      </c>
    </row>
    <row r="42" spans="1:18" ht="16.95" customHeight="1" x14ac:dyDescent="0.3">
      <c r="A42" s="26"/>
      <c r="B42" s="26"/>
      <c r="C42" s="27"/>
      <c r="D42" s="26"/>
      <c r="E42" s="28"/>
      <c r="F42" s="26"/>
      <c r="G42" s="26"/>
      <c r="H42" s="27"/>
      <c r="I42" s="26"/>
      <c r="J42" s="26"/>
      <c r="K42" s="26"/>
      <c r="L42" s="26"/>
      <c r="M42" s="26"/>
      <c r="N42" s="29"/>
      <c r="O42" s="30"/>
      <c r="P42" s="29">
        <f t="shared" si="3"/>
        <v>0</v>
      </c>
    </row>
    <row r="43" spans="1:18" ht="16.95" customHeight="1" x14ac:dyDescent="0.3">
      <c r="A43" s="26"/>
      <c r="B43" s="26"/>
      <c r="C43" s="27"/>
      <c r="D43" s="26"/>
      <c r="E43" s="28"/>
      <c r="F43" s="26"/>
      <c r="G43" s="26"/>
      <c r="H43" s="27"/>
      <c r="I43" s="26"/>
      <c r="J43" s="26"/>
      <c r="K43" s="26"/>
      <c r="L43" s="26"/>
      <c r="M43" s="26"/>
      <c r="N43" s="29"/>
      <c r="O43" s="30"/>
      <c r="P43" s="29">
        <f t="shared" si="3"/>
        <v>0</v>
      </c>
    </row>
    <row r="44" spans="1:18" ht="16.95" customHeight="1" x14ac:dyDescent="0.3">
      <c r="A44" s="26"/>
      <c r="B44" s="26"/>
      <c r="C44" s="27"/>
      <c r="D44" s="26"/>
      <c r="E44" s="28"/>
      <c r="F44" s="26"/>
      <c r="G44" s="26"/>
      <c r="H44" s="27"/>
      <c r="I44" s="26"/>
      <c r="J44" s="26"/>
      <c r="K44" s="26"/>
      <c r="L44" s="26"/>
      <c r="M44" s="26"/>
      <c r="N44" s="29"/>
      <c r="O44" s="30"/>
      <c r="P44" s="29">
        <f t="shared" si="3"/>
        <v>0</v>
      </c>
    </row>
    <row r="45" spans="1:18" ht="16.95" customHeight="1" x14ac:dyDescent="0.3">
      <c r="A45" s="26"/>
      <c r="B45" s="26"/>
      <c r="C45" s="27"/>
      <c r="D45" s="26"/>
      <c r="E45" s="28"/>
      <c r="F45" s="26"/>
      <c r="G45" s="26"/>
      <c r="H45" s="27"/>
      <c r="I45" s="26"/>
      <c r="J45" s="26"/>
      <c r="K45" s="26"/>
      <c r="L45" s="26"/>
      <c r="M45" s="26"/>
      <c r="N45" s="29"/>
      <c r="O45" s="30"/>
      <c r="P45" s="29">
        <f t="shared" si="3"/>
        <v>0</v>
      </c>
    </row>
    <row r="46" spans="1:18" ht="16.95" customHeight="1" x14ac:dyDescent="0.3">
      <c r="A46" s="26"/>
      <c r="B46" s="26"/>
      <c r="C46" s="27"/>
      <c r="D46" s="26"/>
      <c r="E46" s="28"/>
      <c r="F46" s="26"/>
      <c r="G46" s="26"/>
      <c r="H46" s="27"/>
      <c r="I46" s="26"/>
      <c r="J46" s="26"/>
      <c r="K46" s="26"/>
      <c r="L46" s="26"/>
      <c r="M46" s="26"/>
      <c r="N46" s="29"/>
      <c r="O46" s="30"/>
      <c r="P46" s="29">
        <f t="shared" si="3"/>
        <v>0</v>
      </c>
    </row>
    <row r="47" spans="1:18" ht="16.95" hidden="1" customHeight="1" x14ac:dyDescent="0.3">
      <c r="A47" s="26"/>
      <c r="B47" s="26"/>
      <c r="C47" s="27"/>
      <c r="D47" s="26"/>
      <c r="E47" s="28"/>
      <c r="F47" s="26"/>
      <c r="G47" s="26"/>
      <c r="H47" s="27"/>
      <c r="I47" s="26"/>
      <c r="J47" s="26"/>
      <c r="K47" s="26"/>
      <c r="L47" s="26"/>
      <c r="M47" s="26"/>
      <c r="N47" s="26"/>
      <c r="O47" s="30"/>
      <c r="P47" s="29">
        <f t="shared" si="3"/>
        <v>0</v>
      </c>
    </row>
    <row r="48" spans="1:18" ht="16.95" hidden="1" customHeight="1" x14ac:dyDescent="0.3">
      <c r="A48" s="26"/>
      <c r="B48" s="26"/>
      <c r="C48" s="27"/>
      <c r="D48" s="26"/>
      <c r="E48" s="28"/>
      <c r="F48" s="26"/>
      <c r="G48" s="26"/>
      <c r="H48" s="27"/>
      <c r="I48" s="26"/>
      <c r="J48" s="26"/>
      <c r="K48" s="26"/>
      <c r="L48" s="26"/>
      <c r="M48" s="26"/>
      <c r="N48" s="26"/>
      <c r="O48" s="30"/>
      <c r="P48" s="29">
        <f t="shared" si="3"/>
        <v>0</v>
      </c>
    </row>
    <row r="49" spans="1:18" ht="16.95" customHeight="1" x14ac:dyDescent="0.3">
      <c r="A49" s="26"/>
      <c r="B49" s="26"/>
      <c r="C49" s="27"/>
      <c r="D49" s="26"/>
      <c r="E49" s="28"/>
      <c r="F49" s="26"/>
      <c r="G49" s="26"/>
      <c r="H49" s="27"/>
      <c r="I49" s="26"/>
      <c r="J49" s="26"/>
      <c r="K49" s="26"/>
      <c r="L49" s="26"/>
      <c r="M49" s="26"/>
      <c r="N49" s="26"/>
      <c r="O49" s="30"/>
      <c r="P49" s="29">
        <f t="shared" si="3"/>
        <v>0</v>
      </c>
    </row>
    <row r="50" spans="1:18" s="14" customFormat="1" ht="16.95" customHeight="1" x14ac:dyDescent="0.3">
      <c r="A50" s="32"/>
      <c r="B50" s="32"/>
      <c r="C50" s="33"/>
      <c r="D50" s="32"/>
      <c r="E50" s="34"/>
      <c r="F50" s="32"/>
      <c r="G50" s="32"/>
      <c r="H50" s="33"/>
      <c r="I50" s="32"/>
      <c r="J50" s="32"/>
      <c r="K50" s="32"/>
      <c r="L50" s="32"/>
      <c r="M50" s="35"/>
      <c r="N50" s="29">
        <f>SUM(N41:N49)</f>
        <v>0</v>
      </c>
      <c r="O50" s="36">
        <f>SUM(O41:O49)</f>
        <v>0</v>
      </c>
      <c r="P50" s="29">
        <f t="shared" si="3"/>
        <v>0</v>
      </c>
    </row>
    <row r="51" spans="1:18" s="14" customFormat="1" ht="15.6" x14ac:dyDescent="0.3">
      <c r="A51" s="15"/>
      <c r="B51" s="15"/>
      <c r="C51" s="16"/>
      <c r="D51" s="15"/>
      <c r="E51" s="17"/>
      <c r="F51" s="15"/>
      <c r="G51" s="15"/>
      <c r="H51" s="16"/>
      <c r="I51" s="15"/>
      <c r="J51" s="15"/>
      <c r="K51" s="15"/>
      <c r="L51" s="15"/>
      <c r="M51" s="15"/>
      <c r="N51" s="18"/>
      <c r="O51" s="19"/>
      <c r="P51" s="18"/>
    </row>
    <row r="52" spans="1:18" s="3" customFormat="1" ht="30" customHeight="1" x14ac:dyDescent="0.3">
      <c r="A52" s="120" t="s">
        <v>21</v>
      </c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2"/>
    </row>
    <row r="53" spans="1:18" s="7" customFormat="1" ht="29.4" customHeight="1" x14ac:dyDescent="0.3">
      <c r="A53" s="21" t="s">
        <v>0</v>
      </c>
      <c r="B53" s="21" t="s">
        <v>9</v>
      </c>
      <c r="C53" s="22" t="s">
        <v>11</v>
      </c>
      <c r="D53" s="21" t="s">
        <v>2</v>
      </c>
      <c r="E53" s="21" t="s">
        <v>1</v>
      </c>
      <c r="F53" s="21" t="s">
        <v>14</v>
      </c>
      <c r="G53" s="21" t="s">
        <v>8</v>
      </c>
      <c r="H53" s="22" t="s">
        <v>10</v>
      </c>
      <c r="I53" s="22" t="s">
        <v>12</v>
      </c>
      <c r="J53" s="22" t="s">
        <v>13</v>
      </c>
      <c r="K53" s="22" t="s">
        <v>27</v>
      </c>
      <c r="L53" s="21" t="s">
        <v>3</v>
      </c>
      <c r="M53" s="21" t="s">
        <v>4</v>
      </c>
      <c r="N53" s="21" t="s">
        <v>7</v>
      </c>
      <c r="O53" s="21" t="s">
        <v>5</v>
      </c>
      <c r="P53" s="21" t="s">
        <v>6</v>
      </c>
      <c r="R53" s="14"/>
    </row>
    <row r="54" spans="1:18" s="31" customFormat="1" ht="16.95" customHeight="1" x14ac:dyDescent="0.3">
      <c r="A54" s="26"/>
      <c r="B54" s="26"/>
      <c r="C54" s="27"/>
      <c r="D54" s="26"/>
      <c r="E54" s="28"/>
      <c r="F54" s="26"/>
      <c r="G54" s="26"/>
      <c r="H54" s="27"/>
      <c r="I54" s="26"/>
      <c r="J54" s="26"/>
      <c r="K54" s="26"/>
      <c r="L54" s="26"/>
      <c r="M54" s="26"/>
      <c r="N54" s="29"/>
      <c r="O54" s="30"/>
      <c r="P54" s="29">
        <f t="shared" ref="P54:P73" si="4">N54-O54</f>
        <v>0</v>
      </c>
    </row>
    <row r="55" spans="1:18" s="31" customFormat="1" ht="16.95" customHeight="1" x14ac:dyDescent="0.3">
      <c r="A55" s="42"/>
      <c r="B55" s="26"/>
      <c r="C55" s="27"/>
      <c r="D55" s="26"/>
      <c r="E55" s="28"/>
      <c r="F55" s="26"/>
      <c r="G55" s="26"/>
      <c r="H55" s="27"/>
      <c r="I55" s="26"/>
      <c r="J55" s="26"/>
      <c r="K55" s="26"/>
      <c r="L55" s="26"/>
      <c r="M55" s="26"/>
      <c r="N55" s="29"/>
      <c r="O55" s="30"/>
      <c r="P55" s="29">
        <f t="shared" si="4"/>
        <v>0</v>
      </c>
    </row>
    <row r="56" spans="1:18" s="31" customFormat="1" ht="16.95" customHeight="1" x14ac:dyDescent="0.3">
      <c r="A56" s="26"/>
      <c r="B56" s="26"/>
      <c r="C56" s="27"/>
      <c r="D56" s="26"/>
      <c r="E56" s="28"/>
      <c r="F56" s="26"/>
      <c r="G56" s="26"/>
      <c r="H56" s="27"/>
      <c r="I56" s="26"/>
      <c r="J56" s="26"/>
      <c r="K56" s="26"/>
      <c r="L56" s="26"/>
      <c r="M56" s="26"/>
      <c r="N56" s="29"/>
      <c r="O56" s="30"/>
      <c r="P56" s="29">
        <f t="shared" si="4"/>
        <v>0</v>
      </c>
    </row>
    <row r="57" spans="1:18" s="31" customFormat="1" ht="16.95" customHeight="1" x14ac:dyDescent="0.3">
      <c r="A57" s="26"/>
      <c r="B57" s="26"/>
      <c r="C57" s="27"/>
      <c r="D57" s="26"/>
      <c r="E57" s="28"/>
      <c r="F57" s="26"/>
      <c r="G57" s="26"/>
      <c r="H57" s="27"/>
      <c r="I57" s="26"/>
      <c r="J57" s="26"/>
      <c r="K57" s="26"/>
      <c r="L57" s="26"/>
      <c r="M57" s="26"/>
      <c r="N57" s="29"/>
      <c r="O57" s="30"/>
      <c r="P57" s="29">
        <f t="shared" si="4"/>
        <v>0</v>
      </c>
    </row>
    <row r="58" spans="1:18" s="31" customFormat="1" ht="16.95" customHeight="1" x14ac:dyDescent="0.3">
      <c r="A58" s="26"/>
      <c r="B58" s="26"/>
      <c r="C58" s="27"/>
      <c r="D58" s="26"/>
      <c r="E58" s="28"/>
      <c r="F58" s="26"/>
      <c r="G58" s="26"/>
      <c r="H58" s="27"/>
      <c r="I58" s="26"/>
      <c r="J58" s="26"/>
      <c r="K58" s="26"/>
      <c r="L58" s="26"/>
      <c r="M58" s="26"/>
      <c r="N58" s="29"/>
      <c r="O58" s="30"/>
      <c r="P58" s="29">
        <f t="shared" si="4"/>
        <v>0</v>
      </c>
    </row>
    <row r="59" spans="1:18" s="31" customFormat="1" ht="16.95" customHeight="1" x14ac:dyDescent="0.3">
      <c r="A59" s="26"/>
      <c r="B59" s="26"/>
      <c r="C59" s="27"/>
      <c r="D59" s="26"/>
      <c r="E59" s="28"/>
      <c r="F59" s="26"/>
      <c r="G59" s="26"/>
      <c r="H59" s="27"/>
      <c r="I59" s="26"/>
      <c r="J59" s="26"/>
      <c r="K59" s="26"/>
      <c r="L59" s="26"/>
      <c r="M59" s="26"/>
      <c r="N59" s="29"/>
      <c r="O59" s="30"/>
      <c r="P59" s="29">
        <f t="shared" si="4"/>
        <v>0</v>
      </c>
    </row>
    <row r="60" spans="1:18" s="31" customFormat="1" ht="16.95" customHeight="1" x14ac:dyDescent="0.3">
      <c r="A60" s="26"/>
      <c r="B60" s="26"/>
      <c r="C60" s="27"/>
      <c r="D60" s="26"/>
      <c r="E60" s="28"/>
      <c r="F60" s="26"/>
      <c r="G60" s="26"/>
      <c r="H60" s="27"/>
      <c r="I60" s="26"/>
      <c r="J60" s="26"/>
      <c r="K60" s="26"/>
      <c r="L60" s="26"/>
      <c r="M60" s="26"/>
      <c r="N60" s="29"/>
      <c r="O60" s="30"/>
      <c r="P60" s="29">
        <f t="shared" si="4"/>
        <v>0</v>
      </c>
    </row>
    <row r="61" spans="1:18" s="31" customFormat="1" ht="16.95" customHeight="1" x14ac:dyDescent="0.3">
      <c r="A61" s="26"/>
      <c r="B61" s="26"/>
      <c r="C61" s="27"/>
      <c r="D61" s="26"/>
      <c r="E61" s="28"/>
      <c r="F61" s="26"/>
      <c r="G61" s="26"/>
      <c r="H61" s="27"/>
      <c r="I61" s="26"/>
      <c r="J61" s="26"/>
      <c r="K61" s="26"/>
      <c r="L61" s="26"/>
      <c r="M61" s="26"/>
      <c r="N61" s="29"/>
      <c r="O61" s="30"/>
      <c r="P61" s="29">
        <f t="shared" si="4"/>
        <v>0</v>
      </c>
    </row>
    <row r="62" spans="1:18" s="31" customFormat="1" ht="16.95" customHeight="1" x14ac:dyDescent="0.3">
      <c r="A62" s="26"/>
      <c r="B62" s="26"/>
      <c r="C62" s="27"/>
      <c r="D62" s="26"/>
      <c r="E62" s="28"/>
      <c r="F62" s="26"/>
      <c r="G62" s="26"/>
      <c r="H62" s="27"/>
      <c r="I62" s="26"/>
      <c r="J62" s="26"/>
      <c r="K62" s="26"/>
      <c r="L62" s="26"/>
      <c r="M62" s="26"/>
      <c r="N62" s="29"/>
      <c r="O62" s="30"/>
      <c r="P62" s="29">
        <f t="shared" si="4"/>
        <v>0</v>
      </c>
    </row>
    <row r="63" spans="1:18" s="31" customFormat="1" ht="16.95" customHeight="1" x14ac:dyDescent="0.3">
      <c r="A63" s="26"/>
      <c r="B63" s="26"/>
      <c r="C63" s="27"/>
      <c r="D63" s="26"/>
      <c r="E63" s="28"/>
      <c r="F63" s="26"/>
      <c r="G63" s="26"/>
      <c r="H63" s="27"/>
      <c r="I63" s="26"/>
      <c r="J63" s="26"/>
      <c r="K63" s="26"/>
      <c r="L63" s="26"/>
      <c r="M63" s="26"/>
      <c r="N63" s="29"/>
      <c r="O63" s="30"/>
      <c r="P63" s="29">
        <f t="shared" si="4"/>
        <v>0</v>
      </c>
    </row>
    <row r="64" spans="1:18" s="31" customFormat="1" ht="16.95" customHeight="1" x14ac:dyDescent="0.3">
      <c r="A64" s="26"/>
      <c r="B64" s="26"/>
      <c r="C64" s="27"/>
      <c r="D64" s="26"/>
      <c r="E64" s="28"/>
      <c r="F64" s="26"/>
      <c r="G64" s="26"/>
      <c r="H64" s="27"/>
      <c r="I64" s="26"/>
      <c r="J64" s="26"/>
      <c r="K64" s="26"/>
      <c r="L64" s="26"/>
      <c r="M64" s="26"/>
      <c r="N64" s="29"/>
      <c r="O64" s="30"/>
      <c r="P64" s="29">
        <f t="shared" si="4"/>
        <v>0</v>
      </c>
    </row>
    <row r="65" spans="1:18" s="31" customFormat="1" ht="16.95" customHeight="1" x14ac:dyDescent="0.3">
      <c r="A65" s="26"/>
      <c r="B65" s="26"/>
      <c r="C65" s="27"/>
      <c r="D65" s="26"/>
      <c r="E65" s="28"/>
      <c r="F65" s="26"/>
      <c r="G65" s="26"/>
      <c r="H65" s="27"/>
      <c r="I65" s="26"/>
      <c r="J65" s="26"/>
      <c r="K65" s="26"/>
      <c r="L65" s="26"/>
      <c r="M65" s="26"/>
      <c r="N65" s="29"/>
      <c r="O65" s="30"/>
      <c r="P65" s="29">
        <f t="shared" si="4"/>
        <v>0</v>
      </c>
    </row>
    <row r="66" spans="1:18" s="31" customFormat="1" ht="16.95" customHeight="1" x14ac:dyDescent="0.3">
      <c r="A66" s="26"/>
      <c r="B66" s="26"/>
      <c r="C66" s="27"/>
      <c r="D66" s="26"/>
      <c r="E66" s="28"/>
      <c r="F66" s="26"/>
      <c r="G66" s="26"/>
      <c r="H66" s="27"/>
      <c r="I66" s="26"/>
      <c r="J66" s="26"/>
      <c r="K66" s="26"/>
      <c r="L66" s="26"/>
      <c r="M66" s="26"/>
      <c r="N66" s="29"/>
      <c r="O66" s="30"/>
      <c r="P66" s="29">
        <f t="shared" si="4"/>
        <v>0</v>
      </c>
    </row>
    <row r="67" spans="1:18" s="31" customFormat="1" ht="16.95" customHeight="1" x14ac:dyDescent="0.3">
      <c r="A67" s="26"/>
      <c r="B67" s="26"/>
      <c r="C67" s="27"/>
      <c r="D67" s="26"/>
      <c r="E67" s="28"/>
      <c r="F67" s="26"/>
      <c r="G67" s="26"/>
      <c r="H67" s="27"/>
      <c r="I67" s="26"/>
      <c r="J67" s="26"/>
      <c r="K67" s="26"/>
      <c r="L67" s="26"/>
      <c r="M67" s="26"/>
      <c r="N67" s="29"/>
      <c r="O67" s="30"/>
      <c r="P67" s="29">
        <f t="shared" si="4"/>
        <v>0</v>
      </c>
    </row>
    <row r="68" spans="1:18" s="31" customFormat="1" ht="16.95" customHeight="1" x14ac:dyDescent="0.3">
      <c r="A68" s="26"/>
      <c r="B68" s="26"/>
      <c r="C68" s="27"/>
      <c r="D68" s="26"/>
      <c r="E68" s="28"/>
      <c r="F68" s="26"/>
      <c r="G68" s="26"/>
      <c r="H68" s="27"/>
      <c r="I68" s="26"/>
      <c r="J68" s="26"/>
      <c r="K68" s="26"/>
      <c r="L68" s="26"/>
      <c r="M68" s="26"/>
      <c r="N68" s="29"/>
      <c r="O68" s="30"/>
      <c r="P68" s="29">
        <f t="shared" si="4"/>
        <v>0</v>
      </c>
    </row>
    <row r="69" spans="1:18" s="31" customFormat="1" ht="16.95" customHeight="1" x14ac:dyDescent="0.3">
      <c r="A69" s="26"/>
      <c r="B69" s="26"/>
      <c r="C69" s="27"/>
      <c r="D69" s="26"/>
      <c r="E69" s="28"/>
      <c r="F69" s="26"/>
      <c r="G69" s="26"/>
      <c r="H69" s="27"/>
      <c r="I69" s="26"/>
      <c r="J69" s="26"/>
      <c r="K69" s="26"/>
      <c r="L69" s="26"/>
      <c r="M69" s="26"/>
      <c r="N69" s="29"/>
      <c r="O69" s="30"/>
      <c r="P69" s="29">
        <f t="shared" si="4"/>
        <v>0</v>
      </c>
    </row>
    <row r="70" spans="1:18" s="31" customFormat="1" ht="16.95" customHeight="1" x14ac:dyDescent="0.3">
      <c r="A70" s="26"/>
      <c r="B70" s="26"/>
      <c r="C70" s="27"/>
      <c r="D70" s="26"/>
      <c r="E70" s="28"/>
      <c r="F70" s="26"/>
      <c r="G70" s="26"/>
      <c r="H70" s="27"/>
      <c r="I70" s="26"/>
      <c r="J70" s="26"/>
      <c r="K70" s="26"/>
      <c r="L70" s="26"/>
      <c r="M70" s="26"/>
      <c r="N70" s="29"/>
      <c r="O70" s="30"/>
      <c r="P70" s="29">
        <f t="shared" si="4"/>
        <v>0</v>
      </c>
    </row>
    <row r="71" spans="1:18" s="31" customFormat="1" ht="16.95" customHeight="1" x14ac:dyDescent="0.3">
      <c r="A71" s="26"/>
      <c r="B71" s="26"/>
      <c r="C71" s="27"/>
      <c r="D71" s="26"/>
      <c r="E71" s="28"/>
      <c r="F71" s="26"/>
      <c r="G71" s="26"/>
      <c r="H71" s="27"/>
      <c r="I71" s="26"/>
      <c r="J71" s="26"/>
      <c r="K71" s="26"/>
      <c r="L71" s="26"/>
      <c r="M71" s="26"/>
      <c r="N71" s="29"/>
      <c r="O71" s="30"/>
      <c r="P71" s="29">
        <f t="shared" si="4"/>
        <v>0</v>
      </c>
    </row>
    <row r="72" spans="1:18" s="31" customFormat="1" ht="16.95" customHeight="1" x14ac:dyDescent="0.3">
      <c r="A72" s="26"/>
      <c r="B72" s="26"/>
      <c r="C72" s="27"/>
      <c r="D72" s="26"/>
      <c r="E72" s="28"/>
      <c r="F72" s="26"/>
      <c r="G72" s="26"/>
      <c r="H72" s="27"/>
      <c r="I72" s="26"/>
      <c r="J72" s="26"/>
      <c r="K72" s="26"/>
      <c r="L72" s="26"/>
      <c r="M72" s="26"/>
      <c r="N72" s="26"/>
      <c r="O72" s="30"/>
      <c r="P72" s="29">
        <f t="shared" si="4"/>
        <v>0</v>
      </c>
    </row>
    <row r="73" spans="1:18" s="31" customFormat="1" ht="16.95" customHeight="1" x14ac:dyDescent="0.3">
      <c r="A73" s="32"/>
      <c r="B73" s="32"/>
      <c r="C73" s="33"/>
      <c r="D73" s="32"/>
      <c r="E73" s="34"/>
      <c r="F73" s="32"/>
      <c r="G73" s="32"/>
      <c r="H73" s="33"/>
      <c r="I73" s="32"/>
      <c r="J73" s="32"/>
      <c r="K73" s="32"/>
      <c r="L73" s="32"/>
      <c r="M73" s="35"/>
      <c r="N73" s="29">
        <f>SUM(N54:N72)</f>
        <v>0</v>
      </c>
      <c r="O73" s="36">
        <f>SUM(O54:O72)</f>
        <v>0</v>
      </c>
      <c r="P73" s="29">
        <f t="shared" si="4"/>
        <v>0</v>
      </c>
    </row>
    <row r="75" spans="1:18" s="3" customFormat="1" ht="30" customHeight="1" x14ac:dyDescent="0.3">
      <c r="A75" s="120" t="s">
        <v>22</v>
      </c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2"/>
    </row>
    <row r="76" spans="1:18" s="7" customFormat="1" ht="29.4" customHeight="1" x14ac:dyDescent="0.3">
      <c r="A76" s="21" t="s">
        <v>0</v>
      </c>
      <c r="B76" s="21" t="s">
        <v>9</v>
      </c>
      <c r="C76" s="22" t="s">
        <v>11</v>
      </c>
      <c r="D76" s="21" t="s">
        <v>2</v>
      </c>
      <c r="E76" s="21" t="s">
        <v>1</v>
      </c>
      <c r="F76" s="21" t="s">
        <v>14</v>
      </c>
      <c r="G76" s="21" t="s">
        <v>8</v>
      </c>
      <c r="H76" s="22" t="s">
        <v>10</v>
      </c>
      <c r="I76" s="22" t="s">
        <v>12</v>
      </c>
      <c r="J76" s="22" t="s">
        <v>13</v>
      </c>
      <c r="K76" s="22" t="s">
        <v>27</v>
      </c>
      <c r="L76" s="21" t="s">
        <v>3</v>
      </c>
      <c r="M76" s="21" t="s">
        <v>4</v>
      </c>
      <c r="N76" s="21" t="s">
        <v>7</v>
      </c>
      <c r="O76" s="21" t="s">
        <v>5</v>
      </c>
      <c r="P76" s="21" t="s">
        <v>6</v>
      </c>
      <c r="R76" s="14"/>
    </row>
    <row r="77" spans="1:18" s="31" customFormat="1" ht="16.95" customHeight="1" x14ac:dyDescent="0.3">
      <c r="A77" s="26">
        <v>250825</v>
      </c>
      <c r="B77" s="26">
        <v>430</v>
      </c>
      <c r="C77" s="27">
        <v>0.8</v>
      </c>
      <c r="D77" s="26">
        <v>42.5</v>
      </c>
      <c r="E77" s="28" t="s">
        <v>60</v>
      </c>
      <c r="F77" s="26" t="s">
        <v>42</v>
      </c>
      <c r="G77" s="26">
        <v>430</v>
      </c>
      <c r="H77" s="27">
        <v>0.8</v>
      </c>
      <c r="I77" s="26" t="s">
        <v>24</v>
      </c>
      <c r="J77" s="26" t="s">
        <v>24</v>
      </c>
      <c r="K77" s="26" t="s">
        <v>43</v>
      </c>
      <c r="L77" s="26" t="s">
        <v>44</v>
      </c>
      <c r="M77" s="26" t="s">
        <v>24</v>
      </c>
      <c r="N77" s="29">
        <v>5000</v>
      </c>
      <c r="O77" s="30">
        <f>300+1400+1500+1900</f>
        <v>5100</v>
      </c>
      <c r="P77" s="29">
        <f>N77-O77</f>
        <v>-100</v>
      </c>
    </row>
    <row r="78" spans="1:18" s="31" customFormat="1" ht="16.95" customHeight="1" x14ac:dyDescent="0.3">
      <c r="A78" s="26">
        <v>250825</v>
      </c>
      <c r="B78" s="26"/>
      <c r="C78" s="27"/>
      <c r="D78" s="26"/>
      <c r="E78" s="28"/>
      <c r="F78" s="26"/>
      <c r="G78" s="26"/>
      <c r="H78" s="27"/>
      <c r="I78" s="26"/>
      <c r="J78" s="26"/>
      <c r="K78" s="26"/>
      <c r="L78" s="26"/>
      <c r="M78" s="26"/>
      <c r="N78" s="29"/>
      <c r="O78" s="30"/>
      <c r="P78" s="29">
        <f t="shared" ref="P78:P81" si="5">N78-O78</f>
        <v>0</v>
      </c>
    </row>
    <row r="79" spans="1:18" s="31" customFormat="1" ht="16.95" customHeight="1" x14ac:dyDescent="0.3">
      <c r="A79" s="26"/>
      <c r="B79" s="26"/>
      <c r="C79" s="27"/>
      <c r="D79" s="26"/>
      <c r="E79" s="28"/>
      <c r="F79" s="26"/>
      <c r="G79" s="26"/>
      <c r="H79" s="27"/>
      <c r="I79" s="26"/>
      <c r="J79" s="26"/>
      <c r="K79" s="26"/>
      <c r="L79" s="26"/>
      <c r="M79" s="26"/>
      <c r="N79" s="26"/>
      <c r="O79" s="30"/>
      <c r="P79" s="29">
        <f t="shared" si="5"/>
        <v>0</v>
      </c>
    </row>
    <row r="80" spans="1:18" s="31" customFormat="1" ht="16.95" customHeight="1" x14ac:dyDescent="0.3">
      <c r="A80" s="26"/>
      <c r="B80" s="26"/>
      <c r="C80" s="27"/>
      <c r="D80" s="26"/>
      <c r="E80" s="28"/>
      <c r="F80" s="26"/>
      <c r="G80" s="26"/>
      <c r="H80" s="27"/>
      <c r="I80" s="26"/>
      <c r="J80" s="26"/>
      <c r="K80" s="26"/>
      <c r="L80" s="26"/>
      <c r="M80" s="26"/>
      <c r="N80" s="29"/>
      <c r="O80" s="30"/>
      <c r="P80" s="29">
        <f t="shared" si="5"/>
        <v>0</v>
      </c>
    </row>
    <row r="81" spans="1:18" s="31" customFormat="1" ht="16.95" customHeight="1" x14ac:dyDescent="0.3">
      <c r="A81" s="32"/>
      <c r="B81" s="32"/>
      <c r="C81" s="33"/>
      <c r="D81" s="32"/>
      <c r="E81" s="34"/>
      <c r="F81" s="32"/>
      <c r="G81" s="32"/>
      <c r="H81" s="33"/>
      <c r="I81" s="32"/>
      <c r="J81" s="32"/>
      <c r="K81" s="32"/>
      <c r="L81" s="32"/>
      <c r="M81" s="35"/>
      <c r="N81" s="29">
        <f>SUM(N77:N80)</f>
        <v>5000</v>
      </c>
      <c r="O81" s="36">
        <f>SUM(O77:O80)</f>
        <v>5100</v>
      </c>
      <c r="P81" s="29">
        <f t="shared" si="5"/>
        <v>-100</v>
      </c>
    </row>
    <row r="83" spans="1:18" s="3" customFormat="1" ht="30" customHeight="1" x14ac:dyDescent="0.3">
      <c r="A83" s="120" t="s">
        <v>15</v>
      </c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2"/>
    </row>
    <row r="84" spans="1:18" s="7" customFormat="1" ht="29.4" customHeight="1" x14ac:dyDescent="0.3">
      <c r="A84" s="21" t="s">
        <v>0</v>
      </c>
      <c r="B84" s="21" t="s">
        <v>9</v>
      </c>
      <c r="C84" s="22" t="s">
        <v>11</v>
      </c>
      <c r="D84" s="21" t="s">
        <v>2</v>
      </c>
      <c r="E84" s="21" t="s">
        <v>1</v>
      </c>
      <c r="F84" s="21" t="s">
        <v>14</v>
      </c>
      <c r="G84" s="21" t="s">
        <v>8</v>
      </c>
      <c r="H84" s="22" t="s">
        <v>10</v>
      </c>
      <c r="I84" s="22" t="s">
        <v>12</v>
      </c>
      <c r="J84" s="22" t="s">
        <v>13</v>
      </c>
      <c r="K84" s="22" t="s">
        <v>27</v>
      </c>
      <c r="L84" s="21" t="s">
        <v>3</v>
      </c>
      <c r="M84" s="21" t="s">
        <v>4</v>
      </c>
      <c r="N84" s="21" t="s">
        <v>7</v>
      </c>
      <c r="O84" s="21" t="s">
        <v>5</v>
      </c>
      <c r="P84" s="21" t="s">
        <v>6</v>
      </c>
      <c r="R84" s="14"/>
    </row>
    <row r="85" spans="1:18" s="31" customFormat="1" ht="16.95" customHeight="1" x14ac:dyDescent="0.3">
      <c r="A85" s="26">
        <v>250825</v>
      </c>
      <c r="B85" s="26"/>
      <c r="C85" s="27"/>
      <c r="D85" s="26"/>
      <c r="E85" s="28" t="s">
        <v>57</v>
      </c>
      <c r="F85" s="26" t="s">
        <v>24</v>
      </c>
      <c r="G85" s="26" t="s">
        <v>24</v>
      </c>
      <c r="H85" s="27" t="s">
        <v>24</v>
      </c>
      <c r="I85" s="26" t="s">
        <v>24</v>
      </c>
      <c r="J85" s="26" t="s">
        <v>24</v>
      </c>
      <c r="K85" s="26" t="s">
        <v>58</v>
      </c>
      <c r="L85" s="26" t="s">
        <v>24</v>
      </c>
      <c r="M85" s="26" t="s">
        <v>24</v>
      </c>
      <c r="N85" s="29">
        <v>5000</v>
      </c>
      <c r="O85" s="30"/>
      <c r="P85" s="29">
        <f>N85-O85</f>
        <v>5000</v>
      </c>
    </row>
    <row r="86" spans="1:18" s="31" customFormat="1" ht="16.95" customHeight="1" x14ac:dyDescent="0.3">
      <c r="A86" s="26">
        <v>250825</v>
      </c>
      <c r="B86" s="26"/>
      <c r="C86" s="27"/>
      <c r="D86" s="26"/>
      <c r="E86" s="28" t="s">
        <v>59</v>
      </c>
      <c r="F86" s="26" t="s">
        <v>24</v>
      </c>
      <c r="G86" s="26" t="s">
        <v>24</v>
      </c>
      <c r="H86" s="27" t="s">
        <v>24</v>
      </c>
      <c r="I86" s="26" t="s">
        <v>24</v>
      </c>
      <c r="J86" s="26" t="s">
        <v>24</v>
      </c>
      <c r="K86" s="26" t="s">
        <v>24</v>
      </c>
      <c r="L86" s="26" t="s">
        <v>24</v>
      </c>
      <c r="M86" s="26" t="s">
        <v>24</v>
      </c>
      <c r="N86" s="26">
        <v>5000</v>
      </c>
      <c r="O86" s="30">
        <f>2100+2700</f>
        <v>4800</v>
      </c>
      <c r="P86" s="29">
        <f t="shared" ref="P86:P89" si="6">N86-O86</f>
        <v>200</v>
      </c>
    </row>
    <row r="87" spans="1:18" s="31" customFormat="1" ht="16.95" customHeight="1" x14ac:dyDescent="0.3">
      <c r="A87" s="26"/>
      <c r="B87" s="26"/>
      <c r="C87" s="27"/>
      <c r="D87" s="26"/>
      <c r="E87" s="28"/>
      <c r="F87" s="26"/>
      <c r="G87" s="26"/>
      <c r="H87" s="27"/>
      <c r="I87" s="26"/>
      <c r="J87" s="26"/>
      <c r="K87" s="26"/>
      <c r="L87" s="26"/>
      <c r="M87" s="26"/>
      <c r="N87" s="26"/>
      <c r="O87" s="30"/>
      <c r="P87" s="29">
        <f t="shared" si="6"/>
        <v>0</v>
      </c>
    </row>
    <row r="88" spans="1:18" s="31" customFormat="1" ht="16.95" customHeight="1" x14ac:dyDescent="0.3">
      <c r="A88" s="26"/>
      <c r="B88" s="26"/>
      <c r="C88" s="27"/>
      <c r="D88" s="26"/>
      <c r="E88" s="28"/>
      <c r="F88" s="26"/>
      <c r="G88" s="26"/>
      <c r="H88" s="27"/>
      <c r="I88" s="26"/>
      <c r="J88" s="26"/>
      <c r="K88" s="26"/>
      <c r="L88" s="26"/>
      <c r="M88" s="26"/>
      <c r="N88" s="26"/>
      <c r="O88" s="30"/>
      <c r="P88" s="29">
        <f t="shared" si="6"/>
        <v>0</v>
      </c>
    </row>
    <row r="89" spans="1:18" s="31" customFormat="1" ht="16.95" customHeight="1" x14ac:dyDescent="0.3">
      <c r="A89" s="32"/>
      <c r="B89" s="32"/>
      <c r="C89" s="33"/>
      <c r="D89" s="32"/>
      <c r="E89" s="34"/>
      <c r="F89" s="32"/>
      <c r="G89" s="32"/>
      <c r="H89" s="33"/>
      <c r="I89" s="32"/>
      <c r="J89" s="32"/>
      <c r="K89" s="32"/>
      <c r="L89" s="32"/>
      <c r="M89" s="35"/>
      <c r="N89" s="29">
        <f>SUM(N85:N88)</f>
        <v>10000</v>
      </c>
      <c r="O89" s="36">
        <f>SUM(O85:O88)</f>
        <v>4800</v>
      </c>
      <c r="P89" s="29">
        <f t="shared" si="6"/>
        <v>5200</v>
      </c>
    </row>
    <row r="90" spans="1:18" s="31" customFormat="1" ht="16.95" customHeight="1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</row>
    <row r="91" spans="1:18" s="40" customFormat="1" ht="16.95" customHeight="1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119" t="s">
        <v>17</v>
      </c>
      <c r="M91" s="119"/>
      <c r="N91" s="38">
        <f>N89+N81+N73+N50+N37+N12</f>
        <v>21650</v>
      </c>
      <c r="O91" s="39">
        <f>O89+O81+O73+O50+O37+O12</f>
        <v>16190</v>
      </c>
      <c r="P91" s="38">
        <f>P89+P81+P73+P50+P37+P12</f>
        <v>5460</v>
      </c>
    </row>
    <row r="92" spans="1:18" s="31" customFormat="1" ht="16.95" customHeight="1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</row>
    <row r="93" spans="1:18" ht="16.95" customHeight="1" x14ac:dyDescent="0.3"/>
  </sheetData>
  <mergeCells count="11">
    <mergeCell ref="A39:P39"/>
    <mergeCell ref="A52:P52"/>
    <mergeCell ref="A75:P75"/>
    <mergeCell ref="A83:P83"/>
    <mergeCell ref="L91:M91"/>
    <mergeCell ref="A26:P26"/>
    <mergeCell ref="A1:C1"/>
    <mergeCell ref="M1:N1"/>
    <mergeCell ref="O1:P1"/>
    <mergeCell ref="A2:P2"/>
    <mergeCell ref="A14:P14"/>
  </mergeCells>
  <pageMargins left="0.19685039370078741" right="0.19685039370078741" top="0.39370078740157483" bottom="0.39370078740157483" header="0.31496062992125984" footer="0.31496062992125984"/>
  <pageSetup paperSize="9" scale="4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opLeftCell="A31" zoomScale="25" zoomScaleNormal="25" workbookViewId="0">
      <selection activeCell="E13" sqref="E13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40.77734375" style="2" bestFit="1" customWidth="1"/>
    <col min="6" max="6" width="32.109375" style="2" bestFit="1" customWidth="1"/>
    <col min="7" max="7" width="21.88671875" style="2" bestFit="1" customWidth="1"/>
    <col min="8" max="8" width="22.6640625" style="2" customWidth="1"/>
    <col min="9" max="9" width="42.6640625" style="2" customWidth="1"/>
    <col min="10" max="10" width="37.88671875" style="2" customWidth="1"/>
    <col min="11" max="11" width="25.6640625" style="2" customWidth="1"/>
    <col min="12" max="14" width="20.6640625" style="2" customWidth="1"/>
    <col min="15" max="16384" width="8.88671875" style="3"/>
  </cols>
  <sheetData>
    <row r="1" spans="1:14" s="46" customFormat="1" ht="36.6" x14ac:dyDescent="0.3">
      <c r="A1" s="126"/>
      <c r="B1" s="126"/>
      <c r="C1" s="126"/>
      <c r="D1" s="44"/>
      <c r="E1" s="44"/>
      <c r="F1" s="44"/>
      <c r="G1" s="44"/>
      <c r="H1" s="44"/>
      <c r="I1" s="44"/>
      <c r="J1" s="44"/>
      <c r="K1" s="45" t="s">
        <v>16</v>
      </c>
      <c r="L1" s="127">
        <v>45912</v>
      </c>
      <c r="M1" s="127"/>
      <c r="N1" s="127"/>
    </row>
    <row r="2" spans="1:14" s="49" customFormat="1" ht="90" customHeight="1" x14ac:dyDescent="0.3">
      <c r="A2" s="112" t="s">
        <v>72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</row>
    <row r="3" spans="1:14" s="49" customFormat="1" ht="90" customHeight="1" x14ac:dyDescent="0.3">
      <c r="A3" s="50" t="s">
        <v>0</v>
      </c>
      <c r="B3" s="50" t="s">
        <v>9</v>
      </c>
      <c r="C3" s="51" t="s">
        <v>11</v>
      </c>
      <c r="D3" s="50" t="s">
        <v>2</v>
      </c>
      <c r="E3" s="50" t="s">
        <v>1</v>
      </c>
      <c r="F3" s="50" t="s">
        <v>14</v>
      </c>
      <c r="G3" s="50" t="s">
        <v>8</v>
      </c>
      <c r="H3" s="51" t="s">
        <v>10</v>
      </c>
      <c r="I3" s="51" t="s">
        <v>12</v>
      </c>
      <c r="J3" s="51" t="s">
        <v>13</v>
      </c>
      <c r="K3" s="50" t="s">
        <v>3</v>
      </c>
      <c r="L3" s="50" t="s">
        <v>7</v>
      </c>
      <c r="M3" s="50" t="s">
        <v>5</v>
      </c>
      <c r="N3" s="50" t="s">
        <v>6</v>
      </c>
    </row>
    <row r="4" spans="1:14" s="56" customFormat="1" ht="90" customHeight="1" x14ac:dyDescent="0.3">
      <c r="A4" s="50">
        <v>210825</v>
      </c>
      <c r="B4" s="50">
        <v>304</v>
      </c>
      <c r="C4" s="52">
        <v>0.8</v>
      </c>
      <c r="D4" s="50">
        <v>33</v>
      </c>
      <c r="E4" s="53" t="s">
        <v>77</v>
      </c>
      <c r="F4" s="50" t="s">
        <v>81</v>
      </c>
      <c r="G4" s="50" t="s">
        <v>74</v>
      </c>
      <c r="H4" s="52" t="s">
        <v>74</v>
      </c>
      <c r="I4" s="50" t="s">
        <v>74</v>
      </c>
      <c r="J4" s="50" t="s">
        <v>74</v>
      </c>
      <c r="K4" s="50" t="s">
        <v>74</v>
      </c>
      <c r="L4" s="54">
        <v>4000</v>
      </c>
      <c r="M4" s="55">
        <v>400</v>
      </c>
      <c r="N4" s="54">
        <f>L4-M4</f>
        <v>3600</v>
      </c>
    </row>
    <row r="5" spans="1:14" s="56" customFormat="1" ht="90" customHeight="1" x14ac:dyDescent="0.3">
      <c r="A5" s="50">
        <v>250041</v>
      </c>
      <c r="B5" s="50">
        <v>304</v>
      </c>
      <c r="C5" s="52">
        <v>0.7</v>
      </c>
      <c r="D5" s="50">
        <v>29</v>
      </c>
      <c r="E5" s="53" t="s">
        <v>80</v>
      </c>
      <c r="F5" s="50" t="s">
        <v>81</v>
      </c>
      <c r="G5" s="50" t="s">
        <v>74</v>
      </c>
      <c r="H5" s="50" t="s">
        <v>74</v>
      </c>
      <c r="I5" s="50" t="s">
        <v>74</v>
      </c>
      <c r="J5" s="50" t="s">
        <v>74</v>
      </c>
      <c r="K5" s="50" t="s">
        <v>79</v>
      </c>
      <c r="L5" s="54">
        <v>15</v>
      </c>
      <c r="M5" s="55">
        <v>17</v>
      </c>
      <c r="N5" s="54">
        <f t="shared" ref="N5:N9" si="0">L5-M5</f>
        <v>-2</v>
      </c>
    </row>
    <row r="6" spans="1:14" s="56" customFormat="1" ht="90" customHeight="1" x14ac:dyDescent="0.3">
      <c r="A6" s="50">
        <v>250041</v>
      </c>
      <c r="B6" s="50">
        <v>304</v>
      </c>
      <c r="C6" s="52">
        <v>0.7</v>
      </c>
      <c r="D6" s="50">
        <v>29</v>
      </c>
      <c r="E6" s="53" t="s">
        <v>82</v>
      </c>
      <c r="F6" s="50" t="s">
        <v>81</v>
      </c>
      <c r="G6" s="50" t="s">
        <v>74</v>
      </c>
      <c r="H6" s="50" t="s">
        <v>74</v>
      </c>
      <c r="I6" s="50" t="s">
        <v>74</v>
      </c>
      <c r="J6" s="50" t="s">
        <v>74</v>
      </c>
      <c r="K6" s="50" t="s">
        <v>79</v>
      </c>
      <c r="L6" s="54">
        <v>15</v>
      </c>
      <c r="M6" s="55">
        <v>18</v>
      </c>
      <c r="N6" s="54">
        <f t="shared" si="0"/>
        <v>-3</v>
      </c>
    </row>
    <row r="7" spans="1:14" s="56" customFormat="1" ht="90" customHeight="1" x14ac:dyDescent="0.3">
      <c r="A7" s="50">
        <v>250041</v>
      </c>
      <c r="B7" s="50">
        <v>304</v>
      </c>
      <c r="C7" s="52">
        <v>0.7</v>
      </c>
      <c r="D7" s="50">
        <v>31.5</v>
      </c>
      <c r="E7" s="53" t="s">
        <v>84</v>
      </c>
      <c r="F7" s="50" t="s">
        <v>81</v>
      </c>
      <c r="G7" s="50" t="s">
        <v>74</v>
      </c>
      <c r="H7" s="50" t="s">
        <v>74</v>
      </c>
      <c r="I7" s="50" t="s">
        <v>74</v>
      </c>
      <c r="J7" s="50" t="s">
        <v>74</v>
      </c>
      <c r="K7" s="50" t="s">
        <v>79</v>
      </c>
      <c r="L7" s="54">
        <v>15</v>
      </c>
      <c r="M7" s="55">
        <v>17</v>
      </c>
      <c r="N7" s="54">
        <f t="shared" si="0"/>
        <v>-2</v>
      </c>
    </row>
    <row r="8" spans="1:14" s="56" customFormat="1" ht="90" customHeight="1" x14ac:dyDescent="0.3">
      <c r="A8" s="50">
        <v>250041</v>
      </c>
      <c r="B8" s="50">
        <v>304</v>
      </c>
      <c r="C8" s="52">
        <v>0.7</v>
      </c>
      <c r="D8" s="50">
        <v>31.5</v>
      </c>
      <c r="E8" s="53" t="s">
        <v>83</v>
      </c>
      <c r="F8" s="50" t="s">
        <v>81</v>
      </c>
      <c r="G8" s="50" t="s">
        <v>74</v>
      </c>
      <c r="H8" s="50" t="s">
        <v>74</v>
      </c>
      <c r="I8" s="50" t="s">
        <v>74</v>
      </c>
      <c r="J8" s="50" t="s">
        <v>74</v>
      </c>
      <c r="K8" s="50" t="s">
        <v>79</v>
      </c>
      <c r="L8" s="54">
        <v>15</v>
      </c>
      <c r="M8" s="55">
        <v>18</v>
      </c>
      <c r="N8" s="54">
        <f t="shared" si="0"/>
        <v>-3</v>
      </c>
    </row>
    <row r="9" spans="1:14" s="56" customFormat="1" ht="90" customHeight="1" x14ac:dyDescent="0.3">
      <c r="A9" s="50"/>
      <c r="B9" s="50"/>
      <c r="C9" s="52"/>
      <c r="D9" s="50"/>
      <c r="E9" s="53"/>
      <c r="F9" s="50"/>
      <c r="G9" s="50"/>
      <c r="H9" s="52"/>
      <c r="I9" s="50"/>
      <c r="J9" s="50"/>
      <c r="K9" s="50"/>
      <c r="L9" s="50"/>
      <c r="M9" s="55"/>
      <c r="N9" s="54">
        <f t="shared" si="0"/>
        <v>0</v>
      </c>
    </row>
    <row r="10" spans="1:14" s="56" customFormat="1" ht="90" customHeight="1" x14ac:dyDescent="0.3">
      <c r="A10" s="57"/>
      <c r="B10" s="57"/>
      <c r="C10" s="58"/>
      <c r="D10" s="57"/>
      <c r="E10" s="59"/>
      <c r="F10" s="57"/>
      <c r="G10" s="57"/>
      <c r="H10" s="58"/>
      <c r="I10" s="57"/>
      <c r="J10" s="57"/>
      <c r="K10" s="57"/>
      <c r="L10" s="54">
        <f>SUM(L4:L9)</f>
        <v>4060</v>
      </c>
      <c r="M10" s="60">
        <f>SUM(M4:M9)</f>
        <v>470</v>
      </c>
      <c r="N10" s="54">
        <f>SUM(N4:N9)</f>
        <v>3590</v>
      </c>
    </row>
    <row r="12" spans="1:14" s="47" customFormat="1" ht="90" customHeight="1" x14ac:dyDescent="0.3">
      <c r="A12" s="112" t="s">
        <v>21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4"/>
    </row>
    <row r="13" spans="1:14" s="47" customFormat="1" ht="90" customHeight="1" x14ac:dyDescent="0.3">
      <c r="A13" s="50" t="s">
        <v>0</v>
      </c>
      <c r="B13" s="50" t="s">
        <v>9</v>
      </c>
      <c r="C13" s="51" t="s">
        <v>11</v>
      </c>
      <c r="D13" s="50" t="s">
        <v>2</v>
      </c>
      <c r="E13" s="50" t="s">
        <v>1</v>
      </c>
      <c r="F13" s="50" t="s">
        <v>14</v>
      </c>
      <c r="G13" s="50" t="s">
        <v>8</v>
      </c>
      <c r="H13" s="51" t="s">
        <v>10</v>
      </c>
      <c r="I13" s="51" t="s">
        <v>12</v>
      </c>
      <c r="J13" s="51" t="s">
        <v>13</v>
      </c>
      <c r="K13" s="50" t="s">
        <v>3</v>
      </c>
      <c r="L13" s="50" t="s">
        <v>7</v>
      </c>
      <c r="M13" s="50" t="s">
        <v>5</v>
      </c>
      <c r="N13" s="50" t="s">
        <v>6</v>
      </c>
    </row>
    <row r="14" spans="1:14" s="48" customFormat="1" ht="90" customHeight="1" x14ac:dyDescent="0.3">
      <c r="A14" s="50">
        <v>225065</v>
      </c>
      <c r="B14" s="50">
        <v>430</v>
      </c>
      <c r="C14" s="52">
        <v>0.5</v>
      </c>
      <c r="D14" s="50">
        <v>22</v>
      </c>
      <c r="E14" s="53" t="s">
        <v>85</v>
      </c>
      <c r="F14" s="50" t="s">
        <v>23</v>
      </c>
      <c r="G14" s="50">
        <v>430</v>
      </c>
      <c r="H14" s="52" t="s">
        <v>24</v>
      </c>
      <c r="I14" s="50" t="s">
        <v>24</v>
      </c>
      <c r="J14" s="50" t="s">
        <v>24</v>
      </c>
      <c r="K14" s="50" t="s">
        <v>86</v>
      </c>
      <c r="L14" s="54">
        <v>1500</v>
      </c>
      <c r="M14" s="55"/>
      <c r="N14" s="54">
        <f>L14-M14</f>
        <v>1500</v>
      </c>
    </row>
    <row r="15" spans="1:14" s="48" customFormat="1" ht="90" customHeight="1" x14ac:dyDescent="0.3">
      <c r="A15" s="50">
        <v>225066</v>
      </c>
      <c r="B15" s="50">
        <v>430</v>
      </c>
      <c r="C15" s="52">
        <v>0.5</v>
      </c>
      <c r="D15" s="50">
        <v>22</v>
      </c>
      <c r="E15" s="53" t="s">
        <v>87</v>
      </c>
      <c r="F15" s="50" t="s">
        <v>23</v>
      </c>
      <c r="G15" s="50">
        <v>430</v>
      </c>
      <c r="H15" s="52" t="s">
        <v>24</v>
      </c>
      <c r="I15" s="50" t="s">
        <v>24</v>
      </c>
      <c r="J15" s="50" t="s">
        <v>24</v>
      </c>
      <c r="K15" s="50" t="s">
        <v>86</v>
      </c>
      <c r="L15" s="54">
        <v>1500</v>
      </c>
      <c r="M15" s="55"/>
      <c r="N15" s="54">
        <f t="shared" ref="N15:N19" si="1">L15-M15</f>
        <v>1500</v>
      </c>
    </row>
    <row r="16" spans="1:14" s="48" customFormat="1" ht="90" hidden="1" customHeight="1" x14ac:dyDescent="0.3">
      <c r="A16" s="50"/>
      <c r="B16" s="50"/>
      <c r="C16" s="52"/>
      <c r="D16" s="50"/>
      <c r="E16" s="53"/>
      <c r="F16" s="50"/>
      <c r="G16" s="50"/>
      <c r="H16" s="52"/>
      <c r="I16" s="50"/>
      <c r="J16" s="50"/>
      <c r="K16" s="50"/>
      <c r="L16" s="54"/>
      <c r="M16" s="55"/>
      <c r="N16" s="54">
        <f t="shared" si="1"/>
        <v>0</v>
      </c>
    </row>
    <row r="17" spans="1:14" s="48" customFormat="1" ht="90" hidden="1" customHeight="1" x14ac:dyDescent="0.3">
      <c r="A17" s="50"/>
      <c r="B17" s="50"/>
      <c r="C17" s="52"/>
      <c r="D17" s="50"/>
      <c r="E17" s="53"/>
      <c r="F17" s="50"/>
      <c r="G17" s="50"/>
      <c r="H17" s="52"/>
      <c r="I17" s="50"/>
      <c r="J17" s="50"/>
      <c r="K17" s="50"/>
      <c r="L17" s="54"/>
      <c r="M17" s="55"/>
      <c r="N17" s="54">
        <f t="shared" si="1"/>
        <v>0</v>
      </c>
    </row>
    <row r="18" spans="1:14" s="48" customFormat="1" ht="90" hidden="1" customHeight="1" x14ac:dyDescent="0.3">
      <c r="A18" s="50"/>
      <c r="B18" s="50"/>
      <c r="C18" s="52"/>
      <c r="D18" s="50"/>
      <c r="E18" s="53"/>
      <c r="F18" s="50"/>
      <c r="G18" s="50"/>
      <c r="H18" s="52"/>
      <c r="I18" s="50"/>
      <c r="J18" s="50"/>
      <c r="K18" s="50"/>
      <c r="L18" s="54"/>
      <c r="M18" s="55"/>
      <c r="N18" s="54">
        <f t="shared" si="1"/>
        <v>0</v>
      </c>
    </row>
    <row r="19" spans="1:14" s="48" customFormat="1" ht="90" customHeight="1" x14ac:dyDescent="0.3">
      <c r="A19" s="50"/>
      <c r="B19" s="50"/>
      <c r="C19" s="52"/>
      <c r="D19" s="50"/>
      <c r="E19" s="53"/>
      <c r="F19" s="50"/>
      <c r="G19" s="50"/>
      <c r="H19" s="52"/>
      <c r="I19" s="50"/>
      <c r="J19" s="50"/>
      <c r="K19" s="50"/>
      <c r="L19" s="50"/>
      <c r="M19" s="55"/>
      <c r="N19" s="54">
        <f t="shared" si="1"/>
        <v>0</v>
      </c>
    </row>
    <row r="20" spans="1:14" s="48" customFormat="1" ht="90" customHeight="1" x14ac:dyDescent="0.3">
      <c r="A20" s="57"/>
      <c r="B20" s="57"/>
      <c r="C20" s="58"/>
      <c r="D20" s="57"/>
      <c r="E20" s="59"/>
      <c r="F20" s="57"/>
      <c r="G20" s="57"/>
      <c r="H20" s="58"/>
      <c r="I20" s="57"/>
      <c r="J20" s="57"/>
      <c r="K20" s="57"/>
      <c r="L20" s="54">
        <f>SUM(L14:L19)</f>
        <v>3000</v>
      </c>
      <c r="M20" s="60">
        <f>SUM(M14:M19)</f>
        <v>0</v>
      </c>
      <c r="N20" s="54">
        <f>SUM(N14:N19)</f>
        <v>3000</v>
      </c>
    </row>
    <row r="22" spans="1:14" s="47" customFormat="1" ht="90" customHeight="1" x14ac:dyDescent="0.3">
      <c r="A22" s="112" t="s">
        <v>44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4"/>
    </row>
    <row r="23" spans="1:14" s="47" customFormat="1" ht="90" customHeight="1" x14ac:dyDescent="0.3">
      <c r="A23" s="50" t="s">
        <v>0</v>
      </c>
      <c r="B23" s="50" t="s">
        <v>9</v>
      </c>
      <c r="C23" s="51" t="s">
        <v>11</v>
      </c>
      <c r="D23" s="50" t="s">
        <v>2</v>
      </c>
      <c r="E23" s="50" t="s">
        <v>1</v>
      </c>
      <c r="F23" s="50" t="s">
        <v>14</v>
      </c>
      <c r="G23" s="50" t="s">
        <v>8</v>
      </c>
      <c r="H23" s="51" t="s">
        <v>10</v>
      </c>
      <c r="I23" s="51" t="s">
        <v>12</v>
      </c>
      <c r="J23" s="51" t="s">
        <v>13</v>
      </c>
      <c r="K23" s="50" t="s">
        <v>3</v>
      </c>
      <c r="L23" s="50" t="s">
        <v>7</v>
      </c>
      <c r="M23" s="50" t="s">
        <v>5</v>
      </c>
      <c r="N23" s="50" t="s">
        <v>6</v>
      </c>
    </row>
    <row r="24" spans="1:14" s="48" customFormat="1" ht="90" customHeight="1" x14ac:dyDescent="0.3">
      <c r="A24" s="50" t="s">
        <v>89</v>
      </c>
      <c r="B24" s="50">
        <v>304</v>
      </c>
      <c r="C24" s="52">
        <v>0.8</v>
      </c>
      <c r="D24" s="50">
        <v>37.700000000000003</v>
      </c>
      <c r="E24" s="53" t="s">
        <v>90</v>
      </c>
      <c r="F24" s="50" t="s">
        <v>42</v>
      </c>
      <c r="G24" s="50" t="s">
        <v>24</v>
      </c>
      <c r="H24" s="52">
        <v>0.6</v>
      </c>
      <c r="I24" s="50">
        <v>157</v>
      </c>
      <c r="J24" s="52">
        <v>4</v>
      </c>
      <c r="K24" s="50" t="s">
        <v>74</v>
      </c>
      <c r="L24" s="54">
        <v>3200</v>
      </c>
      <c r="M24" s="55">
        <f>660+2000</f>
        <v>2660</v>
      </c>
      <c r="N24" s="54">
        <f>L24-M24</f>
        <v>540</v>
      </c>
    </row>
    <row r="25" spans="1:14" s="48" customFormat="1" ht="90" customHeight="1" x14ac:dyDescent="0.3">
      <c r="A25" s="50">
        <v>10925</v>
      </c>
      <c r="B25" s="50">
        <v>430</v>
      </c>
      <c r="C25" s="52">
        <v>0.8</v>
      </c>
      <c r="D25" s="50">
        <v>36.5</v>
      </c>
      <c r="E25" s="53" t="s">
        <v>88</v>
      </c>
      <c r="F25" s="50" t="s">
        <v>24</v>
      </c>
      <c r="G25" s="50" t="s">
        <v>24</v>
      </c>
      <c r="H25" s="52" t="s">
        <v>24</v>
      </c>
      <c r="I25" s="50" t="s">
        <v>24</v>
      </c>
      <c r="J25" s="52" t="s">
        <v>24</v>
      </c>
      <c r="K25" s="50" t="s">
        <v>24</v>
      </c>
      <c r="L25" s="54">
        <v>3300</v>
      </c>
      <c r="M25" s="55"/>
      <c r="N25" s="54">
        <f t="shared" ref="N25:N32" si="2">L25-M25</f>
        <v>3300</v>
      </c>
    </row>
    <row r="26" spans="1:14" s="48" customFormat="1" ht="90" customHeight="1" x14ac:dyDescent="0.3">
      <c r="A26" s="50">
        <v>10925</v>
      </c>
      <c r="B26" s="50">
        <v>430</v>
      </c>
      <c r="C26" s="52">
        <v>0.8</v>
      </c>
      <c r="D26" s="50">
        <v>31.3</v>
      </c>
      <c r="E26" s="53" t="s">
        <v>91</v>
      </c>
      <c r="F26" s="50" t="s">
        <v>42</v>
      </c>
      <c r="G26" s="50" t="s">
        <v>24</v>
      </c>
      <c r="H26" s="52" t="s">
        <v>24</v>
      </c>
      <c r="I26" s="50" t="s">
        <v>24</v>
      </c>
      <c r="J26" s="52" t="s">
        <v>24</v>
      </c>
      <c r="K26" s="50" t="s">
        <v>24</v>
      </c>
      <c r="L26" s="54">
        <v>3100</v>
      </c>
      <c r="M26" s="55"/>
      <c r="N26" s="54">
        <f t="shared" si="2"/>
        <v>3100</v>
      </c>
    </row>
    <row r="27" spans="1:14" s="48" customFormat="1" ht="90" customHeight="1" x14ac:dyDescent="0.3">
      <c r="A27" s="50">
        <v>10925</v>
      </c>
      <c r="B27" s="50">
        <v>430</v>
      </c>
      <c r="C27" s="52">
        <v>0.8</v>
      </c>
      <c r="D27" s="50">
        <v>26.5</v>
      </c>
      <c r="E27" s="53" t="s">
        <v>92</v>
      </c>
      <c r="F27" s="50" t="s">
        <v>24</v>
      </c>
      <c r="G27" s="50" t="s">
        <v>24</v>
      </c>
      <c r="H27" s="52" t="s">
        <v>24</v>
      </c>
      <c r="I27" s="50" t="s">
        <v>24</v>
      </c>
      <c r="J27" s="52" t="s">
        <v>24</v>
      </c>
      <c r="K27" s="50" t="s">
        <v>24</v>
      </c>
      <c r="L27" s="54">
        <v>3100</v>
      </c>
      <c r="M27" s="55"/>
      <c r="N27" s="54">
        <f t="shared" si="2"/>
        <v>3100</v>
      </c>
    </row>
    <row r="28" spans="1:14" s="48" customFormat="1" ht="90" customHeight="1" x14ac:dyDescent="0.3">
      <c r="A28" s="50"/>
      <c r="B28" s="50"/>
      <c r="C28" s="52"/>
      <c r="D28" s="50"/>
      <c r="E28" s="53"/>
      <c r="F28" s="50"/>
      <c r="G28" s="50"/>
      <c r="H28" s="52"/>
      <c r="I28" s="50"/>
      <c r="J28" s="52"/>
      <c r="K28" s="50"/>
      <c r="L28" s="54"/>
      <c r="M28" s="55"/>
      <c r="N28" s="54">
        <f t="shared" si="2"/>
        <v>0</v>
      </c>
    </row>
    <row r="29" spans="1:14" s="48" customFormat="1" ht="90" customHeight="1" x14ac:dyDescent="0.3">
      <c r="A29" s="50">
        <v>250074</v>
      </c>
      <c r="B29" s="50">
        <v>304</v>
      </c>
      <c r="C29" s="52">
        <v>0.7</v>
      </c>
      <c r="D29" s="50">
        <v>26.5</v>
      </c>
      <c r="E29" s="53" t="s">
        <v>73</v>
      </c>
      <c r="F29" s="50" t="s">
        <v>23</v>
      </c>
      <c r="G29" s="50">
        <v>430</v>
      </c>
      <c r="H29" s="52">
        <v>0.6</v>
      </c>
      <c r="I29" s="50">
        <v>98</v>
      </c>
      <c r="J29" s="52">
        <v>3</v>
      </c>
      <c r="K29" s="50" t="s">
        <v>74</v>
      </c>
      <c r="L29" s="54">
        <v>708</v>
      </c>
      <c r="M29" s="55"/>
      <c r="N29" s="54">
        <f t="shared" si="2"/>
        <v>708</v>
      </c>
    </row>
    <row r="30" spans="1:14" s="48" customFormat="1" ht="90" customHeight="1" x14ac:dyDescent="0.3">
      <c r="A30" s="50">
        <v>250074</v>
      </c>
      <c r="B30" s="50">
        <v>304</v>
      </c>
      <c r="C30" s="52">
        <v>0.7</v>
      </c>
      <c r="D30" s="50">
        <v>30.7</v>
      </c>
      <c r="E30" s="53" t="s">
        <v>75</v>
      </c>
      <c r="F30" s="50" t="s">
        <v>23</v>
      </c>
      <c r="G30" s="50">
        <v>430</v>
      </c>
      <c r="H30" s="52">
        <v>0.6</v>
      </c>
      <c r="I30" s="50" t="s">
        <v>24</v>
      </c>
      <c r="J30" s="52" t="s">
        <v>24</v>
      </c>
      <c r="K30" s="50" t="s">
        <v>74</v>
      </c>
      <c r="L30" s="54">
        <v>708</v>
      </c>
      <c r="M30" s="55"/>
      <c r="N30" s="54">
        <f t="shared" si="2"/>
        <v>708</v>
      </c>
    </row>
    <row r="31" spans="1:14" s="48" customFormat="1" ht="90" customHeight="1" x14ac:dyDescent="0.3">
      <c r="A31" s="50">
        <v>250074</v>
      </c>
      <c r="B31" s="50">
        <v>304</v>
      </c>
      <c r="C31" s="52">
        <v>0.7</v>
      </c>
      <c r="D31" s="50">
        <v>32.4</v>
      </c>
      <c r="E31" s="53" t="s">
        <v>76</v>
      </c>
      <c r="F31" s="50" t="s">
        <v>23</v>
      </c>
      <c r="G31" s="50">
        <v>430</v>
      </c>
      <c r="H31" s="52">
        <v>0.6</v>
      </c>
      <c r="I31" s="50" t="s">
        <v>24</v>
      </c>
      <c r="J31" s="52" t="s">
        <v>24</v>
      </c>
      <c r="K31" s="50" t="s">
        <v>74</v>
      </c>
      <c r="L31" s="54">
        <v>708</v>
      </c>
      <c r="M31" s="55">
        <v>708</v>
      </c>
      <c r="N31" s="54">
        <f t="shared" si="2"/>
        <v>0</v>
      </c>
    </row>
    <row r="32" spans="1:14" s="48" customFormat="1" ht="90" customHeight="1" x14ac:dyDescent="0.3">
      <c r="A32" s="50"/>
      <c r="B32" s="50"/>
      <c r="C32" s="52"/>
      <c r="D32" s="50"/>
      <c r="E32" s="53"/>
      <c r="F32" s="50"/>
      <c r="G32" s="50"/>
      <c r="H32" s="52"/>
      <c r="I32" s="50"/>
      <c r="J32" s="52"/>
      <c r="K32" s="50"/>
      <c r="L32" s="50"/>
      <c r="M32" s="55"/>
      <c r="N32" s="54">
        <f t="shared" si="2"/>
        <v>0</v>
      </c>
    </row>
    <row r="33" spans="1:14" s="48" customFormat="1" ht="90" customHeight="1" x14ac:dyDescent="0.3">
      <c r="A33" s="57"/>
      <c r="B33" s="57"/>
      <c r="C33" s="58"/>
      <c r="D33" s="57"/>
      <c r="E33" s="59"/>
      <c r="F33" s="57"/>
      <c r="G33" s="57"/>
      <c r="H33" s="58"/>
      <c r="I33" s="57"/>
      <c r="J33" s="57"/>
      <c r="K33" s="57"/>
      <c r="L33" s="54">
        <f>SUM(L24:L32)</f>
        <v>14824</v>
      </c>
      <c r="M33" s="60">
        <f>SUM(M24:M32)</f>
        <v>3368</v>
      </c>
      <c r="N33" s="54">
        <f>SUM(N24:N32)</f>
        <v>11456</v>
      </c>
    </row>
    <row r="35" spans="1:14" s="49" customFormat="1" ht="90" customHeight="1" x14ac:dyDescent="0.3">
      <c r="A35" s="112" t="s">
        <v>93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49" customFormat="1" ht="90" customHeight="1" x14ac:dyDescent="0.3">
      <c r="A36" s="50" t="s">
        <v>0</v>
      </c>
      <c r="B36" s="50" t="s">
        <v>9</v>
      </c>
      <c r="C36" s="51" t="s">
        <v>11</v>
      </c>
      <c r="D36" s="50" t="s">
        <v>2</v>
      </c>
      <c r="E36" s="50" t="s">
        <v>1</v>
      </c>
      <c r="F36" s="104" t="s">
        <v>94</v>
      </c>
      <c r="G36" s="105"/>
      <c r="H36" s="105"/>
      <c r="I36" s="105"/>
      <c r="J36" s="105"/>
      <c r="K36" s="106"/>
      <c r="L36" s="50" t="s">
        <v>7</v>
      </c>
      <c r="M36" s="50" t="s">
        <v>5</v>
      </c>
      <c r="N36" s="50" t="s">
        <v>6</v>
      </c>
    </row>
    <row r="37" spans="1:14" s="56" customFormat="1" ht="90" customHeight="1" x14ac:dyDescent="0.3">
      <c r="A37" s="50">
        <v>210825</v>
      </c>
      <c r="B37" s="50">
        <v>304</v>
      </c>
      <c r="C37" s="52">
        <v>0.5</v>
      </c>
      <c r="D37" s="55" t="s">
        <v>71</v>
      </c>
      <c r="E37" s="53" t="s">
        <v>78</v>
      </c>
      <c r="F37" s="104"/>
      <c r="G37" s="105"/>
      <c r="H37" s="105"/>
      <c r="I37" s="105"/>
      <c r="J37" s="105"/>
      <c r="K37" s="106"/>
      <c r="L37" s="54">
        <v>4000</v>
      </c>
      <c r="M37" s="55">
        <v>4000</v>
      </c>
      <c r="N37" s="54">
        <f>L37-M37</f>
        <v>0</v>
      </c>
    </row>
    <row r="38" spans="1:14" s="56" customFormat="1" ht="90" customHeight="1" x14ac:dyDescent="0.3">
      <c r="A38" s="50">
        <v>210825</v>
      </c>
      <c r="B38" s="50">
        <v>304</v>
      </c>
      <c r="C38" s="52">
        <v>0.5</v>
      </c>
      <c r="D38" s="55">
        <v>21</v>
      </c>
      <c r="E38" s="53" t="s">
        <v>95</v>
      </c>
      <c r="F38" s="104" t="s">
        <v>96</v>
      </c>
      <c r="G38" s="105"/>
      <c r="H38" s="105"/>
      <c r="I38" s="105"/>
      <c r="J38" s="105"/>
      <c r="K38" s="106"/>
      <c r="L38" s="54">
        <v>4000</v>
      </c>
      <c r="M38" s="55">
        <v>2850</v>
      </c>
      <c r="N38" s="54">
        <f t="shared" ref="N38:N45" si="3">L38-M38</f>
        <v>1150</v>
      </c>
    </row>
    <row r="39" spans="1:14" s="56" customFormat="1" ht="90" hidden="1" customHeight="1" x14ac:dyDescent="0.3">
      <c r="A39" s="50"/>
      <c r="B39" s="50"/>
      <c r="C39" s="52"/>
      <c r="D39" s="50"/>
      <c r="E39" s="53"/>
      <c r="F39" s="50"/>
      <c r="G39" s="50"/>
      <c r="H39" s="52"/>
      <c r="I39" s="50"/>
      <c r="J39" s="50"/>
      <c r="K39" s="50"/>
      <c r="L39" s="54"/>
      <c r="M39" s="55"/>
      <c r="N39" s="54">
        <f t="shared" si="3"/>
        <v>0</v>
      </c>
    </row>
    <row r="40" spans="1:14" s="56" customFormat="1" ht="90" hidden="1" customHeight="1" x14ac:dyDescent="0.3">
      <c r="A40" s="50"/>
      <c r="B40" s="50"/>
      <c r="C40" s="52"/>
      <c r="D40" s="50"/>
      <c r="E40" s="53"/>
      <c r="F40" s="50"/>
      <c r="G40" s="50"/>
      <c r="H40" s="52"/>
      <c r="I40" s="50"/>
      <c r="J40" s="50"/>
      <c r="K40" s="50"/>
      <c r="L40" s="54"/>
      <c r="M40" s="55"/>
      <c r="N40" s="54">
        <f t="shared" si="3"/>
        <v>0</v>
      </c>
    </row>
    <row r="41" spans="1:14" s="56" customFormat="1" ht="90" hidden="1" customHeight="1" x14ac:dyDescent="0.3">
      <c r="A41" s="50"/>
      <c r="B41" s="50"/>
      <c r="C41" s="52"/>
      <c r="D41" s="50"/>
      <c r="E41" s="53"/>
      <c r="F41" s="50"/>
      <c r="G41" s="50"/>
      <c r="H41" s="52"/>
      <c r="I41" s="50"/>
      <c r="J41" s="50"/>
      <c r="K41" s="50"/>
      <c r="L41" s="54"/>
      <c r="M41" s="55"/>
      <c r="N41" s="54">
        <f t="shared" si="3"/>
        <v>0</v>
      </c>
    </row>
    <row r="42" spans="1:14" s="56" customFormat="1" ht="90" hidden="1" customHeight="1" x14ac:dyDescent="0.3">
      <c r="A42" s="50"/>
      <c r="B42" s="50"/>
      <c r="C42" s="52"/>
      <c r="D42" s="50"/>
      <c r="E42" s="53"/>
      <c r="F42" s="50"/>
      <c r="G42" s="50"/>
      <c r="H42" s="52"/>
      <c r="I42" s="50"/>
      <c r="J42" s="50"/>
      <c r="K42" s="50"/>
      <c r="L42" s="54"/>
      <c r="M42" s="55"/>
      <c r="N42" s="54">
        <f t="shared" si="3"/>
        <v>0</v>
      </c>
    </row>
    <row r="43" spans="1:14" s="56" customFormat="1" ht="90" hidden="1" customHeight="1" x14ac:dyDescent="0.3">
      <c r="A43" s="50"/>
      <c r="B43" s="50"/>
      <c r="C43" s="52"/>
      <c r="D43" s="50"/>
      <c r="E43" s="53"/>
      <c r="F43" s="50"/>
      <c r="G43" s="50"/>
      <c r="H43" s="52"/>
      <c r="I43" s="50"/>
      <c r="J43" s="50"/>
      <c r="K43" s="50"/>
      <c r="L43" s="54"/>
      <c r="M43" s="55"/>
      <c r="N43" s="54">
        <f t="shared" si="3"/>
        <v>0</v>
      </c>
    </row>
    <row r="44" spans="1:14" s="56" customFormat="1" ht="90" hidden="1" customHeight="1" x14ac:dyDescent="0.3">
      <c r="A44" s="50"/>
      <c r="B44" s="50"/>
      <c r="C44" s="52"/>
      <c r="D44" s="50"/>
      <c r="E44" s="53"/>
      <c r="F44" s="50"/>
      <c r="G44" s="50"/>
      <c r="H44" s="52"/>
      <c r="I44" s="50"/>
      <c r="J44" s="50"/>
      <c r="K44" s="50"/>
      <c r="L44" s="54"/>
      <c r="M44" s="55"/>
      <c r="N44" s="54">
        <f t="shared" si="3"/>
        <v>0</v>
      </c>
    </row>
    <row r="45" spans="1:14" s="56" customFormat="1" ht="90" customHeight="1" x14ac:dyDescent="0.3">
      <c r="A45" s="50"/>
      <c r="B45" s="50"/>
      <c r="C45" s="52"/>
      <c r="D45" s="50"/>
      <c r="E45" s="53"/>
      <c r="F45" s="104"/>
      <c r="G45" s="105"/>
      <c r="H45" s="105"/>
      <c r="I45" s="105"/>
      <c r="J45" s="105"/>
      <c r="K45" s="106"/>
      <c r="L45" s="50"/>
      <c r="M45" s="55"/>
      <c r="N45" s="54">
        <f t="shared" si="3"/>
        <v>0</v>
      </c>
    </row>
    <row r="46" spans="1:14" s="56" customFormat="1" ht="90" customHeight="1" x14ac:dyDescent="0.3">
      <c r="A46" s="57"/>
      <c r="B46" s="57"/>
      <c r="C46" s="58"/>
      <c r="D46" s="57"/>
      <c r="E46" s="59"/>
      <c r="F46" s="57"/>
      <c r="G46" s="57"/>
      <c r="H46" s="58"/>
      <c r="I46" s="57"/>
      <c r="J46" s="57"/>
      <c r="K46" s="57"/>
      <c r="L46" s="54">
        <f>SUM(L37:L45)</f>
        <v>8000</v>
      </c>
      <c r="M46" s="60">
        <f>SUM(M37:M45)</f>
        <v>6850</v>
      </c>
      <c r="N46" s="54">
        <f>SUM(N37:N45)</f>
        <v>1150</v>
      </c>
    </row>
  </sheetData>
  <mergeCells count="10">
    <mergeCell ref="A1:C1"/>
    <mergeCell ref="L1:N1"/>
    <mergeCell ref="A2:N2"/>
    <mergeCell ref="A12:N12"/>
    <mergeCell ref="A22:N22"/>
    <mergeCell ref="F45:K45"/>
    <mergeCell ref="A35:N35"/>
    <mergeCell ref="F36:K36"/>
    <mergeCell ref="F37:K37"/>
    <mergeCell ref="F38:K38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3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6"/>
  <sheetViews>
    <sheetView topLeftCell="A29" zoomScale="25" zoomScaleNormal="25" workbookViewId="0">
      <selection activeCell="M37" sqref="M37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40.77734375" style="2" bestFit="1" customWidth="1"/>
    <col min="6" max="6" width="32.109375" style="2" bestFit="1" customWidth="1"/>
    <col min="7" max="7" width="21.88671875" style="2" bestFit="1" customWidth="1"/>
    <col min="8" max="8" width="22.6640625" style="2" customWidth="1"/>
    <col min="9" max="9" width="42.6640625" style="2" customWidth="1"/>
    <col min="10" max="10" width="37.88671875" style="2" customWidth="1"/>
    <col min="11" max="11" width="25.6640625" style="2" customWidth="1"/>
    <col min="12" max="14" width="20.6640625" style="2" customWidth="1"/>
    <col min="15" max="16384" width="8.88671875" style="3"/>
  </cols>
  <sheetData>
    <row r="1" spans="1:14" s="46" customFormat="1" ht="36.6" x14ac:dyDescent="0.3">
      <c r="A1" s="126"/>
      <c r="B1" s="126"/>
      <c r="C1" s="126"/>
      <c r="D1" s="44"/>
      <c r="E1" s="44"/>
      <c r="F1" s="44"/>
      <c r="G1" s="44"/>
      <c r="H1" s="44"/>
      <c r="I1" s="44"/>
      <c r="J1" s="44"/>
      <c r="K1" s="45" t="s">
        <v>16</v>
      </c>
      <c r="L1" s="127">
        <v>45913</v>
      </c>
      <c r="M1" s="127"/>
      <c r="N1" s="127"/>
    </row>
    <row r="2" spans="1:14" s="49" customFormat="1" ht="90" customHeight="1" x14ac:dyDescent="0.3">
      <c r="A2" s="112" t="s">
        <v>72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4"/>
    </row>
    <row r="3" spans="1:14" s="49" customFormat="1" ht="90" customHeight="1" x14ac:dyDescent="0.3">
      <c r="A3" s="50" t="s">
        <v>0</v>
      </c>
      <c r="B3" s="50" t="s">
        <v>9</v>
      </c>
      <c r="C3" s="51" t="s">
        <v>11</v>
      </c>
      <c r="D3" s="50" t="s">
        <v>2</v>
      </c>
      <c r="E3" s="50" t="s">
        <v>1</v>
      </c>
      <c r="F3" s="50" t="s">
        <v>14</v>
      </c>
      <c r="G3" s="50" t="s">
        <v>8</v>
      </c>
      <c r="H3" s="51" t="s">
        <v>10</v>
      </c>
      <c r="I3" s="51" t="s">
        <v>12</v>
      </c>
      <c r="J3" s="51" t="s">
        <v>13</v>
      </c>
      <c r="K3" s="50" t="s">
        <v>3</v>
      </c>
      <c r="L3" s="50" t="s">
        <v>7</v>
      </c>
      <c r="M3" s="50" t="s">
        <v>5</v>
      </c>
      <c r="N3" s="50" t="s">
        <v>6</v>
      </c>
    </row>
    <row r="4" spans="1:14" s="56" customFormat="1" ht="90" customHeight="1" x14ac:dyDescent="0.3">
      <c r="A4" s="50">
        <v>210825</v>
      </c>
      <c r="B4" s="50">
        <v>304</v>
      </c>
      <c r="C4" s="52">
        <v>0.8</v>
      </c>
      <c r="D4" s="50">
        <v>33</v>
      </c>
      <c r="E4" s="53" t="s">
        <v>77</v>
      </c>
      <c r="F4" s="50" t="s">
        <v>81</v>
      </c>
      <c r="G4" s="50" t="s">
        <v>24</v>
      </c>
      <c r="H4" s="52" t="s">
        <v>24</v>
      </c>
      <c r="I4" s="50" t="s">
        <v>24</v>
      </c>
      <c r="J4" s="50" t="s">
        <v>24</v>
      </c>
      <c r="K4" s="50" t="s">
        <v>24</v>
      </c>
      <c r="L4" s="54">
        <v>4000</v>
      </c>
      <c r="M4" s="55">
        <f>400+1000</f>
        <v>1400</v>
      </c>
      <c r="N4" s="54">
        <f>L4-M4</f>
        <v>2600</v>
      </c>
    </row>
    <row r="5" spans="1:14" s="56" customFormat="1" ht="90" hidden="1" customHeight="1" x14ac:dyDescent="0.3">
      <c r="A5" s="50"/>
      <c r="B5" s="50"/>
      <c r="C5" s="52"/>
      <c r="D5" s="50"/>
      <c r="E5" s="53"/>
      <c r="F5" s="50"/>
      <c r="G5" s="50"/>
      <c r="H5" s="52"/>
      <c r="I5" s="50"/>
      <c r="J5" s="50"/>
      <c r="K5" s="50"/>
      <c r="L5" s="54"/>
      <c r="M5" s="55"/>
      <c r="N5" s="54">
        <f t="shared" ref="N5:N9" si="0">L5-M5</f>
        <v>0</v>
      </c>
    </row>
    <row r="6" spans="1:14" s="56" customFormat="1" ht="90" hidden="1" customHeight="1" x14ac:dyDescent="0.3">
      <c r="A6" s="50"/>
      <c r="B6" s="50"/>
      <c r="C6" s="52"/>
      <c r="D6" s="50"/>
      <c r="E6" s="53"/>
      <c r="F6" s="50"/>
      <c r="G6" s="50"/>
      <c r="H6" s="52"/>
      <c r="I6" s="50"/>
      <c r="J6" s="50"/>
      <c r="K6" s="50"/>
      <c r="L6" s="54"/>
      <c r="M6" s="55"/>
      <c r="N6" s="54">
        <f t="shared" si="0"/>
        <v>0</v>
      </c>
    </row>
    <row r="7" spans="1:14" s="56" customFormat="1" ht="90" hidden="1" customHeight="1" x14ac:dyDescent="0.3">
      <c r="A7" s="50"/>
      <c r="B7" s="50"/>
      <c r="C7" s="52"/>
      <c r="D7" s="50"/>
      <c r="E7" s="53"/>
      <c r="F7" s="50"/>
      <c r="G7" s="50"/>
      <c r="H7" s="52"/>
      <c r="I7" s="50"/>
      <c r="J7" s="50"/>
      <c r="K7" s="50"/>
      <c r="L7" s="54"/>
      <c r="M7" s="55"/>
      <c r="N7" s="54">
        <f t="shared" si="0"/>
        <v>0</v>
      </c>
    </row>
    <row r="8" spans="1:14" s="56" customFormat="1" ht="90" hidden="1" customHeight="1" x14ac:dyDescent="0.3">
      <c r="A8" s="50"/>
      <c r="B8" s="50"/>
      <c r="C8" s="52"/>
      <c r="D8" s="50"/>
      <c r="E8" s="53"/>
      <c r="F8" s="50"/>
      <c r="G8" s="50"/>
      <c r="H8" s="52"/>
      <c r="I8" s="50"/>
      <c r="J8" s="50"/>
      <c r="K8" s="50"/>
      <c r="L8" s="54"/>
      <c r="M8" s="55"/>
      <c r="N8" s="54">
        <f t="shared" si="0"/>
        <v>0</v>
      </c>
    </row>
    <row r="9" spans="1:14" s="56" customFormat="1" ht="90" customHeight="1" x14ac:dyDescent="0.3">
      <c r="A9" s="50"/>
      <c r="B9" s="50"/>
      <c r="C9" s="52"/>
      <c r="D9" s="50"/>
      <c r="E9" s="53"/>
      <c r="F9" s="50"/>
      <c r="G9" s="50"/>
      <c r="H9" s="52"/>
      <c r="I9" s="50"/>
      <c r="J9" s="50"/>
      <c r="K9" s="50"/>
      <c r="L9" s="50"/>
      <c r="M9" s="55"/>
      <c r="N9" s="54">
        <f t="shared" si="0"/>
        <v>0</v>
      </c>
    </row>
    <row r="10" spans="1:14" s="56" customFormat="1" ht="90" customHeight="1" x14ac:dyDescent="0.3">
      <c r="A10" s="57"/>
      <c r="B10" s="57"/>
      <c r="C10" s="58"/>
      <c r="D10" s="57"/>
      <c r="E10" s="59"/>
      <c r="F10" s="57"/>
      <c r="G10" s="57"/>
      <c r="H10" s="58"/>
      <c r="I10" s="57"/>
      <c r="J10" s="57"/>
      <c r="K10" s="57"/>
      <c r="L10" s="54">
        <f>SUM(L4:L9)</f>
        <v>4000</v>
      </c>
      <c r="M10" s="60">
        <f>SUM(M4:M9)</f>
        <v>1400</v>
      </c>
      <c r="N10" s="54">
        <f>SUM(N4:N9)</f>
        <v>2600</v>
      </c>
    </row>
    <row r="12" spans="1:14" s="47" customFormat="1" ht="90" customHeight="1" x14ac:dyDescent="0.3">
      <c r="A12" s="112" t="s">
        <v>21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4"/>
    </row>
    <row r="13" spans="1:14" s="47" customFormat="1" ht="90" customHeight="1" x14ac:dyDescent="0.3">
      <c r="A13" s="50" t="s">
        <v>0</v>
      </c>
      <c r="B13" s="50" t="s">
        <v>9</v>
      </c>
      <c r="C13" s="51" t="s">
        <v>11</v>
      </c>
      <c r="D13" s="50" t="s">
        <v>2</v>
      </c>
      <c r="E13" s="50" t="s">
        <v>1</v>
      </c>
      <c r="F13" s="50" t="s">
        <v>14</v>
      </c>
      <c r="G13" s="50" t="s">
        <v>8</v>
      </c>
      <c r="H13" s="51" t="s">
        <v>10</v>
      </c>
      <c r="I13" s="51" t="s">
        <v>12</v>
      </c>
      <c r="J13" s="51" t="s">
        <v>13</v>
      </c>
      <c r="K13" s="50" t="s">
        <v>3</v>
      </c>
      <c r="L13" s="50" t="s">
        <v>7</v>
      </c>
      <c r="M13" s="50" t="s">
        <v>5</v>
      </c>
      <c r="N13" s="50" t="s">
        <v>6</v>
      </c>
    </row>
    <row r="14" spans="1:14" s="48" customFormat="1" ht="90" customHeight="1" x14ac:dyDescent="0.3">
      <c r="A14" s="50">
        <v>225065</v>
      </c>
      <c r="B14" s="50">
        <v>430</v>
      </c>
      <c r="C14" s="52">
        <v>0.5</v>
      </c>
      <c r="D14" s="50">
        <v>22</v>
      </c>
      <c r="E14" s="53" t="s">
        <v>85</v>
      </c>
      <c r="F14" s="50" t="s">
        <v>23</v>
      </c>
      <c r="G14" s="50">
        <v>430</v>
      </c>
      <c r="H14" s="52" t="s">
        <v>24</v>
      </c>
      <c r="I14" s="50" t="s">
        <v>24</v>
      </c>
      <c r="J14" s="50" t="s">
        <v>24</v>
      </c>
      <c r="K14" s="50" t="s">
        <v>86</v>
      </c>
      <c r="L14" s="54">
        <v>1500</v>
      </c>
      <c r="M14" s="55">
        <v>1500</v>
      </c>
      <c r="N14" s="54">
        <f>L14-M14</f>
        <v>0</v>
      </c>
    </row>
    <row r="15" spans="1:14" s="48" customFormat="1" ht="90" customHeight="1" x14ac:dyDescent="0.3">
      <c r="A15" s="50">
        <v>225066</v>
      </c>
      <c r="B15" s="50">
        <v>430</v>
      </c>
      <c r="C15" s="52">
        <v>0.5</v>
      </c>
      <c r="D15" s="50">
        <v>22</v>
      </c>
      <c r="E15" s="53" t="s">
        <v>87</v>
      </c>
      <c r="F15" s="50" t="s">
        <v>23</v>
      </c>
      <c r="G15" s="50">
        <v>430</v>
      </c>
      <c r="H15" s="52" t="s">
        <v>24</v>
      </c>
      <c r="I15" s="50" t="s">
        <v>24</v>
      </c>
      <c r="J15" s="50" t="s">
        <v>24</v>
      </c>
      <c r="K15" s="50" t="s">
        <v>86</v>
      </c>
      <c r="L15" s="54">
        <v>1500</v>
      </c>
      <c r="M15" s="55">
        <v>30</v>
      </c>
      <c r="N15" s="54">
        <f t="shared" ref="N15:N19" si="1">L15-M15</f>
        <v>1470</v>
      </c>
    </row>
    <row r="16" spans="1:14" s="48" customFormat="1" ht="90" hidden="1" customHeight="1" x14ac:dyDescent="0.3">
      <c r="A16" s="50"/>
      <c r="B16" s="50"/>
      <c r="C16" s="52"/>
      <c r="D16" s="50"/>
      <c r="E16" s="53"/>
      <c r="F16" s="50"/>
      <c r="G16" s="50"/>
      <c r="H16" s="52"/>
      <c r="I16" s="50"/>
      <c r="J16" s="50"/>
      <c r="K16" s="50"/>
      <c r="L16" s="54"/>
      <c r="M16" s="55"/>
      <c r="N16" s="54">
        <f t="shared" si="1"/>
        <v>0</v>
      </c>
    </row>
    <row r="17" spans="1:14" s="48" customFormat="1" ht="90" hidden="1" customHeight="1" x14ac:dyDescent="0.3">
      <c r="A17" s="50"/>
      <c r="B17" s="50"/>
      <c r="C17" s="52"/>
      <c r="D17" s="50"/>
      <c r="E17" s="53"/>
      <c r="F17" s="50"/>
      <c r="G17" s="50"/>
      <c r="H17" s="52"/>
      <c r="I17" s="50"/>
      <c r="J17" s="50"/>
      <c r="K17" s="50"/>
      <c r="L17" s="54"/>
      <c r="M17" s="55"/>
      <c r="N17" s="54">
        <f t="shared" si="1"/>
        <v>0</v>
      </c>
    </row>
    <row r="18" spans="1:14" s="48" customFormat="1" ht="90" hidden="1" customHeight="1" x14ac:dyDescent="0.3">
      <c r="A18" s="50"/>
      <c r="B18" s="50"/>
      <c r="C18" s="52"/>
      <c r="D18" s="50"/>
      <c r="E18" s="53"/>
      <c r="F18" s="50"/>
      <c r="G18" s="50"/>
      <c r="H18" s="52"/>
      <c r="I18" s="50"/>
      <c r="J18" s="50"/>
      <c r="K18" s="50"/>
      <c r="L18" s="54"/>
      <c r="M18" s="55"/>
      <c r="N18" s="54">
        <f t="shared" si="1"/>
        <v>0</v>
      </c>
    </row>
    <row r="19" spans="1:14" s="48" customFormat="1" ht="90" customHeight="1" x14ac:dyDescent="0.3">
      <c r="A19" s="50"/>
      <c r="B19" s="50"/>
      <c r="C19" s="52"/>
      <c r="D19" s="50"/>
      <c r="E19" s="53"/>
      <c r="F19" s="50"/>
      <c r="G19" s="50"/>
      <c r="H19" s="52"/>
      <c r="I19" s="50"/>
      <c r="J19" s="50"/>
      <c r="K19" s="50"/>
      <c r="L19" s="50"/>
      <c r="M19" s="55"/>
      <c r="N19" s="54">
        <f t="shared" si="1"/>
        <v>0</v>
      </c>
    </row>
    <row r="20" spans="1:14" s="48" customFormat="1" ht="90" customHeight="1" x14ac:dyDescent="0.3">
      <c r="A20" s="57"/>
      <c r="B20" s="57"/>
      <c r="C20" s="58"/>
      <c r="D20" s="57"/>
      <c r="E20" s="59"/>
      <c r="F20" s="57"/>
      <c r="G20" s="57"/>
      <c r="H20" s="58"/>
      <c r="I20" s="57"/>
      <c r="J20" s="57"/>
      <c r="K20" s="57"/>
      <c r="L20" s="54">
        <f>SUM(L14:L19)</f>
        <v>3000</v>
      </c>
      <c r="M20" s="60">
        <f>SUM(M14:M19)</f>
        <v>1530</v>
      </c>
      <c r="N20" s="54">
        <f>SUM(N14:N19)</f>
        <v>1470</v>
      </c>
    </row>
    <row r="22" spans="1:14" s="47" customFormat="1" ht="90" customHeight="1" x14ac:dyDescent="0.3">
      <c r="A22" s="112" t="s">
        <v>44</v>
      </c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4"/>
    </row>
    <row r="23" spans="1:14" s="47" customFormat="1" ht="90" customHeight="1" x14ac:dyDescent="0.3">
      <c r="A23" s="50" t="s">
        <v>0</v>
      </c>
      <c r="B23" s="50" t="s">
        <v>9</v>
      </c>
      <c r="C23" s="51" t="s">
        <v>11</v>
      </c>
      <c r="D23" s="50" t="s">
        <v>2</v>
      </c>
      <c r="E23" s="50" t="s">
        <v>1</v>
      </c>
      <c r="F23" s="50" t="s">
        <v>14</v>
      </c>
      <c r="G23" s="50" t="s">
        <v>8</v>
      </c>
      <c r="H23" s="51" t="s">
        <v>10</v>
      </c>
      <c r="I23" s="51" t="s">
        <v>12</v>
      </c>
      <c r="J23" s="51" t="s">
        <v>13</v>
      </c>
      <c r="K23" s="50" t="s">
        <v>3</v>
      </c>
      <c r="L23" s="50" t="s">
        <v>7</v>
      </c>
      <c r="M23" s="50" t="s">
        <v>5</v>
      </c>
      <c r="N23" s="50" t="s">
        <v>6</v>
      </c>
    </row>
    <row r="24" spans="1:14" s="48" customFormat="1" ht="90" customHeight="1" x14ac:dyDescent="0.3">
      <c r="A24" s="50" t="s">
        <v>89</v>
      </c>
      <c r="B24" s="50">
        <v>304</v>
      </c>
      <c r="C24" s="52">
        <v>0.8</v>
      </c>
      <c r="D24" s="50">
        <v>37.700000000000003</v>
      </c>
      <c r="E24" s="53" t="s">
        <v>90</v>
      </c>
      <c r="F24" s="50" t="s">
        <v>42</v>
      </c>
      <c r="G24" s="50" t="s">
        <v>24</v>
      </c>
      <c r="H24" s="52">
        <v>0.6</v>
      </c>
      <c r="I24" s="50">
        <v>157</v>
      </c>
      <c r="J24" s="52">
        <v>4</v>
      </c>
      <c r="K24" s="50" t="s">
        <v>74</v>
      </c>
      <c r="L24" s="54">
        <v>3200</v>
      </c>
      <c r="M24" s="55">
        <f>660+2000+850</f>
        <v>3510</v>
      </c>
      <c r="N24" s="54">
        <f>L24-M24</f>
        <v>-310</v>
      </c>
    </row>
    <row r="25" spans="1:14" s="48" customFormat="1" ht="90" customHeight="1" x14ac:dyDescent="0.3">
      <c r="A25" s="50">
        <v>10925</v>
      </c>
      <c r="B25" s="50">
        <v>430</v>
      </c>
      <c r="C25" s="52">
        <v>0.8</v>
      </c>
      <c r="D25" s="50">
        <v>36.5</v>
      </c>
      <c r="E25" s="53" t="s">
        <v>88</v>
      </c>
      <c r="F25" s="50" t="s">
        <v>24</v>
      </c>
      <c r="G25" s="50" t="s">
        <v>24</v>
      </c>
      <c r="H25" s="52" t="s">
        <v>24</v>
      </c>
      <c r="I25" s="50" t="s">
        <v>24</v>
      </c>
      <c r="J25" s="50" t="s">
        <v>24</v>
      </c>
      <c r="K25" s="50" t="s">
        <v>24</v>
      </c>
      <c r="L25" s="54">
        <v>3300</v>
      </c>
      <c r="M25" s="55">
        <v>200</v>
      </c>
      <c r="N25" s="54">
        <f t="shared" ref="N25:N32" si="2">L25-M25</f>
        <v>3100</v>
      </c>
    </row>
    <row r="26" spans="1:14" s="48" customFormat="1" ht="90" customHeight="1" x14ac:dyDescent="0.3">
      <c r="A26" s="50">
        <v>10925</v>
      </c>
      <c r="B26" s="50">
        <v>430</v>
      </c>
      <c r="C26" s="52">
        <v>0.8</v>
      </c>
      <c r="D26" s="50">
        <v>31.3</v>
      </c>
      <c r="E26" s="53" t="s">
        <v>91</v>
      </c>
      <c r="F26" s="50" t="s">
        <v>42</v>
      </c>
      <c r="G26" s="50" t="s">
        <v>24</v>
      </c>
      <c r="H26" s="52" t="s">
        <v>24</v>
      </c>
      <c r="I26" s="50" t="s">
        <v>24</v>
      </c>
      <c r="J26" s="50" t="s">
        <v>24</v>
      </c>
      <c r="K26" s="50" t="s">
        <v>24</v>
      </c>
      <c r="L26" s="54">
        <v>3100</v>
      </c>
      <c r="M26" s="55"/>
      <c r="N26" s="54">
        <f t="shared" si="2"/>
        <v>3100</v>
      </c>
    </row>
    <row r="27" spans="1:14" s="48" customFormat="1" ht="90" customHeight="1" x14ac:dyDescent="0.3">
      <c r="A27" s="50">
        <v>10925</v>
      </c>
      <c r="B27" s="50">
        <v>430</v>
      </c>
      <c r="C27" s="52">
        <v>0.8</v>
      </c>
      <c r="D27" s="50">
        <v>26.5</v>
      </c>
      <c r="E27" s="53" t="s">
        <v>92</v>
      </c>
      <c r="F27" s="50" t="s">
        <v>24</v>
      </c>
      <c r="G27" s="50" t="s">
        <v>24</v>
      </c>
      <c r="H27" s="52" t="s">
        <v>24</v>
      </c>
      <c r="I27" s="50" t="s">
        <v>24</v>
      </c>
      <c r="J27" s="50" t="s">
        <v>24</v>
      </c>
      <c r="K27" s="50" t="s">
        <v>24</v>
      </c>
      <c r="L27" s="54">
        <v>3100</v>
      </c>
      <c r="M27" s="55"/>
      <c r="N27" s="54">
        <f t="shared" si="2"/>
        <v>3100</v>
      </c>
    </row>
    <row r="28" spans="1:14" s="48" customFormat="1" ht="90" customHeight="1" x14ac:dyDescent="0.3">
      <c r="A28" s="50"/>
      <c r="B28" s="50"/>
      <c r="C28" s="52"/>
      <c r="D28" s="50"/>
      <c r="E28" s="53"/>
      <c r="F28" s="50"/>
      <c r="G28" s="50"/>
      <c r="H28" s="52"/>
      <c r="I28" s="50"/>
      <c r="J28" s="50"/>
      <c r="K28" s="50"/>
      <c r="L28" s="54"/>
      <c r="M28" s="55"/>
      <c r="N28" s="54">
        <f t="shared" si="2"/>
        <v>0</v>
      </c>
    </row>
    <row r="29" spans="1:14" s="48" customFormat="1" ht="90" customHeight="1" x14ac:dyDescent="0.3">
      <c r="A29" s="50">
        <v>250074</v>
      </c>
      <c r="B29" s="50">
        <v>304</v>
      </c>
      <c r="C29" s="52">
        <v>0.7</v>
      </c>
      <c r="D29" s="50">
        <v>26.5</v>
      </c>
      <c r="E29" s="53" t="s">
        <v>73</v>
      </c>
      <c r="F29" s="50" t="s">
        <v>24</v>
      </c>
      <c r="G29" s="50">
        <v>430</v>
      </c>
      <c r="H29" s="52" t="s">
        <v>24</v>
      </c>
      <c r="I29" s="50" t="s">
        <v>24</v>
      </c>
      <c r="J29" s="50" t="s">
        <v>24</v>
      </c>
      <c r="K29" s="50" t="s">
        <v>74</v>
      </c>
      <c r="L29" s="54">
        <v>708</v>
      </c>
      <c r="M29" s="55"/>
      <c r="N29" s="54">
        <f t="shared" si="2"/>
        <v>708</v>
      </c>
    </row>
    <row r="30" spans="1:14" s="48" customFormat="1" ht="90" customHeight="1" x14ac:dyDescent="0.3">
      <c r="A30" s="50">
        <v>250074</v>
      </c>
      <c r="B30" s="50">
        <v>304</v>
      </c>
      <c r="C30" s="52">
        <v>0.7</v>
      </c>
      <c r="D30" s="50">
        <v>30.7</v>
      </c>
      <c r="E30" s="53" t="s">
        <v>75</v>
      </c>
      <c r="F30" s="50" t="s">
        <v>24</v>
      </c>
      <c r="G30" s="50">
        <v>430</v>
      </c>
      <c r="H30" s="52" t="s">
        <v>24</v>
      </c>
      <c r="I30" s="50" t="s">
        <v>24</v>
      </c>
      <c r="J30" s="50" t="s">
        <v>24</v>
      </c>
      <c r="K30" s="50" t="s">
        <v>74</v>
      </c>
      <c r="L30" s="54">
        <v>708</v>
      </c>
      <c r="M30" s="55"/>
      <c r="N30" s="54">
        <f t="shared" si="2"/>
        <v>708</v>
      </c>
    </row>
    <row r="31" spans="1:14" s="48" customFormat="1" ht="90" customHeight="1" x14ac:dyDescent="0.3">
      <c r="A31" s="50">
        <v>250074</v>
      </c>
      <c r="B31" s="50">
        <v>304</v>
      </c>
      <c r="C31" s="52">
        <v>0.7</v>
      </c>
      <c r="D31" s="50">
        <v>32.4</v>
      </c>
      <c r="E31" s="53" t="s">
        <v>76</v>
      </c>
      <c r="F31" s="50" t="s">
        <v>24</v>
      </c>
      <c r="G31" s="50">
        <v>430</v>
      </c>
      <c r="H31" s="52" t="s">
        <v>24</v>
      </c>
      <c r="I31" s="50" t="s">
        <v>24</v>
      </c>
      <c r="J31" s="50" t="s">
        <v>24</v>
      </c>
      <c r="K31" s="50" t="s">
        <v>74</v>
      </c>
      <c r="L31" s="54">
        <v>708</v>
      </c>
      <c r="M31" s="55">
        <v>708</v>
      </c>
      <c r="N31" s="54">
        <f t="shared" si="2"/>
        <v>0</v>
      </c>
    </row>
    <row r="32" spans="1:14" s="48" customFormat="1" ht="90" customHeight="1" x14ac:dyDescent="0.3">
      <c r="A32" s="50"/>
      <c r="B32" s="50"/>
      <c r="C32" s="52"/>
      <c r="D32" s="50"/>
      <c r="E32" s="53"/>
      <c r="F32" s="50"/>
      <c r="G32" s="50"/>
      <c r="H32" s="52"/>
      <c r="I32" s="50"/>
      <c r="J32" s="50"/>
      <c r="K32" s="50"/>
      <c r="L32" s="50"/>
      <c r="M32" s="55"/>
      <c r="N32" s="54">
        <f t="shared" si="2"/>
        <v>0</v>
      </c>
    </row>
    <row r="33" spans="1:14" s="48" customFormat="1" ht="90" customHeight="1" x14ac:dyDescent="0.3">
      <c r="A33" s="57"/>
      <c r="B33" s="57"/>
      <c r="C33" s="58"/>
      <c r="D33" s="57"/>
      <c r="E33" s="59"/>
      <c r="F33" s="57"/>
      <c r="G33" s="57"/>
      <c r="H33" s="58"/>
      <c r="I33" s="57"/>
      <c r="J33" s="57"/>
      <c r="K33" s="57"/>
      <c r="L33" s="54">
        <f>SUM(L24:L32)</f>
        <v>14824</v>
      </c>
      <c r="M33" s="60">
        <f>SUM(M24:M32)</f>
        <v>4418</v>
      </c>
      <c r="N33" s="54">
        <f>SUM(N24:N32)</f>
        <v>10406</v>
      </c>
    </row>
    <row r="35" spans="1:14" s="49" customFormat="1" ht="90" customHeight="1" x14ac:dyDescent="0.3">
      <c r="A35" s="112" t="s">
        <v>93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4"/>
    </row>
    <row r="36" spans="1:14" s="49" customFormat="1" ht="90" customHeight="1" x14ac:dyDescent="0.3">
      <c r="A36" s="50" t="s">
        <v>0</v>
      </c>
      <c r="B36" s="50" t="s">
        <v>9</v>
      </c>
      <c r="C36" s="51" t="s">
        <v>11</v>
      </c>
      <c r="D36" s="50" t="s">
        <v>2</v>
      </c>
      <c r="E36" s="50" t="s">
        <v>1</v>
      </c>
      <c r="F36" s="104" t="s">
        <v>94</v>
      </c>
      <c r="G36" s="105"/>
      <c r="H36" s="105"/>
      <c r="I36" s="105"/>
      <c r="J36" s="105"/>
      <c r="K36" s="106"/>
      <c r="L36" s="50" t="s">
        <v>7</v>
      </c>
      <c r="M36" s="50" t="s">
        <v>5</v>
      </c>
      <c r="N36" s="50" t="s">
        <v>6</v>
      </c>
    </row>
    <row r="37" spans="1:14" s="56" customFormat="1" ht="90" customHeight="1" x14ac:dyDescent="0.3">
      <c r="A37" s="50">
        <v>210825</v>
      </c>
      <c r="B37" s="50">
        <v>304</v>
      </c>
      <c r="C37" s="52">
        <v>0.5</v>
      </c>
      <c r="D37" s="61">
        <v>21</v>
      </c>
      <c r="E37" s="53" t="s">
        <v>95</v>
      </c>
      <c r="F37" s="104"/>
      <c r="G37" s="105"/>
      <c r="H37" s="105"/>
      <c r="I37" s="105"/>
      <c r="J37" s="105"/>
      <c r="K37" s="106"/>
      <c r="L37" s="54">
        <v>4000</v>
      </c>
      <c r="M37" s="55">
        <f>2850+1250</f>
        <v>4100</v>
      </c>
      <c r="N37" s="54">
        <f t="shared" ref="N37" si="3">L37-M37</f>
        <v>-100</v>
      </c>
    </row>
    <row r="38" spans="1:14" s="56" customFormat="1" ht="90" customHeight="1" x14ac:dyDescent="0.3">
      <c r="A38" s="50"/>
      <c r="B38" s="50"/>
      <c r="C38" s="52"/>
      <c r="D38" s="55"/>
      <c r="E38" s="53"/>
      <c r="F38" s="104"/>
      <c r="G38" s="105"/>
      <c r="H38" s="105"/>
      <c r="I38" s="105"/>
      <c r="J38" s="105"/>
      <c r="K38" s="106"/>
      <c r="L38" s="54"/>
      <c r="M38" s="55"/>
      <c r="N38" s="54">
        <f t="shared" ref="N38:N45" si="4">L38-M38</f>
        <v>0</v>
      </c>
    </row>
    <row r="39" spans="1:14" s="56" customFormat="1" ht="90" hidden="1" customHeight="1" x14ac:dyDescent="0.3">
      <c r="A39" s="50"/>
      <c r="B39" s="50"/>
      <c r="C39" s="52"/>
      <c r="D39" s="50"/>
      <c r="E39" s="53"/>
      <c r="F39" s="50"/>
      <c r="G39" s="50"/>
      <c r="H39" s="52"/>
      <c r="I39" s="50"/>
      <c r="J39" s="50"/>
      <c r="K39" s="50"/>
      <c r="L39" s="54"/>
      <c r="M39" s="55"/>
      <c r="N39" s="54">
        <f t="shared" si="4"/>
        <v>0</v>
      </c>
    </row>
    <row r="40" spans="1:14" s="56" customFormat="1" ht="90" hidden="1" customHeight="1" x14ac:dyDescent="0.3">
      <c r="A40" s="50"/>
      <c r="B40" s="50"/>
      <c r="C40" s="52"/>
      <c r="D40" s="50"/>
      <c r="E40" s="53"/>
      <c r="F40" s="50"/>
      <c r="G40" s="50"/>
      <c r="H40" s="52"/>
      <c r="I40" s="50"/>
      <c r="J40" s="50"/>
      <c r="K40" s="50"/>
      <c r="L40" s="54"/>
      <c r="M40" s="55"/>
      <c r="N40" s="54">
        <f t="shared" si="4"/>
        <v>0</v>
      </c>
    </row>
    <row r="41" spans="1:14" s="56" customFormat="1" ht="90" hidden="1" customHeight="1" x14ac:dyDescent="0.3">
      <c r="A41" s="50"/>
      <c r="B41" s="50"/>
      <c r="C41" s="52"/>
      <c r="D41" s="50"/>
      <c r="E41" s="53"/>
      <c r="F41" s="50"/>
      <c r="G41" s="50"/>
      <c r="H41" s="52"/>
      <c r="I41" s="50"/>
      <c r="J41" s="50"/>
      <c r="K41" s="50"/>
      <c r="L41" s="54"/>
      <c r="M41" s="55"/>
      <c r="N41" s="54">
        <f t="shared" si="4"/>
        <v>0</v>
      </c>
    </row>
    <row r="42" spans="1:14" s="56" customFormat="1" ht="90" hidden="1" customHeight="1" x14ac:dyDescent="0.3">
      <c r="A42" s="50"/>
      <c r="B42" s="50"/>
      <c r="C42" s="52"/>
      <c r="D42" s="50"/>
      <c r="E42" s="53"/>
      <c r="F42" s="50"/>
      <c r="G42" s="50"/>
      <c r="H42" s="52"/>
      <c r="I42" s="50"/>
      <c r="J42" s="50"/>
      <c r="K42" s="50"/>
      <c r="L42" s="54"/>
      <c r="M42" s="55"/>
      <c r="N42" s="54">
        <f t="shared" si="4"/>
        <v>0</v>
      </c>
    </row>
    <row r="43" spans="1:14" s="56" customFormat="1" ht="90" hidden="1" customHeight="1" x14ac:dyDescent="0.3">
      <c r="A43" s="50"/>
      <c r="B43" s="50"/>
      <c r="C43" s="52"/>
      <c r="D43" s="50"/>
      <c r="E43" s="53"/>
      <c r="F43" s="50"/>
      <c r="G43" s="50"/>
      <c r="H43" s="52"/>
      <c r="I43" s="50"/>
      <c r="J43" s="50"/>
      <c r="K43" s="50"/>
      <c r="L43" s="54"/>
      <c r="M43" s="55"/>
      <c r="N43" s="54">
        <f t="shared" si="4"/>
        <v>0</v>
      </c>
    </row>
    <row r="44" spans="1:14" s="56" customFormat="1" ht="90" hidden="1" customHeight="1" x14ac:dyDescent="0.3">
      <c r="A44" s="50"/>
      <c r="B44" s="50"/>
      <c r="C44" s="52"/>
      <c r="D44" s="50"/>
      <c r="E44" s="53"/>
      <c r="F44" s="50"/>
      <c r="G44" s="50"/>
      <c r="H44" s="52"/>
      <c r="I44" s="50"/>
      <c r="J44" s="50"/>
      <c r="K44" s="50"/>
      <c r="L44" s="54"/>
      <c r="M44" s="55"/>
      <c r="N44" s="54">
        <f t="shared" si="4"/>
        <v>0</v>
      </c>
    </row>
    <row r="45" spans="1:14" s="56" customFormat="1" ht="90" customHeight="1" x14ac:dyDescent="0.3">
      <c r="A45" s="50"/>
      <c r="B45" s="50"/>
      <c r="C45" s="52"/>
      <c r="D45" s="50"/>
      <c r="E45" s="53"/>
      <c r="F45" s="50"/>
      <c r="G45" s="50"/>
      <c r="H45" s="52"/>
      <c r="I45" s="50"/>
      <c r="J45" s="50"/>
      <c r="K45" s="50"/>
      <c r="L45" s="50"/>
      <c r="M45" s="55"/>
      <c r="N45" s="54">
        <f t="shared" si="4"/>
        <v>0</v>
      </c>
    </row>
    <row r="46" spans="1:14" s="56" customFormat="1" ht="90" customHeight="1" x14ac:dyDescent="0.3">
      <c r="A46" s="57"/>
      <c r="B46" s="57"/>
      <c r="C46" s="58"/>
      <c r="D46" s="57"/>
      <c r="E46" s="59"/>
      <c r="F46" s="57"/>
      <c r="G46" s="57"/>
      <c r="H46" s="58"/>
      <c r="I46" s="57"/>
      <c r="J46" s="57"/>
      <c r="K46" s="57"/>
      <c r="L46" s="54">
        <f>SUM(L37:L45)</f>
        <v>4000</v>
      </c>
      <c r="M46" s="60">
        <f>SUM(M37:M45)</f>
        <v>4100</v>
      </c>
      <c r="N46" s="54">
        <f>SUM(N37:N45)</f>
        <v>-100</v>
      </c>
    </row>
  </sheetData>
  <mergeCells count="9">
    <mergeCell ref="F36:K36"/>
    <mergeCell ref="F37:K37"/>
    <mergeCell ref="F38:K38"/>
    <mergeCell ref="A1:C1"/>
    <mergeCell ref="L1:N1"/>
    <mergeCell ref="A2:N2"/>
    <mergeCell ref="A12:N12"/>
    <mergeCell ref="A22:N22"/>
    <mergeCell ref="A35:N35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3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4"/>
  <sheetViews>
    <sheetView topLeftCell="X1" zoomScale="25" zoomScaleNormal="25" workbookViewId="0">
      <selection activeCell="E13" sqref="E13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45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9" width="40.109375" style="2" bestFit="1" customWidth="1"/>
    <col min="10" max="10" width="37.88671875" style="2" customWidth="1"/>
    <col min="11" max="11" width="25.6640625" style="2" customWidth="1"/>
    <col min="12" max="14" width="23.6640625" style="2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2.6640625" style="2" customWidth="1"/>
    <col min="24" max="24" width="42.6640625" style="2" customWidth="1"/>
    <col min="25" max="25" width="37.88671875" style="2" customWidth="1"/>
    <col min="26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40.77734375" style="2" bestFit="1" customWidth="1"/>
    <col min="36" max="36" width="32.109375" style="2" bestFit="1" customWidth="1"/>
    <col min="37" max="37" width="21.88671875" style="2" bestFit="1" customWidth="1"/>
    <col min="38" max="38" width="22.6640625" style="2" customWidth="1"/>
    <col min="39" max="39" width="42.6640625" style="2" customWidth="1"/>
    <col min="40" max="40" width="37.88671875" style="2" customWidth="1"/>
    <col min="41" max="41" width="25.6640625" style="2" customWidth="1"/>
    <col min="42" max="44" width="23.6640625" style="2" customWidth="1"/>
    <col min="45" max="16384" width="8.88671875" style="3"/>
  </cols>
  <sheetData>
    <row r="1" spans="1:45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45915</v>
      </c>
      <c r="AA1" s="108"/>
      <c r="AB1" s="108"/>
      <c r="AC1" s="108"/>
      <c r="AE1" s="107"/>
      <c r="AF1" s="107"/>
      <c r="AG1" s="107"/>
      <c r="AH1" s="72"/>
      <c r="AI1" s="72"/>
      <c r="AJ1" s="72"/>
      <c r="AK1" s="72"/>
      <c r="AL1" s="72"/>
      <c r="AM1" s="72"/>
      <c r="AN1" s="73" t="s">
        <v>16</v>
      </c>
      <c r="AO1" s="108">
        <v>45914</v>
      </c>
      <c r="AP1" s="108"/>
      <c r="AQ1" s="108"/>
      <c r="AR1" s="108"/>
    </row>
    <row r="2" spans="1:45" s="49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12" t="s">
        <v>98</v>
      </c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4"/>
      <c r="AD2" s="47"/>
      <c r="AE2" s="112" t="s">
        <v>97</v>
      </c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4"/>
    </row>
    <row r="3" spans="1:45" s="49" customFormat="1" ht="100.05" customHeight="1" x14ac:dyDescent="0.3">
      <c r="A3" s="62" t="s">
        <v>0</v>
      </c>
      <c r="B3" s="62" t="s">
        <v>9</v>
      </c>
      <c r="C3" s="63" t="s">
        <v>11</v>
      </c>
      <c r="D3" s="62" t="s">
        <v>2</v>
      </c>
      <c r="E3" s="62" t="s">
        <v>1</v>
      </c>
      <c r="F3" s="62" t="s">
        <v>14</v>
      </c>
      <c r="G3" s="62" t="s">
        <v>8</v>
      </c>
      <c r="H3" s="63" t="s">
        <v>10</v>
      </c>
      <c r="I3" s="63" t="s">
        <v>12</v>
      </c>
      <c r="J3" s="63" t="s">
        <v>13</v>
      </c>
      <c r="K3" s="62" t="s">
        <v>3</v>
      </c>
      <c r="L3" s="62" t="s">
        <v>7</v>
      </c>
      <c r="M3" s="62" t="s">
        <v>5</v>
      </c>
      <c r="N3" s="62" t="s">
        <v>6</v>
      </c>
      <c r="P3" s="50" t="s">
        <v>0</v>
      </c>
      <c r="Q3" s="50" t="s">
        <v>9</v>
      </c>
      <c r="R3" s="51" t="s">
        <v>11</v>
      </c>
      <c r="S3" s="50" t="s">
        <v>2</v>
      </c>
      <c r="T3" s="50" t="s">
        <v>1</v>
      </c>
      <c r="U3" s="50" t="s">
        <v>14</v>
      </c>
      <c r="V3" s="50" t="s">
        <v>8</v>
      </c>
      <c r="W3" s="51" t="s">
        <v>10</v>
      </c>
      <c r="X3" s="51" t="s">
        <v>12</v>
      </c>
      <c r="Y3" s="51" t="s">
        <v>13</v>
      </c>
      <c r="Z3" s="50" t="s">
        <v>3</v>
      </c>
      <c r="AA3" s="50" t="s">
        <v>7</v>
      </c>
      <c r="AB3" s="50" t="s">
        <v>5</v>
      </c>
      <c r="AC3" s="50" t="s">
        <v>6</v>
      </c>
      <c r="AD3" s="47"/>
      <c r="AE3" s="50" t="s">
        <v>0</v>
      </c>
      <c r="AF3" s="50" t="s">
        <v>9</v>
      </c>
      <c r="AG3" s="51" t="s">
        <v>11</v>
      </c>
      <c r="AH3" s="50" t="s">
        <v>2</v>
      </c>
      <c r="AI3" s="50" t="s">
        <v>1</v>
      </c>
      <c r="AJ3" s="104" t="s">
        <v>94</v>
      </c>
      <c r="AK3" s="105"/>
      <c r="AL3" s="105"/>
      <c r="AM3" s="105"/>
      <c r="AN3" s="105"/>
      <c r="AO3" s="106"/>
      <c r="AP3" s="50" t="s">
        <v>7</v>
      </c>
      <c r="AQ3" s="50" t="s">
        <v>5</v>
      </c>
      <c r="AR3" s="50" t="s">
        <v>6</v>
      </c>
    </row>
    <row r="4" spans="1:45" s="56" customFormat="1" ht="100.05" customHeight="1" x14ac:dyDescent="0.3">
      <c r="A4" s="62">
        <v>210825</v>
      </c>
      <c r="B4" s="62">
        <v>304</v>
      </c>
      <c r="C4" s="64">
        <v>0.8</v>
      </c>
      <c r="D4" s="62">
        <v>33</v>
      </c>
      <c r="E4" s="65" t="s">
        <v>77</v>
      </c>
      <c r="F4" s="62" t="s">
        <v>81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24</v>
      </c>
      <c r="L4" s="66">
        <v>4000</v>
      </c>
      <c r="M4" s="67">
        <f>400+1000</f>
        <v>1400</v>
      </c>
      <c r="N4" s="66">
        <f>L4-M4</f>
        <v>2600</v>
      </c>
      <c r="P4" s="50" t="s">
        <v>89</v>
      </c>
      <c r="Q4" s="50">
        <v>304</v>
      </c>
      <c r="R4" s="52">
        <v>0.8</v>
      </c>
      <c r="S4" s="50">
        <v>37.700000000000003</v>
      </c>
      <c r="T4" s="53" t="s">
        <v>90</v>
      </c>
      <c r="U4" s="50" t="s">
        <v>42</v>
      </c>
      <c r="V4" s="50" t="s">
        <v>24</v>
      </c>
      <c r="W4" s="52">
        <v>0.6</v>
      </c>
      <c r="X4" s="50">
        <v>157</v>
      </c>
      <c r="Y4" s="52">
        <v>4</v>
      </c>
      <c r="Z4" s="50" t="s">
        <v>74</v>
      </c>
      <c r="AA4" s="54">
        <v>3200</v>
      </c>
      <c r="AB4" s="55">
        <f>660+2000+850</f>
        <v>3510</v>
      </c>
      <c r="AC4" s="54">
        <f>AA4-AB4</f>
        <v>-310</v>
      </c>
      <c r="AD4" s="48"/>
      <c r="AE4" s="50">
        <v>210825</v>
      </c>
      <c r="AF4" s="50">
        <v>304</v>
      </c>
      <c r="AG4" s="52">
        <v>0.5</v>
      </c>
      <c r="AH4" s="61">
        <v>21</v>
      </c>
      <c r="AI4" s="53" t="s">
        <v>95</v>
      </c>
      <c r="AJ4" s="104"/>
      <c r="AK4" s="105"/>
      <c r="AL4" s="105"/>
      <c r="AM4" s="105"/>
      <c r="AN4" s="105"/>
      <c r="AO4" s="106"/>
      <c r="AP4" s="54">
        <v>4000</v>
      </c>
      <c r="AQ4" s="55">
        <f>2850+1250</f>
        <v>4100</v>
      </c>
      <c r="AR4" s="54">
        <f t="shared" ref="AR4:AR8" si="0">AP4-AQ4</f>
        <v>-100</v>
      </c>
    </row>
    <row r="5" spans="1:45" s="56" customFormat="1" ht="100.05" customHeight="1" x14ac:dyDescent="0.3">
      <c r="A5" s="62"/>
      <c r="B5" s="62"/>
      <c r="C5" s="64"/>
      <c r="D5" s="62"/>
      <c r="E5" s="65"/>
      <c r="F5" s="62"/>
      <c r="G5" s="62"/>
      <c r="H5" s="64"/>
      <c r="I5" s="62"/>
      <c r="J5" s="62"/>
      <c r="K5" s="62"/>
      <c r="L5" s="66"/>
      <c r="M5" s="67"/>
      <c r="N5" s="66">
        <f t="shared" ref="N5:N8" si="1">L5-M5</f>
        <v>0</v>
      </c>
      <c r="P5" s="50">
        <v>10925</v>
      </c>
      <c r="Q5" s="50">
        <v>430</v>
      </c>
      <c r="R5" s="52">
        <v>0.8</v>
      </c>
      <c r="S5" s="50">
        <v>36.5</v>
      </c>
      <c r="T5" s="53" t="s">
        <v>88</v>
      </c>
      <c r="U5" s="50" t="s">
        <v>24</v>
      </c>
      <c r="V5" s="50" t="s">
        <v>24</v>
      </c>
      <c r="W5" s="52" t="s">
        <v>24</v>
      </c>
      <c r="X5" s="50" t="s">
        <v>24</v>
      </c>
      <c r="Y5" s="50" t="s">
        <v>24</v>
      </c>
      <c r="Z5" s="50" t="s">
        <v>24</v>
      </c>
      <c r="AA5" s="54">
        <v>3300</v>
      </c>
      <c r="AB5" s="55">
        <v>200</v>
      </c>
      <c r="AC5" s="54">
        <f t="shared" ref="AC5:AC8" si="2">AA5-AB5</f>
        <v>3100</v>
      </c>
      <c r="AD5" s="48"/>
      <c r="AE5" s="50"/>
      <c r="AF5" s="50"/>
      <c r="AG5" s="52"/>
      <c r="AH5" s="55"/>
      <c r="AI5" s="53"/>
      <c r="AJ5" s="104"/>
      <c r="AK5" s="105"/>
      <c r="AL5" s="105"/>
      <c r="AM5" s="105"/>
      <c r="AN5" s="105"/>
      <c r="AO5" s="106"/>
      <c r="AP5" s="54"/>
      <c r="AQ5" s="55"/>
      <c r="AR5" s="54">
        <f t="shared" si="0"/>
        <v>0</v>
      </c>
    </row>
    <row r="6" spans="1:45" s="56" customFormat="1" ht="100.05" customHeight="1" x14ac:dyDescent="0.3">
      <c r="A6" s="62"/>
      <c r="B6" s="62"/>
      <c r="C6" s="64"/>
      <c r="D6" s="62"/>
      <c r="E6" s="65"/>
      <c r="F6" s="62"/>
      <c r="G6" s="62"/>
      <c r="H6" s="64"/>
      <c r="I6" s="62"/>
      <c r="J6" s="62"/>
      <c r="K6" s="62"/>
      <c r="L6" s="66"/>
      <c r="M6" s="67"/>
      <c r="N6" s="66">
        <f t="shared" si="1"/>
        <v>0</v>
      </c>
      <c r="P6" s="50">
        <v>10925</v>
      </c>
      <c r="Q6" s="50">
        <v>430</v>
      </c>
      <c r="R6" s="52">
        <v>0.8</v>
      </c>
      <c r="S6" s="50">
        <v>31.3</v>
      </c>
      <c r="T6" s="53" t="s">
        <v>91</v>
      </c>
      <c r="U6" s="50" t="s">
        <v>42</v>
      </c>
      <c r="V6" s="50" t="s">
        <v>24</v>
      </c>
      <c r="W6" s="52" t="s">
        <v>24</v>
      </c>
      <c r="X6" s="50" t="s">
        <v>24</v>
      </c>
      <c r="Y6" s="50" t="s">
        <v>24</v>
      </c>
      <c r="Z6" s="50" t="s">
        <v>24</v>
      </c>
      <c r="AA6" s="54">
        <v>3100</v>
      </c>
      <c r="AB6" s="55"/>
      <c r="AC6" s="54">
        <f t="shared" si="2"/>
        <v>3100</v>
      </c>
      <c r="AD6" s="48"/>
      <c r="AE6" s="50"/>
      <c r="AF6" s="50"/>
      <c r="AG6" s="52"/>
      <c r="AH6" s="50"/>
      <c r="AI6" s="53"/>
      <c r="AJ6" s="104"/>
      <c r="AK6" s="105"/>
      <c r="AL6" s="105"/>
      <c r="AM6" s="105"/>
      <c r="AN6" s="105"/>
      <c r="AO6" s="106"/>
      <c r="AP6" s="54"/>
      <c r="AQ6" s="55"/>
      <c r="AR6" s="54">
        <f t="shared" si="0"/>
        <v>0</v>
      </c>
    </row>
    <row r="7" spans="1:45" s="56" customFormat="1" ht="100.05" customHeight="1" x14ac:dyDescent="0.3">
      <c r="A7" s="62"/>
      <c r="B7" s="62"/>
      <c r="C7" s="64"/>
      <c r="D7" s="62"/>
      <c r="E7" s="65"/>
      <c r="F7" s="62"/>
      <c r="G7" s="62"/>
      <c r="H7" s="64"/>
      <c r="I7" s="62"/>
      <c r="J7" s="62"/>
      <c r="K7" s="62"/>
      <c r="L7" s="66"/>
      <c r="M7" s="67"/>
      <c r="N7" s="66">
        <f t="shared" si="1"/>
        <v>0</v>
      </c>
      <c r="P7" s="50">
        <v>10925</v>
      </c>
      <c r="Q7" s="50">
        <v>430</v>
      </c>
      <c r="R7" s="52">
        <v>0.8</v>
      </c>
      <c r="S7" s="50">
        <v>26.5</v>
      </c>
      <c r="T7" s="53" t="s">
        <v>102</v>
      </c>
      <c r="U7" s="50" t="s">
        <v>24</v>
      </c>
      <c r="V7" s="50" t="s">
        <v>24</v>
      </c>
      <c r="W7" s="52" t="s">
        <v>24</v>
      </c>
      <c r="X7" s="50" t="s">
        <v>24</v>
      </c>
      <c r="Y7" s="50" t="s">
        <v>24</v>
      </c>
      <c r="Z7" s="50" t="s">
        <v>24</v>
      </c>
      <c r="AA7" s="54">
        <v>3100</v>
      </c>
      <c r="AB7" s="55"/>
      <c r="AC7" s="54">
        <f t="shared" si="2"/>
        <v>3100</v>
      </c>
      <c r="AD7" s="48"/>
      <c r="AE7" s="50"/>
      <c r="AF7" s="50"/>
      <c r="AG7" s="52"/>
      <c r="AH7" s="50"/>
      <c r="AI7" s="53"/>
      <c r="AJ7" s="104"/>
      <c r="AK7" s="105"/>
      <c r="AL7" s="105"/>
      <c r="AM7" s="105"/>
      <c r="AN7" s="105"/>
      <c r="AO7" s="106"/>
      <c r="AP7" s="54"/>
      <c r="AQ7" s="55"/>
      <c r="AR7" s="54">
        <f t="shared" si="0"/>
        <v>0</v>
      </c>
    </row>
    <row r="8" spans="1:45" s="5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1"/>
        <v>0</v>
      </c>
      <c r="P8" s="50"/>
      <c r="Q8" s="50"/>
      <c r="R8" s="52"/>
      <c r="S8" s="50"/>
      <c r="T8" s="53"/>
      <c r="U8" s="50"/>
      <c r="V8" s="50"/>
      <c r="W8" s="52"/>
      <c r="X8" s="50"/>
      <c r="Y8" s="50"/>
      <c r="Z8" s="50"/>
      <c r="AA8" s="50"/>
      <c r="AB8" s="55"/>
      <c r="AC8" s="54">
        <f t="shared" si="2"/>
        <v>0</v>
      </c>
      <c r="AD8" s="48"/>
      <c r="AE8" s="50"/>
      <c r="AF8" s="50"/>
      <c r="AG8" s="52"/>
      <c r="AH8" s="50"/>
      <c r="AI8" s="53"/>
      <c r="AJ8" s="104"/>
      <c r="AK8" s="105"/>
      <c r="AL8" s="105"/>
      <c r="AM8" s="105"/>
      <c r="AN8" s="105"/>
      <c r="AO8" s="106"/>
      <c r="AP8" s="50"/>
      <c r="AQ8" s="55"/>
      <c r="AR8" s="54">
        <f t="shared" si="0"/>
        <v>0</v>
      </c>
    </row>
    <row r="9" spans="1:45" s="5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4000</v>
      </c>
      <c r="M9" s="71">
        <f>SUM(M4:M8)</f>
        <v>1400</v>
      </c>
      <c r="N9" s="66">
        <f>SUM(N4:N8)</f>
        <v>2600</v>
      </c>
      <c r="P9" s="57"/>
      <c r="Q9" s="57"/>
      <c r="R9" s="58"/>
      <c r="S9" s="57"/>
      <c r="T9" s="59"/>
      <c r="U9" s="57"/>
      <c r="V9" s="57"/>
      <c r="W9" s="58"/>
      <c r="X9" s="57"/>
      <c r="Y9" s="57"/>
      <c r="Z9" s="57"/>
      <c r="AA9" s="54">
        <f>SUM(AA4:AA8)</f>
        <v>12700</v>
      </c>
      <c r="AB9" s="60">
        <f>SUM(AB4:AB8)</f>
        <v>3710</v>
      </c>
      <c r="AC9" s="54">
        <f>SUM(AC4:AC8)</f>
        <v>8990</v>
      </c>
      <c r="AD9" s="48"/>
      <c r="AE9" s="57"/>
      <c r="AF9" s="57"/>
      <c r="AG9" s="58"/>
      <c r="AH9" s="57"/>
      <c r="AI9" s="59"/>
      <c r="AJ9" s="57"/>
      <c r="AK9" s="57"/>
      <c r="AL9" s="58"/>
      <c r="AM9" s="57"/>
      <c r="AN9" s="57"/>
      <c r="AO9" s="57"/>
      <c r="AP9" s="54">
        <f>SUM(AP4:AP8)</f>
        <v>4000</v>
      </c>
      <c r="AQ9" s="60">
        <f>SUM(AQ4:AQ8)</f>
        <v>4100</v>
      </c>
      <c r="AR9" s="54">
        <f>SUM(AR4:AR8)</f>
        <v>-100</v>
      </c>
    </row>
    <row r="10" spans="1:45" ht="49.95" customHeight="1" x14ac:dyDescent="0.3">
      <c r="AD10" s="48"/>
      <c r="AS10" s="56"/>
    </row>
    <row r="11" spans="1:45" s="47" customFormat="1" ht="100.05" customHeight="1" x14ac:dyDescent="0.3">
      <c r="A11" s="112" t="s">
        <v>101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4"/>
      <c r="P11" s="112" t="s">
        <v>99</v>
      </c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4"/>
      <c r="AD11" s="48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56"/>
    </row>
    <row r="12" spans="1:45" s="47" customFormat="1" ht="100.05" customHeight="1" x14ac:dyDescent="0.3">
      <c r="A12" s="50" t="s">
        <v>0</v>
      </c>
      <c r="B12" s="50" t="s">
        <v>9</v>
      </c>
      <c r="C12" s="51" t="s">
        <v>11</v>
      </c>
      <c r="D12" s="50" t="s">
        <v>2</v>
      </c>
      <c r="E12" s="50" t="s">
        <v>1</v>
      </c>
      <c r="F12" s="50" t="s">
        <v>14</v>
      </c>
      <c r="G12" s="50" t="s">
        <v>8</v>
      </c>
      <c r="H12" s="51" t="s">
        <v>10</v>
      </c>
      <c r="I12" s="51" t="s">
        <v>12</v>
      </c>
      <c r="J12" s="51" t="s">
        <v>13</v>
      </c>
      <c r="K12" s="50" t="s">
        <v>3</v>
      </c>
      <c r="L12" s="50" t="s">
        <v>7</v>
      </c>
      <c r="M12" s="50" t="s">
        <v>5</v>
      </c>
      <c r="N12" s="50" t="s">
        <v>6</v>
      </c>
      <c r="P12" s="50" t="s">
        <v>0</v>
      </c>
      <c r="Q12" s="50" t="s">
        <v>9</v>
      </c>
      <c r="R12" s="51" t="s">
        <v>11</v>
      </c>
      <c r="S12" s="50" t="s">
        <v>2</v>
      </c>
      <c r="T12" s="50" t="s">
        <v>1</v>
      </c>
      <c r="U12" s="50" t="s">
        <v>14</v>
      </c>
      <c r="V12" s="50" t="s">
        <v>8</v>
      </c>
      <c r="W12" s="51" t="s">
        <v>10</v>
      </c>
      <c r="X12" s="51" t="s">
        <v>12</v>
      </c>
      <c r="Y12" s="51" t="s">
        <v>13</v>
      </c>
      <c r="Z12" s="50" t="s">
        <v>3</v>
      </c>
      <c r="AA12" s="50" t="s">
        <v>7</v>
      </c>
      <c r="AB12" s="50" t="s">
        <v>5</v>
      </c>
      <c r="AC12" s="50" t="s">
        <v>6</v>
      </c>
      <c r="AD12" s="48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56"/>
    </row>
    <row r="13" spans="1:45" s="48" customFormat="1" ht="100.05" customHeight="1" x14ac:dyDescent="0.3">
      <c r="A13" s="50">
        <v>225065</v>
      </c>
      <c r="B13" s="50">
        <v>430</v>
      </c>
      <c r="C13" s="52">
        <v>0.5</v>
      </c>
      <c r="D13" s="50">
        <v>22</v>
      </c>
      <c r="E13" s="53" t="s">
        <v>85</v>
      </c>
      <c r="F13" s="50" t="s">
        <v>23</v>
      </c>
      <c r="G13" s="50">
        <v>430</v>
      </c>
      <c r="H13" s="52" t="s">
        <v>24</v>
      </c>
      <c r="I13" s="50" t="s">
        <v>24</v>
      </c>
      <c r="J13" s="50" t="s">
        <v>24</v>
      </c>
      <c r="K13" s="50" t="s">
        <v>86</v>
      </c>
      <c r="L13" s="54">
        <v>1500</v>
      </c>
      <c r="M13" s="55">
        <v>1500</v>
      </c>
      <c r="N13" s="54">
        <f>L13-M13</f>
        <v>0</v>
      </c>
      <c r="P13" s="50">
        <v>250074</v>
      </c>
      <c r="Q13" s="50">
        <v>304</v>
      </c>
      <c r="R13" s="52">
        <v>0.7</v>
      </c>
      <c r="S13" s="50">
        <v>26.5</v>
      </c>
      <c r="T13" s="53" t="s">
        <v>73</v>
      </c>
      <c r="U13" s="50" t="s">
        <v>24</v>
      </c>
      <c r="V13" s="50">
        <v>430</v>
      </c>
      <c r="W13" s="52" t="s">
        <v>24</v>
      </c>
      <c r="X13" s="50" t="s">
        <v>24</v>
      </c>
      <c r="Y13" s="50" t="s">
        <v>24</v>
      </c>
      <c r="Z13" s="50" t="s">
        <v>74</v>
      </c>
      <c r="AA13" s="54">
        <v>708</v>
      </c>
      <c r="AB13" s="55"/>
      <c r="AC13" s="54">
        <f t="shared" ref="AC13:AC16" si="3">AA13-AB13</f>
        <v>708</v>
      </c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56"/>
    </row>
    <row r="14" spans="1:45" s="48" customFormat="1" ht="100.05" customHeight="1" x14ac:dyDescent="0.3">
      <c r="A14" s="50">
        <v>225066</v>
      </c>
      <c r="B14" s="50">
        <v>430</v>
      </c>
      <c r="C14" s="52">
        <v>0.5</v>
      </c>
      <c r="D14" s="50">
        <v>22</v>
      </c>
      <c r="E14" s="53" t="s">
        <v>87</v>
      </c>
      <c r="F14" s="50" t="s">
        <v>23</v>
      </c>
      <c r="G14" s="50">
        <v>430</v>
      </c>
      <c r="H14" s="52" t="s">
        <v>24</v>
      </c>
      <c r="I14" s="50" t="s">
        <v>24</v>
      </c>
      <c r="J14" s="50" t="s">
        <v>24</v>
      </c>
      <c r="K14" s="50" t="s">
        <v>86</v>
      </c>
      <c r="L14" s="54">
        <v>1500</v>
      </c>
      <c r="M14" s="55">
        <v>30</v>
      </c>
      <c r="N14" s="54">
        <f t="shared" ref="N14:N17" si="4">L14-M14</f>
        <v>1470</v>
      </c>
      <c r="P14" s="50">
        <v>250074</v>
      </c>
      <c r="Q14" s="50">
        <v>304</v>
      </c>
      <c r="R14" s="52">
        <v>0.7</v>
      </c>
      <c r="S14" s="50">
        <v>30.7</v>
      </c>
      <c r="T14" s="53" t="s">
        <v>75</v>
      </c>
      <c r="U14" s="50" t="s">
        <v>24</v>
      </c>
      <c r="V14" s="50">
        <v>430</v>
      </c>
      <c r="W14" s="52" t="s">
        <v>24</v>
      </c>
      <c r="X14" s="50" t="s">
        <v>24</v>
      </c>
      <c r="Y14" s="50" t="s">
        <v>24</v>
      </c>
      <c r="Z14" s="50" t="s">
        <v>74</v>
      </c>
      <c r="AA14" s="54">
        <v>708</v>
      </c>
      <c r="AB14" s="55"/>
      <c r="AC14" s="54">
        <f t="shared" si="3"/>
        <v>708</v>
      </c>
      <c r="AD14" s="3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3"/>
    </row>
    <row r="15" spans="1:45" s="48" customFormat="1" ht="100.05" customHeight="1" x14ac:dyDescent="0.3">
      <c r="A15" s="50"/>
      <c r="B15" s="50"/>
      <c r="C15" s="52"/>
      <c r="D15" s="50"/>
      <c r="E15" s="53"/>
      <c r="F15" s="50"/>
      <c r="G15" s="50"/>
      <c r="H15" s="52"/>
      <c r="I15" s="50"/>
      <c r="J15" s="50"/>
      <c r="K15" s="50"/>
      <c r="L15" s="54"/>
      <c r="M15" s="55"/>
      <c r="N15" s="54">
        <f t="shared" si="4"/>
        <v>0</v>
      </c>
      <c r="P15" s="50">
        <v>250074</v>
      </c>
      <c r="Q15" s="50">
        <v>304</v>
      </c>
      <c r="R15" s="52">
        <v>0.7</v>
      </c>
      <c r="S15" s="50">
        <v>32.4</v>
      </c>
      <c r="T15" s="53" t="s">
        <v>76</v>
      </c>
      <c r="U15" s="50" t="s">
        <v>24</v>
      </c>
      <c r="V15" s="50">
        <v>430</v>
      </c>
      <c r="W15" s="52" t="s">
        <v>24</v>
      </c>
      <c r="X15" s="50" t="s">
        <v>24</v>
      </c>
      <c r="Y15" s="50" t="s">
        <v>24</v>
      </c>
      <c r="Z15" s="50" t="s">
        <v>74</v>
      </c>
      <c r="AA15" s="54">
        <v>708</v>
      </c>
      <c r="AB15" s="55">
        <v>708</v>
      </c>
      <c r="AC15" s="54">
        <f t="shared" si="3"/>
        <v>0</v>
      </c>
      <c r="AD15" s="3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3"/>
    </row>
    <row r="16" spans="1:45" s="48" customFormat="1" ht="100.05" customHeight="1" x14ac:dyDescent="0.3">
      <c r="A16" s="50"/>
      <c r="B16" s="50"/>
      <c r="C16" s="52"/>
      <c r="D16" s="50"/>
      <c r="E16" s="53"/>
      <c r="F16" s="50"/>
      <c r="G16" s="50"/>
      <c r="H16" s="52"/>
      <c r="I16" s="50"/>
      <c r="J16" s="50"/>
      <c r="K16" s="50"/>
      <c r="L16" s="54"/>
      <c r="M16" s="55"/>
      <c r="N16" s="54">
        <f t="shared" si="4"/>
        <v>0</v>
      </c>
      <c r="P16" s="50"/>
      <c r="Q16" s="50"/>
      <c r="R16" s="52"/>
      <c r="S16" s="50"/>
      <c r="T16" s="53"/>
      <c r="U16" s="50"/>
      <c r="V16" s="50"/>
      <c r="W16" s="52"/>
      <c r="X16" s="50"/>
      <c r="Y16" s="50"/>
      <c r="Z16" s="50"/>
      <c r="AA16" s="50"/>
      <c r="AB16" s="55"/>
      <c r="AC16" s="54">
        <f t="shared" si="3"/>
        <v>0</v>
      </c>
      <c r="AD16" s="3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3"/>
    </row>
    <row r="17" spans="1:45" s="48" customFormat="1" ht="100.05" customHeight="1" x14ac:dyDescent="0.3">
      <c r="A17" s="50"/>
      <c r="B17" s="50"/>
      <c r="C17" s="52"/>
      <c r="D17" s="50"/>
      <c r="E17" s="53"/>
      <c r="F17" s="50"/>
      <c r="G17" s="50"/>
      <c r="H17" s="52"/>
      <c r="I17" s="50"/>
      <c r="J17" s="50"/>
      <c r="K17" s="50"/>
      <c r="L17" s="50"/>
      <c r="M17" s="55"/>
      <c r="N17" s="54">
        <f t="shared" si="4"/>
        <v>0</v>
      </c>
      <c r="P17" s="57"/>
      <c r="Q17" s="57"/>
      <c r="R17" s="58"/>
      <c r="S17" s="57"/>
      <c r="T17" s="59"/>
      <c r="U17" s="57"/>
      <c r="V17" s="57"/>
      <c r="W17" s="58"/>
      <c r="X17" s="57"/>
      <c r="Y17" s="57"/>
      <c r="Z17" s="57"/>
      <c r="AA17" s="54">
        <f>SUM(AA13:AA16)</f>
        <v>2124</v>
      </c>
      <c r="AB17" s="60">
        <f>SUM(AB13:AB16)</f>
        <v>708</v>
      </c>
      <c r="AC17" s="54">
        <f>SUM(AC13:AC16)</f>
        <v>1416</v>
      </c>
      <c r="AD17" s="3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3"/>
    </row>
    <row r="18" spans="1:45" s="48" customFormat="1" ht="100.05" customHeight="1" x14ac:dyDescent="0.3">
      <c r="A18" s="57"/>
      <c r="B18" s="57"/>
      <c r="C18" s="58"/>
      <c r="D18" s="57"/>
      <c r="E18" s="59"/>
      <c r="F18" s="57"/>
      <c r="G18" s="57"/>
      <c r="H18" s="58"/>
      <c r="I18" s="57"/>
      <c r="J18" s="57"/>
      <c r="K18" s="57"/>
      <c r="L18" s="54">
        <f>SUM(L13:L17)</f>
        <v>3000</v>
      </c>
      <c r="M18" s="60">
        <f>SUM(M13:M17)</f>
        <v>1530</v>
      </c>
      <c r="N18" s="54">
        <f>SUM(N13:N17)</f>
        <v>1470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"/>
    </row>
    <row r="19" spans="1:45" ht="100.05" customHeight="1" x14ac:dyDescent="0.3"/>
    <row r="20" spans="1:45" s="47" customFormat="1" ht="100.0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3"/>
    </row>
    <row r="21" spans="1:45" s="47" customFormat="1" ht="100.0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3"/>
    </row>
    <row r="22" spans="1:45" s="48" customFormat="1" ht="100.0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3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3"/>
    </row>
    <row r="23" spans="1:45" s="48" customFormat="1" ht="100.0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3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3"/>
    </row>
    <row r="24" spans="1:45" s="48" customFormat="1" ht="100.0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3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3"/>
    </row>
    <row r="25" spans="1:45" s="48" customFormat="1" ht="100.0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3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3"/>
    </row>
    <row r="26" spans="1:45" s="48" customFormat="1" ht="100.0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3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3"/>
    </row>
    <row r="27" spans="1:45" s="48" customFormat="1" ht="100.0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3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3"/>
    </row>
    <row r="28" spans="1:45" s="48" customFormat="1" ht="100.0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3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3"/>
    </row>
    <row r="29" spans="1:45" s="48" customFormat="1" ht="100.0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3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3"/>
    </row>
    <row r="30" spans="1:45" s="48" customFormat="1" ht="100.0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3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3"/>
    </row>
    <row r="31" spans="1:45" s="48" customFormat="1" ht="100.0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3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3"/>
    </row>
    <row r="32" spans="1:45" ht="100.05" customHeight="1" x14ac:dyDescent="0.3"/>
    <row r="33" spans="1:45" s="49" customFormat="1" ht="100.0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3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3"/>
    </row>
    <row r="34" spans="1:45" s="49" customFormat="1" ht="100.0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3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3"/>
    </row>
    <row r="35" spans="1:45" s="56" customFormat="1" ht="100.0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3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3"/>
    </row>
    <row r="36" spans="1:45" s="56" customFormat="1" ht="100.0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3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3"/>
    </row>
    <row r="37" spans="1:45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3"/>
    </row>
    <row r="38" spans="1:45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3"/>
    </row>
    <row r="39" spans="1:45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3"/>
    </row>
    <row r="40" spans="1:45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/>
    </row>
    <row r="41" spans="1:45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3"/>
    </row>
    <row r="42" spans="1:45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3"/>
    </row>
    <row r="43" spans="1:45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3"/>
    </row>
    <row r="44" spans="1:45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3"/>
    </row>
  </sheetData>
  <mergeCells count="17">
    <mergeCell ref="AJ6:AO6"/>
    <mergeCell ref="AJ7:AO7"/>
    <mergeCell ref="A1:C1"/>
    <mergeCell ref="A2:N2"/>
    <mergeCell ref="A11:N11"/>
    <mergeCell ref="K1:N1"/>
    <mergeCell ref="AO1:AR1"/>
    <mergeCell ref="AE2:AR2"/>
    <mergeCell ref="AE1:AG1"/>
    <mergeCell ref="P1:R1"/>
    <mergeCell ref="Z1:AC1"/>
    <mergeCell ref="P2:AC2"/>
    <mergeCell ref="AJ8:AO8"/>
    <mergeCell ref="P11:AC11"/>
    <mergeCell ref="AJ3:AO3"/>
    <mergeCell ref="AJ4:AO4"/>
    <mergeCell ref="AJ5:AO5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4"/>
  <sheetViews>
    <sheetView topLeftCell="U1" zoomScale="25" zoomScaleNormal="25" workbookViewId="0">
      <selection activeCell="E13" sqref="E13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50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4" width="23.6640625" style="2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9" width="23.664062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45915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82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210825</v>
      </c>
      <c r="B4" s="62">
        <v>304</v>
      </c>
      <c r="C4" s="64">
        <v>0.8</v>
      </c>
      <c r="D4" s="62">
        <v>33</v>
      </c>
      <c r="E4" s="65" t="s">
        <v>77</v>
      </c>
      <c r="F4" s="62" t="s">
        <v>81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24</v>
      </c>
      <c r="L4" s="66">
        <v>4000</v>
      </c>
      <c r="M4" s="67">
        <f>400+1000+2520</f>
        <v>3920</v>
      </c>
      <c r="N4" s="66">
        <f>L4-M4</f>
        <v>80</v>
      </c>
      <c r="P4" s="62">
        <v>10925</v>
      </c>
      <c r="Q4" s="62">
        <v>304</v>
      </c>
      <c r="R4" s="64">
        <v>0.8</v>
      </c>
      <c r="S4" s="62">
        <v>37.700000000000003</v>
      </c>
      <c r="T4" s="65" t="s">
        <v>90</v>
      </c>
      <c r="U4" s="62" t="s">
        <v>42</v>
      </c>
      <c r="V4" s="62" t="s">
        <v>24</v>
      </c>
      <c r="W4" s="64">
        <v>0.6</v>
      </c>
      <c r="X4" s="62">
        <v>157</v>
      </c>
      <c r="Y4" s="64">
        <v>4</v>
      </c>
      <c r="Z4" s="62" t="s">
        <v>74</v>
      </c>
      <c r="AA4" s="66">
        <v>3200</v>
      </c>
      <c r="AB4" s="67">
        <f>660+2000+850</f>
        <v>3510</v>
      </c>
      <c r="AC4" s="66">
        <f>AA4-AB4</f>
        <v>-310</v>
      </c>
      <c r="AE4" s="62">
        <v>10925</v>
      </c>
      <c r="AF4" s="62">
        <v>430</v>
      </c>
      <c r="AG4" s="64">
        <v>0.6</v>
      </c>
      <c r="AH4" s="77">
        <v>187</v>
      </c>
      <c r="AI4" s="65" t="s">
        <v>108</v>
      </c>
      <c r="AJ4" s="78" t="s">
        <v>119</v>
      </c>
      <c r="AK4" s="66">
        <v>3300</v>
      </c>
      <c r="AL4" s="67">
        <f>250+2250</f>
        <v>2500</v>
      </c>
      <c r="AM4" s="66">
        <f t="shared" ref="AM4:AM15" si="0">AK4-AL4</f>
        <v>800</v>
      </c>
    </row>
    <row r="5" spans="1:40" s="76" customFormat="1" ht="100.05" customHeight="1" x14ac:dyDescent="0.3">
      <c r="A5" s="62">
        <v>10925</v>
      </c>
      <c r="B5" s="62">
        <v>430</v>
      </c>
      <c r="C5" s="64">
        <v>0.8</v>
      </c>
      <c r="D5" s="62">
        <v>31.3</v>
      </c>
      <c r="E5" s="65" t="s">
        <v>91</v>
      </c>
      <c r="F5" s="62" t="s">
        <v>42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24</v>
      </c>
      <c r="L5" s="66">
        <v>3100</v>
      </c>
      <c r="M5" s="67">
        <v>200</v>
      </c>
      <c r="N5" s="66">
        <f t="shared" ref="N5:N8" si="1">L5-M5</f>
        <v>2900</v>
      </c>
      <c r="P5" s="62">
        <v>10925</v>
      </c>
      <c r="Q5" s="62">
        <v>430</v>
      </c>
      <c r="R5" s="64">
        <v>0.8</v>
      </c>
      <c r="S5" s="62">
        <v>36.5</v>
      </c>
      <c r="T5" s="65" t="s">
        <v>88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3300</v>
      </c>
      <c r="AB5" s="67">
        <f>200+2000</f>
        <v>2200</v>
      </c>
      <c r="AC5" s="66">
        <f t="shared" ref="AC5:AC8" si="2">AA5-AB5</f>
        <v>1100</v>
      </c>
      <c r="AE5" s="62">
        <v>10925</v>
      </c>
      <c r="AF5" s="62">
        <v>430</v>
      </c>
      <c r="AG5" s="64">
        <v>0.6</v>
      </c>
      <c r="AH5" s="67" t="s">
        <v>71</v>
      </c>
      <c r="AI5" s="65" t="s">
        <v>103</v>
      </c>
      <c r="AJ5" s="78" t="s">
        <v>119</v>
      </c>
      <c r="AK5" s="66">
        <v>3300</v>
      </c>
      <c r="AL5" s="67"/>
      <c r="AM5" s="66">
        <f t="shared" si="0"/>
        <v>3300</v>
      </c>
    </row>
    <row r="6" spans="1:40" s="76" customFormat="1" ht="100.05" customHeight="1" x14ac:dyDescent="0.3">
      <c r="A6" s="62"/>
      <c r="B6" s="62"/>
      <c r="C6" s="64"/>
      <c r="D6" s="62"/>
      <c r="E6" s="65" t="s">
        <v>118</v>
      </c>
      <c r="F6" s="62"/>
      <c r="G6" s="62"/>
      <c r="H6" s="64"/>
      <c r="I6" s="62"/>
      <c r="J6" s="62"/>
      <c r="K6" s="62"/>
      <c r="L6" s="66"/>
      <c r="M6" s="67"/>
      <c r="N6" s="66">
        <f t="shared" si="1"/>
        <v>0</v>
      </c>
      <c r="P6" s="62">
        <v>10925</v>
      </c>
      <c r="Q6" s="62">
        <v>430</v>
      </c>
      <c r="R6" s="64">
        <v>0.8</v>
      </c>
      <c r="S6" s="62">
        <v>38.299999999999997</v>
      </c>
      <c r="T6" s="65" t="s">
        <v>117</v>
      </c>
      <c r="U6" s="62" t="s">
        <v>42</v>
      </c>
      <c r="V6" s="62">
        <v>430</v>
      </c>
      <c r="W6" s="64">
        <v>0.6</v>
      </c>
      <c r="X6" s="62" t="s">
        <v>24</v>
      </c>
      <c r="Y6" s="62" t="s">
        <v>24</v>
      </c>
      <c r="Z6" s="62" t="s">
        <v>74</v>
      </c>
      <c r="AA6" s="66">
        <v>3300</v>
      </c>
      <c r="AB6" s="67"/>
      <c r="AC6" s="66">
        <f t="shared" si="2"/>
        <v>3300</v>
      </c>
      <c r="AE6" s="62">
        <v>10925</v>
      </c>
      <c r="AF6" s="62">
        <v>430</v>
      </c>
      <c r="AG6" s="64">
        <v>0.6</v>
      </c>
      <c r="AH6" s="67" t="s">
        <v>71</v>
      </c>
      <c r="AI6" s="65" t="s">
        <v>104</v>
      </c>
      <c r="AJ6" s="78" t="s">
        <v>119</v>
      </c>
      <c r="AK6" s="66">
        <v>3300</v>
      </c>
      <c r="AL6" s="67"/>
      <c r="AM6" s="66">
        <f t="shared" si="0"/>
        <v>3300</v>
      </c>
    </row>
    <row r="7" spans="1:40" s="76" customFormat="1" ht="100.05" customHeight="1" x14ac:dyDescent="0.3">
      <c r="A7" s="62"/>
      <c r="B7" s="62"/>
      <c r="C7" s="64"/>
      <c r="D7" s="62"/>
      <c r="E7" s="65"/>
      <c r="F7" s="62"/>
      <c r="G7" s="62"/>
      <c r="H7" s="64"/>
      <c r="I7" s="62"/>
      <c r="J7" s="62"/>
      <c r="K7" s="62"/>
      <c r="L7" s="66"/>
      <c r="M7" s="67"/>
      <c r="N7" s="66">
        <f t="shared" si="1"/>
        <v>0</v>
      </c>
      <c r="P7" s="62">
        <v>10925</v>
      </c>
      <c r="Q7" s="62">
        <v>430</v>
      </c>
      <c r="R7" s="64">
        <v>0.8</v>
      </c>
      <c r="S7" s="62" t="s">
        <v>71</v>
      </c>
      <c r="T7" s="65" t="s">
        <v>120</v>
      </c>
      <c r="U7" s="62" t="s">
        <v>24</v>
      </c>
      <c r="V7" s="62" t="s">
        <v>24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3300</v>
      </c>
      <c r="AB7" s="67"/>
      <c r="AC7" s="66">
        <f t="shared" si="2"/>
        <v>3300</v>
      </c>
      <c r="AE7" s="62">
        <v>10925</v>
      </c>
      <c r="AF7" s="62">
        <v>430</v>
      </c>
      <c r="AG7" s="64">
        <v>0.6</v>
      </c>
      <c r="AH7" s="67" t="s">
        <v>71</v>
      </c>
      <c r="AI7" s="65" t="s">
        <v>105</v>
      </c>
      <c r="AJ7" s="78" t="s">
        <v>119</v>
      </c>
      <c r="AK7" s="66">
        <v>3300</v>
      </c>
      <c r="AL7" s="67"/>
      <c r="AM7" s="66">
        <f t="shared" si="0"/>
        <v>3300</v>
      </c>
    </row>
    <row r="8" spans="1:40" s="7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1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2"/>
      <c r="AB8" s="67"/>
      <c r="AC8" s="66">
        <f t="shared" si="2"/>
        <v>0</v>
      </c>
      <c r="AE8" s="62">
        <v>10925</v>
      </c>
      <c r="AF8" s="62">
        <v>430</v>
      </c>
      <c r="AG8" s="64">
        <v>0.6</v>
      </c>
      <c r="AH8" s="67" t="s">
        <v>71</v>
      </c>
      <c r="AI8" s="65" t="s">
        <v>106</v>
      </c>
      <c r="AJ8" s="78" t="s">
        <v>119</v>
      </c>
      <c r="AK8" s="66">
        <v>3100</v>
      </c>
      <c r="AL8" s="67"/>
      <c r="AM8" s="66">
        <f t="shared" si="0"/>
        <v>3100</v>
      </c>
    </row>
    <row r="9" spans="1:40" s="7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7100</v>
      </c>
      <c r="M9" s="71">
        <f>SUM(M4:M8)</f>
        <v>4120</v>
      </c>
      <c r="N9" s="66">
        <f>SUM(N4:N8)</f>
        <v>2980</v>
      </c>
      <c r="P9" s="68"/>
      <c r="Q9" s="68"/>
      <c r="R9" s="69"/>
      <c r="S9" s="68"/>
      <c r="T9" s="70"/>
      <c r="U9" s="68"/>
      <c r="V9" s="68"/>
      <c r="W9" s="69"/>
      <c r="X9" s="68"/>
      <c r="Y9" s="68"/>
      <c r="Z9" s="68"/>
      <c r="AA9" s="66">
        <f>AA4+AA5+AA6+AA7+AA8</f>
        <v>13100</v>
      </c>
      <c r="AB9" s="71">
        <f>SUM(AB4:AB8)</f>
        <v>5710</v>
      </c>
      <c r="AC9" s="66">
        <f>SUM(AC4:AC8)</f>
        <v>7390</v>
      </c>
      <c r="AE9" s="62">
        <v>10925</v>
      </c>
      <c r="AF9" s="62">
        <v>430</v>
      </c>
      <c r="AG9" s="64">
        <v>0.6</v>
      </c>
      <c r="AH9" s="67" t="s">
        <v>71</v>
      </c>
      <c r="AI9" s="65" t="s">
        <v>107</v>
      </c>
      <c r="AJ9" s="78" t="s">
        <v>119</v>
      </c>
      <c r="AK9" s="66">
        <v>3100</v>
      </c>
      <c r="AL9" s="67"/>
      <c r="AM9" s="66">
        <f t="shared" si="0"/>
        <v>3100</v>
      </c>
    </row>
    <row r="10" spans="1:40" s="75" customFormat="1" ht="100.05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6"/>
      <c r="AE10" s="62">
        <v>10925</v>
      </c>
      <c r="AF10" s="62">
        <v>304</v>
      </c>
      <c r="AG10" s="64">
        <v>0.8</v>
      </c>
      <c r="AH10" s="67" t="s">
        <v>71</v>
      </c>
      <c r="AI10" s="65" t="s">
        <v>110</v>
      </c>
      <c r="AJ10" s="78" t="s">
        <v>119</v>
      </c>
      <c r="AK10" s="66">
        <v>3200</v>
      </c>
      <c r="AL10" s="67"/>
      <c r="AM10" s="66">
        <f t="shared" ref="AM10:AM11" si="3">AK10-AL10</f>
        <v>3200</v>
      </c>
      <c r="AN10" s="76"/>
    </row>
    <row r="11" spans="1:40" s="75" customFormat="1" ht="100.05" customHeight="1" x14ac:dyDescent="0.3">
      <c r="A11" s="109" t="s">
        <v>101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P11" s="109" t="s">
        <v>99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76"/>
      <c r="AE11" s="62">
        <v>10925</v>
      </c>
      <c r="AF11" s="62">
        <v>304</v>
      </c>
      <c r="AG11" s="64">
        <v>0.8</v>
      </c>
      <c r="AH11" s="67" t="s">
        <v>71</v>
      </c>
      <c r="AI11" s="65" t="s">
        <v>109</v>
      </c>
      <c r="AJ11" s="78" t="s">
        <v>119</v>
      </c>
      <c r="AK11" s="66">
        <v>3200</v>
      </c>
      <c r="AL11" s="67"/>
      <c r="AM11" s="66">
        <f t="shared" si="3"/>
        <v>3200</v>
      </c>
      <c r="AN11" s="76"/>
    </row>
    <row r="12" spans="1:40" s="75" customFormat="1" ht="100.05" customHeight="1" x14ac:dyDescent="0.3">
      <c r="A12" s="81" t="s">
        <v>0</v>
      </c>
      <c r="B12" s="81" t="s">
        <v>9</v>
      </c>
      <c r="C12" s="82" t="s">
        <v>11</v>
      </c>
      <c r="D12" s="81" t="s">
        <v>2</v>
      </c>
      <c r="E12" s="81" t="s">
        <v>1</v>
      </c>
      <c r="F12" s="81" t="s">
        <v>14</v>
      </c>
      <c r="G12" s="81" t="s">
        <v>8</v>
      </c>
      <c r="H12" s="82" t="s">
        <v>10</v>
      </c>
      <c r="I12" s="82" t="s">
        <v>12</v>
      </c>
      <c r="J12" s="82" t="s">
        <v>13</v>
      </c>
      <c r="K12" s="81" t="s">
        <v>3</v>
      </c>
      <c r="L12" s="81" t="s">
        <v>7</v>
      </c>
      <c r="M12" s="81" t="s">
        <v>5</v>
      </c>
      <c r="N12" s="81" t="s">
        <v>6</v>
      </c>
      <c r="P12" s="81" t="s">
        <v>0</v>
      </c>
      <c r="Q12" s="81" t="s">
        <v>9</v>
      </c>
      <c r="R12" s="82" t="s">
        <v>11</v>
      </c>
      <c r="S12" s="81" t="s">
        <v>2</v>
      </c>
      <c r="T12" s="81" t="s">
        <v>1</v>
      </c>
      <c r="U12" s="81" t="s">
        <v>14</v>
      </c>
      <c r="V12" s="81" t="s">
        <v>8</v>
      </c>
      <c r="W12" s="82" t="s">
        <v>10</v>
      </c>
      <c r="X12" s="82" t="s">
        <v>12</v>
      </c>
      <c r="Y12" s="82" t="s">
        <v>13</v>
      </c>
      <c r="Z12" s="81" t="s">
        <v>3</v>
      </c>
      <c r="AA12" s="81" t="s">
        <v>7</v>
      </c>
      <c r="AB12" s="81" t="s">
        <v>5</v>
      </c>
      <c r="AC12" s="81" t="s">
        <v>6</v>
      </c>
      <c r="AD12" s="76"/>
      <c r="AE12" s="62">
        <v>100925</v>
      </c>
      <c r="AF12" s="62">
        <v>304</v>
      </c>
      <c r="AG12" s="64">
        <v>0.9</v>
      </c>
      <c r="AH12" s="67" t="s">
        <v>71</v>
      </c>
      <c r="AI12" s="65" t="s">
        <v>111</v>
      </c>
      <c r="AJ12" s="78" t="s">
        <v>113</v>
      </c>
      <c r="AK12" s="66">
        <v>1200</v>
      </c>
      <c r="AL12" s="67"/>
      <c r="AM12" s="66">
        <f t="shared" si="0"/>
        <v>1200</v>
      </c>
      <c r="AN12" s="76"/>
    </row>
    <row r="13" spans="1:40" s="76" customFormat="1" ht="100.05" customHeight="1" x14ac:dyDescent="0.3">
      <c r="A13" s="62">
        <v>225065</v>
      </c>
      <c r="B13" s="62">
        <v>430</v>
      </c>
      <c r="C13" s="64">
        <v>0.5</v>
      </c>
      <c r="D13" s="62">
        <v>22</v>
      </c>
      <c r="E13" s="65" t="s">
        <v>85</v>
      </c>
      <c r="F13" s="62" t="s">
        <v>23</v>
      </c>
      <c r="G13" s="62">
        <v>430</v>
      </c>
      <c r="H13" s="64" t="s">
        <v>24</v>
      </c>
      <c r="I13" s="62" t="s">
        <v>24</v>
      </c>
      <c r="J13" s="62" t="s">
        <v>24</v>
      </c>
      <c r="K13" s="62" t="s">
        <v>86</v>
      </c>
      <c r="L13" s="66">
        <v>1500</v>
      </c>
      <c r="M13" s="67">
        <v>1500</v>
      </c>
      <c r="N13" s="66">
        <f>L13-M13</f>
        <v>0</v>
      </c>
      <c r="P13" s="62">
        <v>250074</v>
      </c>
      <c r="Q13" s="62">
        <v>304</v>
      </c>
      <c r="R13" s="64">
        <v>0.7</v>
      </c>
      <c r="S13" s="62">
        <v>26.5</v>
      </c>
      <c r="T13" s="65" t="s">
        <v>73</v>
      </c>
      <c r="U13" s="62" t="s">
        <v>24</v>
      </c>
      <c r="V13" s="62">
        <v>430</v>
      </c>
      <c r="W13" s="64" t="s">
        <v>24</v>
      </c>
      <c r="X13" s="62" t="s">
        <v>24</v>
      </c>
      <c r="Y13" s="62" t="s">
        <v>24</v>
      </c>
      <c r="Z13" s="62" t="s">
        <v>74</v>
      </c>
      <c r="AA13" s="66">
        <v>708</v>
      </c>
      <c r="AB13" s="67">
        <v>780</v>
      </c>
      <c r="AC13" s="66">
        <f t="shared" ref="AC13:AC16" si="4">AA13-AB13</f>
        <v>-72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112</v>
      </c>
      <c r="AJ13" s="78" t="s">
        <v>119</v>
      </c>
      <c r="AK13" s="66">
        <v>1200</v>
      </c>
      <c r="AL13" s="67"/>
      <c r="AM13" s="66">
        <f t="shared" si="0"/>
        <v>1200</v>
      </c>
    </row>
    <row r="14" spans="1:40" s="76" customFormat="1" ht="100.05" customHeight="1" x14ac:dyDescent="0.3">
      <c r="A14" s="62">
        <v>225066</v>
      </c>
      <c r="B14" s="62">
        <v>430</v>
      </c>
      <c r="C14" s="64">
        <v>0.5</v>
      </c>
      <c r="D14" s="62">
        <v>22</v>
      </c>
      <c r="E14" s="65" t="s">
        <v>87</v>
      </c>
      <c r="F14" s="62" t="s">
        <v>23</v>
      </c>
      <c r="G14" s="62">
        <v>430</v>
      </c>
      <c r="H14" s="64" t="s">
        <v>24</v>
      </c>
      <c r="I14" s="62" t="s">
        <v>24</v>
      </c>
      <c r="J14" s="62" t="s">
        <v>24</v>
      </c>
      <c r="K14" s="62" t="s">
        <v>86</v>
      </c>
      <c r="L14" s="66">
        <v>1500</v>
      </c>
      <c r="M14" s="67">
        <f>30+1600</f>
        <v>1630</v>
      </c>
      <c r="N14" s="66">
        <f>L14-M14</f>
        <v>-130</v>
      </c>
      <c r="P14" s="62">
        <v>250074</v>
      </c>
      <c r="Q14" s="62">
        <v>304</v>
      </c>
      <c r="R14" s="64">
        <v>0.7</v>
      </c>
      <c r="S14" s="62">
        <v>30.7</v>
      </c>
      <c r="T14" s="65" t="s">
        <v>75</v>
      </c>
      <c r="U14" s="62" t="s">
        <v>24</v>
      </c>
      <c r="V14" s="62">
        <v>430</v>
      </c>
      <c r="W14" s="64" t="s">
        <v>24</v>
      </c>
      <c r="X14" s="62" t="s">
        <v>24</v>
      </c>
      <c r="Y14" s="62" t="s">
        <v>24</v>
      </c>
      <c r="Z14" s="62" t="s">
        <v>74</v>
      </c>
      <c r="AA14" s="66">
        <v>708</v>
      </c>
      <c r="AB14" s="67">
        <v>779</v>
      </c>
      <c r="AC14" s="66">
        <f t="shared" si="4"/>
        <v>-71</v>
      </c>
      <c r="AD14" s="75"/>
      <c r="AE14" s="62">
        <v>100925</v>
      </c>
      <c r="AF14" s="62">
        <v>304</v>
      </c>
      <c r="AG14" s="64">
        <v>0.9</v>
      </c>
      <c r="AH14" s="67" t="s">
        <v>71</v>
      </c>
      <c r="AI14" s="65" t="s">
        <v>114</v>
      </c>
      <c r="AJ14" s="78" t="s">
        <v>113</v>
      </c>
      <c r="AK14" s="66">
        <v>1500</v>
      </c>
      <c r="AL14" s="67"/>
      <c r="AM14" s="66">
        <f t="shared" si="0"/>
        <v>1500</v>
      </c>
      <c r="AN14" s="75"/>
    </row>
    <row r="15" spans="1:40" s="76" customFormat="1" ht="100.05" customHeight="1" x14ac:dyDescent="0.3">
      <c r="A15" s="62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6"/>
      <c r="M15" s="67"/>
      <c r="N15" s="66">
        <f t="shared" ref="N15:N17" si="5">L15-M15</f>
        <v>0</v>
      </c>
      <c r="P15" s="62">
        <v>250074</v>
      </c>
      <c r="Q15" s="62">
        <v>304</v>
      </c>
      <c r="R15" s="64">
        <v>0.7</v>
      </c>
      <c r="S15" s="62">
        <v>32.4</v>
      </c>
      <c r="T15" s="65" t="s">
        <v>76</v>
      </c>
      <c r="U15" s="62" t="s">
        <v>24</v>
      </c>
      <c r="V15" s="62">
        <v>430</v>
      </c>
      <c r="W15" s="64" t="s">
        <v>24</v>
      </c>
      <c r="X15" s="62" t="s">
        <v>24</v>
      </c>
      <c r="Y15" s="62" t="s">
        <v>24</v>
      </c>
      <c r="Z15" s="62" t="s">
        <v>74</v>
      </c>
      <c r="AA15" s="66">
        <v>708</v>
      </c>
      <c r="AB15" s="67">
        <v>790</v>
      </c>
      <c r="AC15" s="66">
        <f t="shared" si="4"/>
        <v>-82</v>
      </c>
      <c r="AD15" s="75"/>
      <c r="AE15" s="62">
        <v>100925</v>
      </c>
      <c r="AF15" s="62">
        <v>304</v>
      </c>
      <c r="AG15" s="64">
        <v>0.9</v>
      </c>
      <c r="AH15" s="67" t="s">
        <v>71</v>
      </c>
      <c r="AI15" s="65" t="s">
        <v>115</v>
      </c>
      <c r="AJ15" s="78" t="s">
        <v>119</v>
      </c>
      <c r="AK15" s="66">
        <v>2100</v>
      </c>
      <c r="AL15" s="67"/>
      <c r="AM15" s="66">
        <f t="shared" si="0"/>
        <v>2100</v>
      </c>
      <c r="AN15" s="75"/>
    </row>
    <row r="16" spans="1:40" s="76" customFormat="1" ht="100.05" customHeight="1" x14ac:dyDescent="0.3">
      <c r="A16" s="62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6"/>
      <c r="M16" s="67"/>
      <c r="N16" s="66">
        <f t="shared" si="5"/>
        <v>0</v>
      </c>
      <c r="P16" s="62">
        <v>10925</v>
      </c>
      <c r="Q16" s="62">
        <v>430</v>
      </c>
      <c r="R16" s="64">
        <v>0.8</v>
      </c>
      <c r="S16" s="62">
        <v>26.5</v>
      </c>
      <c r="T16" s="65" t="s">
        <v>102</v>
      </c>
      <c r="U16" s="62" t="s">
        <v>24</v>
      </c>
      <c r="V16" s="62" t="s">
        <v>24</v>
      </c>
      <c r="W16" s="64" t="s">
        <v>24</v>
      </c>
      <c r="X16" s="62" t="s">
        <v>24</v>
      </c>
      <c r="Y16" s="62" t="s">
        <v>24</v>
      </c>
      <c r="Z16" s="62" t="s">
        <v>24</v>
      </c>
      <c r="AA16" s="66">
        <v>3100</v>
      </c>
      <c r="AB16" s="67"/>
      <c r="AC16" s="66">
        <f t="shared" si="4"/>
        <v>3100</v>
      </c>
      <c r="AD16" s="75"/>
      <c r="AE16" s="62">
        <v>100925</v>
      </c>
      <c r="AF16" s="62">
        <v>304</v>
      </c>
      <c r="AG16" s="64">
        <v>0.9</v>
      </c>
      <c r="AH16" s="67" t="s">
        <v>71</v>
      </c>
      <c r="AI16" s="65" t="s">
        <v>116</v>
      </c>
      <c r="AJ16" s="78" t="s">
        <v>119</v>
      </c>
      <c r="AK16" s="66">
        <v>600</v>
      </c>
      <c r="AL16" s="67"/>
      <c r="AM16" s="66">
        <f t="shared" ref="AM16" si="6">AK16-AL16</f>
        <v>600</v>
      </c>
      <c r="AN16" s="75"/>
    </row>
    <row r="17" spans="1:40" s="76" customFormat="1" ht="100.05" customHeight="1" x14ac:dyDescent="0.3">
      <c r="A17" s="62"/>
      <c r="B17" s="62"/>
      <c r="C17" s="64"/>
      <c r="D17" s="62"/>
      <c r="E17" s="65"/>
      <c r="F17" s="62"/>
      <c r="G17" s="62"/>
      <c r="H17" s="64"/>
      <c r="I17" s="62"/>
      <c r="J17" s="62"/>
      <c r="K17" s="62"/>
      <c r="L17" s="62"/>
      <c r="M17" s="67"/>
      <c r="N17" s="66">
        <f t="shared" si="5"/>
        <v>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SUM(AA13:AA16)</f>
        <v>5224</v>
      </c>
      <c r="AB17" s="71">
        <f>SUM(AB13:AB16)</f>
        <v>2349</v>
      </c>
      <c r="AC17" s="66">
        <f>SUM(AC13:AC16)</f>
        <v>2875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/>
      <c r="AN17" s="75"/>
    </row>
    <row r="18" spans="1:40" s="76" customFormat="1" ht="100.05" customHeight="1" x14ac:dyDescent="0.3">
      <c r="A18" s="68"/>
      <c r="B18" s="68"/>
      <c r="C18" s="69"/>
      <c r="D18" s="68"/>
      <c r="E18" s="70"/>
      <c r="F18" s="68"/>
      <c r="G18" s="68"/>
      <c r="H18" s="69"/>
      <c r="I18" s="68"/>
      <c r="J18" s="68"/>
      <c r="K18" s="68"/>
      <c r="L18" s="66">
        <f>SUM(L13:L17)</f>
        <v>3000</v>
      </c>
      <c r="M18" s="71">
        <f>SUM(M13:M17)</f>
        <v>3130</v>
      </c>
      <c r="N18" s="66">
        <f>SUM(N13:N17)</f>
        <v>-130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5"/>
      <c r="AE18" s="68"/>
      <c r="AF18" s="68"/>
      <c r="AG18" s="69"/>
      <c r="AH18" s="68"/>
      <c r="AI18" s="70"/>
      <c r="AJ18" s="80"/>
      <c r="AK18" s="66">
        <f>SUM(AK4:AK17)</f>
        <v>32400</v>
      </c>
      <c r="AL18" s="71">
        <f>SUM(AL4:AL17)</f>
        <v>2500</v>
      </c>
      <c r="AM18" s="66">
        <f>SUM(AM4:AM17)</f>
        <v>29900</v>
      </c>
      <c r="AN18" s="75"/>
    </row>
    <row r="19" spans="1:40" s="75" customFormat="1" ht="100.0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spans="1:40" s="76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5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5"/>
      <c r="AE22" s="79"/>
      <c r="AF22" s="79"/>
      <c r="AG22" s="79"/>
      <c r="AH22" s="79"/>
      <c r="AI22" s="79"/>
      <c r="AJ22" s="79"/>
      <c r="AK22" s="79"/>
      <c r="AL22" s="79"/>
      <c r="AM22" s="79"/>
      <c r="AN22" s="75"/>
    </row>
    <row r="23" spans="1:40" s="76" customFormat="1" ht="100.0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79"/>
      <c r="AF23" s="79"/>
      <c r="AG23" s="79"/>
      <c r="AH23" s="79"/>
      <c r="AI23" s="79"/>
      <c r="AJ23" s="79"/>
      <c r="AK23" s="79"/>
      <c r="AL23" s="79"/>
      <c r="AM23" s="79"/>
      <c r="AN23" s="75"/>
    </row>
    <row r="24" spans="1:40" s="76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5"/>
      <c r="AE24" s="79"/>
      <c r="AF24" s="79"/>
      <c r="AG24" s="79"/>
      <c r="AH24" s="79"/>
      <c r="AI24" s="79"/>
      <c r="AJ24" s="79"/>
      <c r="AK24" s="79"/>
      <c r="AL24" s="79"/>
      <c r="AM24" s="79"/>
      <c r="AN24" s="75"/>
    </row>
    <row r="25" spans="1:40" s="76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79"/>
      <c r="AF25" s="79"/>
      <c r="AG25" s="79"/>
      <c r="AH25" s="79"/>
      <c r="AI25" s="79"/>
      <c r="AJ25" s="79"/>
      <c r="AK25" s="79"/>
      <c r="AL25" s="79"/>
      <c r="AM25" s="79"/>
      <c r="AN25" s="75"/>
    </row>
    <row r="26" spans="1:40" s="76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5"/>
      <c r="AE26" s="79"/>
      <c r="AF26" s="79"/>
      <c r="AG26" s="79"/>
      <c r="AH26" s="79"/>
      <c r="AI26" s="79"/>
      <c r="AJ26" s="79"/>
      <c r="AK26" s="79"/>
      <c r="AL26" s="79"/>
      <c r="AM26" s="79"/>
      <c r="AN26" s="75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1:40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1:40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1:40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1:40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</sheetData>
  <mergeCells count="11">
    <mergeCell ref="A11:N11"/>
    <mergeCell ref="P11:AC11"/>
    <mergeCell ref="A2:N2"/>
    <mergeCell ref="P2:AC2"/>
    <mergeCell ref="AE2:AM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4"/>
  <sheetViews>
    <sheetView topLeftCell="R1" zoomScale="25" zoomScaleNormal="25" workbookViewId="0">
      <selection activeCell="E13" sqref="E13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50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3" width="23.6640625" style="2" customWidth="1"/>
    <col min="14" max="14" width="26.77734375" style="2" bestFit="1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9" width="23.664062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45916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45916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82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10925</v>
      </c>
      <c r="B4" s="62">
        <v>430</v>
      </c>
      <c r="C4" s="64">
        <v>0.8</v>
      </c>
      <c r="D4" s="62">
        <v>31.3</v>
      </c>
      <c r="E4" s="65" t="s">
        <v>91</v>
      </c>
      <c r="F4" s="62" t="s">
        <v>42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24</v>
      </c>
      <c r="L4" s="66">
        <v>3100</v>
      </c>
      <c r="M4" s="67">
        <f>200+2500+600</f>
        <v>3300</v>
      </c>
      <c r="N4" s="66">
        <f>L4-M4</f>
        <v>-200</v>
      </c>
      <c r="P4" s="62">
        <v>10925</v>
      </c>
      <c r="Q4" s="62">
        <v>304</v>
      </c>
      <c r="R4" s="64">
        <v>0.8</v>
      </c>
      <c r="S4" s="62">
        <v>37.700000000000003</v>
      </c>
      <c r="T4" s="65" t="s">
        <v>90</v>
      </c>
      <c r="U4" s="62" t="s">
        <v>42</v>
      </c>
      <c r="V4" s="62" t="s">
        <v>24</v>
      </c>
      <c r="W4" s="64">
        <v>0.6</v>
      </c>
      <c r="X4" s="62">
        <v>157</v>
      </c>
      <c r="Y4" s="64">
        <v>4</v>
      </c>
      <c r="Z4" s="62" t="s">
        <v>74</v>
      </c>
      <c r="AA4" s="66">
        <v>3200</v>
      </c>
      <c r="AB4" s="67">
        <f>660+2000+850</f>
        <v>3510</v>
      </c>
      <c r="AC4" s="66">
        <f>AA4-AB4</f>
        <v>-310</v>
      </c>
      <c r="AE4" s="62">
        <v>10925</v>
      </c>
      <c r="AF4" s="62">
        <v>430</v>
      </c>
      <c r="AG4" s="64">
        <v>0.6</v>
      </c>
      <c r="AH4" s="77">
        <v>187</v>
      </c>
      <c r="AI4" s="65" t="s">
        <v>108</v>
      </c>
      <c r="AJ4" s="78" t="s">
        <v>119</v>
      </c>
      <c r="AK4" s="66">
        <v>3300</v>
      </c>
      <c r="AL4" s="67">
        <f>250+2250</f>
        <v>2500</v>
      </c>
      <c r="AM4" s="66">
        <f t="shared" ref="AM4:AM16" si="0">AK4-AL4</f>
        <v>800</v>
      </c>
    </row>
    <row r="5" spans="1:40" s="76" customFormat="1" ht="100.05" customHeight="1" x14ac:dyDescent="0.3">
      <c r="A5" s="62">
        <v>210825</v>
      </c>
      <c r="B5" s="62">
        <v>430</v>
      </c>
      <c r="C5" s="64">
        <v>0.5</v>
      </c>
      <c r="D5" s="62"/>
      <c r="E5" s="65" t="s">
        <v>124</v>
      </c>
      <c r="F5" s="62" t="s">
        <v>121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24</v>
      </c>
      <c r="L5" s="66">
        <v>3000</v>
      </c>
      <c r="M5" s="67">
        <v>730</v>
      </c>
      <c r="N5" s="66">
        <f t="shared" ref="N5:N8" si="1">L5-M5</f>
        <v>2270</v>
      </c>
      <c r="P5" s="62">
        <v>10925</v>
      </c>
      <c r="Q5" s="62">
        <v>430</v>
      </c>
      <c r="R5" s="64">
        <v>0.8</v>
      </c>
      <c r="S5" s="62">
        <v>36.5</v>
      </c>
      <c r="T5" s="65" t="s">
        <v>88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3300</v>
      </c>
      <c r="AB5" s="67">
        <f>200+2000</f>
        <v>2200</v>
      </c>
      <c r="AC5" s="66">
        <f t="shared" ref="AC5:AC8" si="2">AA5-AB5</f>
        <v>1100</v>
      </c>
      <c r="AE5" s="62">
        <v>10925</v>
      </c>
      <c r="AF5" s="62">
        <v>430</v>
      </c>
      <c r="AG5" s="64">
        <v>0.6</v>
      </c>
      <c r="AH5" s="67" t="s">
        <v>71</v>
      </c>
      <c r="AI5" s="65" t="s">
        <v>103</v>
      </c>
      <c r="AJ5" s="78" t="s">
        <v>119</v>
      </c>
      <c r="AK5" s="66">
        <v>3300</v>
      </c>
      <c r="AL5" s="67"/>
      <c r="AM5" s="66">
        <f t="shared" si="0"/>
        <v>3300</v>
      </c>
    </row>
    <row r="6" spans="1:40" s="76" customFormat="1" ht="100.05" customHeight="1" x14ac:dyDescent="0.3">
      <c r="A6" s="62">
        <v>210825</v>
      </c>
      <c r="B6" s="62">
        <v>430</v>
      </c>
      <c r="C6" s="64">
        <v>0.5</v>
      </c>
      <c r="D6" s="62"/>
      <c r="E6" s="65" t="s">
        <v>122</v>
      </c>
      <c r="F6" s="62" t="s">
        <v>121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24</v>
      </c>
      <c r="L6" s="66">
        <v>3000</v>
      </c>
      <c r="M6" s="67"/>
      <c r="N6" s="66">
        <f t="shared" si="1"/>
        <v>3000</v>
      </c>
      <c r="P6" s="62">
        <v>10925</v>
      </c>
      <c r="Q6" s="62">
        <v>430</v>
      </c>
      <c r="R6" s="64">
        <v>0.8</v>
      </c>
      <c r="S6" s="62">
        <v>38.299999999999997</v>
      </c>
      <c r="T6" s="65" t="s">
        <v>117</v>
      </c>
      <c r="U6" s="62" t="s">
        <v>42</v>
      </c>
      <c r="V6" s="62">
        <v>430</v>
      </c>
      <c r="W6" s="64">
        <v>0.6</v>
      </c>
      <c r="X6" s="62" t="s">
        <v>24</v>
      </c>
      <c r="Y6" s="62" t="s">
        <v>24</v>
      </c>
      <c r="Z6" s="62" t="s">
        <v>74</v>
      </c>
      <c r="AA6" s="66">
        <v>3300</v>
      </c>
      <c r="AB6" s="67"/>
      <c r="AC6" s="66">
        <f t="shared" si="2"/>
        <v>3300</v>
      </c>
      <c r="AE6" s="62">
        <v>10925</v>
      </c>
      <c r="AF6" s="62">
        <v>430</v>
      </c>
      <c r="AG6" s="64">
        <v>0.6</v>
      </c>
      <c r="AH6" s="67" t="s">
        <v>71</v>
      </c>
      <c r="AI6" s="65" t="s">
        <v>104</v>
      </c>
      <c r="AJ6" s="78" t="s">
        <v>119</v>
      </c>
      <c r="AK6" s="66">
        <v>3300</v>
      </c>
      <c r="AL6" s="67"/>
      <c r="AM6" s="66">
        <f t="shared" si="0"/>
        <v>3300</v>
      </c>
    </row>
    <row r="7" spans="1:40" s="76" customFormat="1" ht="100.05" customHeight="1" x14ac:dyDescent="0.3">
      <c r="A7" s="62">
        <v>210825</v>
      </c>
      <c r="B7" s="62">
        <v>430</v>
      </c>
      <c r="C7" s="64">
        <v>0.5</v>
      </c>
      <c r="D7" s="62"/>
      <c r="E7" s="65" t="s">
        <v>123</v>
      </c>
      <c r="F7" s="62" t="s">
        <v>121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24</v>
      </c>
      <c r="L7" s="66">
        <v>2600</v>
      </c>
      <c r="M7" s="67"/>
      <c r="N7" s="66">
        <f t="shared" si="1"/>
        <v>2600</v>
      </c>
      <c r="P7" s="62">
        <v>10925</v>
      </c>
      <c r="Q7" s="62">
        <v>430</v>
      </c>
      <c r="R7" s="64">
        <v>0.8</v>
      </c>
      <c r="S7" s="62" t="s">
        <v>71</v>
      </c>
      <c r="T7" s="65" t="s">
        <v>120</v>
      </c>
      <c r="U7" s="62" t="s">
        <v>24</v>
      </c>
      <c r="V7" s="62" t="s">
        <v>24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3300</v>
      </c>
      <c r="AB7" s="67"/>
      <c r="AC7" s="66">
        <f t="shared" si="2"/>
        <v>3300</v>
      </c>
      <c r="AE7" s="62">
        <v>10925</v>
      </c>
      <c r="AF7" s="62">
        <v>430</v>
      </c>
      <c r="AG7" s="64">
        <v>0.6</v>
      </c>
      <c r="AH7" s="67" t="s">
        <v>71</v>
      </c>
      <c r="AI7" s="65" t="s">
        <v>105</v>
      </c>
      <c r="AJ7" s="78" t="s">
        <v>119</v>
      </c>
      <c r="AK7" s="66">
        <v>3300</v>
      </c>
      <c r="AL7" s="67"/>
      <c r="AM7" s="66">
        <f t="shared" si="0"/>
        <v>3300</v>
      </c>
    </row>
    <row r="8" spans="1:40" s="7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1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2"/>
      <c r="AB8" s="67"/>
      <c r="AC8" s="66">
        <f t="shared" si="2"/>
        <v>0</v>
      </c>
      <c r="AE8" s="62">
        <v>10925</v>
      </c>
      <c r="AF8" s="62">
        <v>430</v>
      </c>
      <c r="AG8" s="64">
        <v>0.6</v>
      </c>
      <c r="AH8" s="67" t="s">
        <v>71</v>
      </c>
      <c r="AI8" s="65" t="s">
        <v>106</v>
      </c>
      <c r="AJ8" s="78" t="s">
        <v>119</v>
      </c>
      <c r="AK8" s="66">
        <v>3100</v>
      </c>
      <c r="AL8" s="67"/>
      <c r="AM8" s="66">
        <f t="shared" si="0"/>
        <v>3100</v>
      </c>
    </row>
    <row r="9" spans="1:40" s="7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11700</v>
      </c>
      <c r="M9" s="71">
        <f>SUM(M4:M8)</f>
        <v>4030</v>
      </c>
      <c r="N9" s="66">
        <f>SUM(N4:N8)</f>
        <v>7670</v>
      </c>
      <c r="P9" s="68"/>
      <c r="Q9" s="68"/>
      <c r="R9" s="69"/>
      <c r="S9" s="68"/>
      <c r="T9" s="70"/>
      <c r="U9" s="68"/>
      <c r="V9" s="68"/>
      <c r="W9" s="69"/>
      <c r="X9" s="68"/>
      <c r="Y9" s="68"/>
      <c r="Z9" s="68"/>
      <c r="AA9" s="66">
        <f>AA4+AA5+AA6+AA7+AA8</f>
        <v>13100</v>
      </c>
      <c r="AB9" s="71">
        <f>SUM(AB4:AB8)</f>
        <v>5710</v>
      </c>
      <c r="AC9" s="66">
        <f>SUM(AC4:AC8)</f>
        <v>7390</v>
      </c>
      <c r="AE9" s="62">
        <v>10925</v>
      </c>
      <c r="AF9" s="62">
        <v>430</v>
      </c>
      <c r="AG9" s="64">
        <v>0.6</v>
      </c>
      <c r="AH9" s="67" t="s">
        <v>71</v>
      </c>
      <c r="AI9" s="65" t="s">
        <v>107</v>
      </c>
      <c r="AJ9" s="78" t="s">
        <v>119</v>
      </c>
      <c r="AK9" s="66">
        <v>3100</v>
      </c>
      <c r="AL9" s="67"/>
      <c r="AM9" s="66">
        <f t="shared" si="0"/>
        <v>3100</v>
      </c>
    </row>
    <row r="10" spans="1:40" s="75" customFormat="1" ht="100.05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6"/>
      <c r="AE10" s="62">
        <v>10925</v>
      </c>
      <c r="AF10" s="62">
        <v>304</v>
      </c>
      <c r="AG10" s="64">
        <v>0.8</v>
      </c>
      <c r="AH10" s="67" t="s">
        <v>71</v>
      </c>
      <c r="AI10" s="65" t="s">
        <v>110</v>
      </c>
      <c r="AJ10" s="78" t="s">
        <v>119</v>
      </c>
      <c r="AK10" s="66">
        <v>3200</v>
      </c>
      <c r="AL10" s="67"/>
      <c r="AM10" s="66">
        <f t="shared" si="0"/>
        <v>3200</v>
      </c>
      <c r="AN10" s="76"/>
    </row>
    <row r="11" spans="1:40" s="75" customFormat="1" ht="100.05" customHeight="1" x14ac:dyDescent="0.3">
      <c r="A11" s="109" t="s">
        <v>101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P11" s="109" t="s">
        <v>99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76"/>
      <c r="AE11" s="62">
        <v>10925</v>
      </c>
      <c r="AF11" s="62">
        <v>304</v>
      </c>
      <c r="AG11" s="64">
        <v>0.8</v>
      </c>
      <c r="AH11" s="67" t="s">
        <v>71</v>
      </c>
      <c r="AI11" s="65" t="s">
        <v>109</v>
      </c>
      <c r="AJ11" s="78" t="s">
        <v>119</v>
      </c>
      <c r="AK11" s="66">
        <v>3200</v>
      </c>
      <c r="AL11" s="67"/>
      <c r="AM11" s="66">
        <f t="shared" si="0"/>
        <v>3200</v>
      </c>
      <c r="AN11" s="76"/>
    </row>
    <row r="12" spans="1:40" s="75" customFormat="1" ht="100.05" customHeight="1" x14ac:dyDescent="0.3">
      <c r="A12" s="81" t="s">
        <v>0</v>
      </c>
      <c r="B12" s="81" t="s">
        <v>9</v>
      </c>
      <c r="C12" s="82" t="s">
        <v>11</v>
      </c>
      <c r="D12" s="81" t="s">
        <v>2</v>
      </c>
      <c r="E12" s="81" t="s">
        <v>1</v>
      </c>
      <c r="F12" s="81" t="s">
        <v>14</v>
      </c>
      <c r="G12" s="81" t="s">
        <v>8</v>
      </c>
      <c r="H12" s="82" t="s">
        <v>10</v>
      </c>
      <c r="I12" s="82" t="s">
        <v>12</v>
      </c>
      <c r="J12" s="82" t="s">
        <v>13</v>
      </c>
      <c r="K12" s="81" t="s">
        <v>3</v>
      </c>
      <c r="L12" s="81" t="s">
        <v>7</v>
      </c>
      <c r="M12" s="81" t="s">
        <v>5</v>
      </c>
      <c r="N12" s="81" t="s">
        <v>6</v>
      </c>
      <c r="P12" s="81" t="s">
        <v>0</v>
      </c>
      <c r="Q12" s="81" t="s">
        <v>9</v>
      </c>
      <c r="R12" s="82" t="s">
        <v>11</v>
      </c>
      <c r="S12" s="81" t="s">
        <v>2</v>
      </c>
      <c r="T12" s="81" t="s">
        <v>1</v>
      </c>
      <c r="U12" s="81" t="s">
        <v>14</v>
      </c>
      <c r="V12" s="81" t="s">
        <v>8</v>
      </c>
      <c r="W12" s="82" t="s">
        <v>10</v>
      </c>
      <c r="X12" s="82" t="s">
        <v>12</v>
      </c>
      <c r="Y12" s="82" t="s">
        <v>13</v>
      </c>
      <c r="Z12" s="81" t="s">
        <v>3</v>
      </c>
      <c r="AA12" s="81" t="s">
        <v>7</v>
      </c>
      <c r="AB12" s="81" t="s">
        <v>5</v>
      </c>
      <c r="AC12" s="81" t="s">
        <v>6</v>
      </c>
      <c r="AD12" s="76"/>
      <c r="AE12" s="62">
        <v>100925</v>
      </c>
      <c r="AF12" s="62">
        <v>304</v>
      </c>
      <c r="AG12" s="64">
        <v>0.9</v>
      </c>
      <c r="AH12" s="67" t="s">
        <v>71</v>
      </c>
      <c r="AI12" s="65" t="s">
        <v>111</v>
      </c>
      <c r="AJ12" s="78" t="s">
        <v>113</v>
      </c>
      <c r="AK12" s="66">
        <v>1200</v>
      </c>
      <c r="AL12" s="67"/>
      <c r="AM12" s="66">
        <f t="shared" si="0"/>
        <v>1200</v>
      </c>
      <c r="AN12" s="76"/>
    </row>
    <row r="13" spans="1:40" s="76" customFormat="1" ht="100.05" customHeight="1" x14ac:dyDescent="0.3">
      <c r="A13" s="62"/>
      <c r="B13" s="62"/>
      <c r="C13" s="64"/>
      <c r="D13" s="62"/>
      <c r="E13" s="65"/>
      <c r="F13" s="62"/>
      <c r="G13" s="62"/>
      <c r="H13" s="64"/>
      <c r="I13" s="62"/>
      <c r="J13" s="62"/>
      <c r="K13" s="62"/>
      <c r="L13" s="66"/>
      <c r="M13" s="67"/>
      <c r="N13" s="66">
        <f>L13-M13</f>
        <v>0</v>
      </c>
      <c r="P13" s="62">
        <v>10925</v>
      </c>
      <c r="Q13" s="62">
        <v>430</v>
      </c>
      <c r="R13" s="64">
        <v>0.8</v>
      </c>
      <c r="S13" s="62">
        <v>26.5</v>
      </c>
      <c r="T13" s="65" t="s">
        <v>102</v>
      </c>
      <c r="U13" s="62" t="s">
        <v>24</v>
      </c>
      <c r="V13" s="62" t="s">
        <v>24</v>
      </c>
      <c r="W13" s="64" t="s">
        <v>24</v>
      </c>
      <c r="X13" s="62" t="s">
        <v>24</v>
      </c>
      <c r="Y13" s="62" t="s">
        <v>24</v>
      </c>
      <c r="Z13" s="62" t="s">
        <v>24</v>
      </c>
      <c r="AA13" s="66">
        <v>3100</v>
      </c>
      <c r="AB13" s="67"/>
      <c r="AC13" s="66">
        <f t="shared" ref="AC13:AC16" si="3">AA13-AB13</f>
        <v>3100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112</v>
      </c>
      <c r="AJ13" s="78" t="s">
        <v>119</v>
      </c>
      <c r="AK13" s="66">
        <v>1200</v>
      </c>
      <c r="AL13" s="67"/>
      <c r="AM13" s="66">
        <f t="shared" si="0"/>
        <v>1200</v>
      </c>
    </row>
    <row r="14" spans="1:40" s="76" customFormat="1" ht="100.05" customHeight="1" x14ac:dyDescent="0.3">
      <c r="A14" s="62"/>
      <c r="B14" s="62"/>
      <c r="C14" s="64"/>
      <c r="D14" s="62"/>
      <c r="E14" s="65"/>
      <c r="F14" s="62"/>
      <c r="G14" s="62"/>
      <c r="H14" s="64"/>
      <c r="I14" s="62"/>
      <c r="J14" s="62"/>
      <c r="K14" s="62"/>
      <c r="L14" s="66"/>
      <c r="M14" s="67"/>
      <c r="N14" s="66">
        <f>L14-M14</f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3"/>
        <v>0</v>
      </c>
      <c r="AD14" s="75"/>
      <c r="AE14" s="62">
        <v>100925</v>
      </c>
      <c r="AF14" s="62">
        <v>304</v>
      </c>
      <c r="AG14" s="64">
        <v>0.9</v>
      </c>
      <c r="AH14" s="67" t="s">
        <v>71</v>
      </c>
      <c r="AI14" s="65" t="s">
        <v>114</v>
      </c>
      <c r="AJ14" s="78" t="s">
        <v>113</v>
      </c>
      <c r="AK14" s="66">
        <v>1500</v>
      </c>
      <c r="AL14" s="67"/>
      <c r="AM14" s="66">
        <f t="shared" si="0"/>
        <v>1500</v>
      </c>
      <c r="AN14" s="75"/>
    </row>
    <row r="15" spans="1:40" s="76" customFormat="1" ht="100.05" customHeight="1" x14ac:dyDescent="0.3">
      <c r="A15" s="62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6"/>
      <c r="M15" s="67"/>
      <c r="N15" s="66">
        <f t="shared" ref="N15:N17" si="4">L15-M15</f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3"/>
        <v>0</v>
      </c>
      <c r="AD15" s="75"/>
      <c r="AE15" s="62">
        <v>100925</v>
      </c>
      <c r="AF15" s="62">
        <v>304</v>
      </c>
      <c r="AG15" s="64">
        <v>0.9</v>
      </c>
      <c r="AH15" s="67" t="s">
        <v>71</v>
      </c>
      <c r="AI15" s="65" t="s">
        <v>115</v>
      </c>
      <c r="AJ15" s="78" t="s">
        <v>119</v>
      </c>
      <c r="AK15" s="66">
        <v>2100</v>
      </c>
      <c r="AL15" s="67"/>
      <c r="AM15" s="66">
        <f t="shared" si="0"/>
        <v>2100</v>
      </c>
      <c r="AN15" s="75"/>
    </row>
    <row r="16" spans="1:40" s="76" customFormat="1" ht="100.05" customHeight="1" x14ac:dyDescent="0.3">
      <c r="A16" s="62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6"/>
      <c r="M16" s="67"/>
      <c r="N16" s="66">
        <f t="shared" si="4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3"/>
        <v>0</v>
      </c>
      <c r="AD16" s="75"/>
      <c r="AE16" s="62">
        <v>100925</v>
      </c>
      <c r="AF16" s="62">
        <v>304</v>
      </c>
      <c r="AG16" s="64">
        <v>0.9</v>
      </c>
      <c r="AH16" s="67" t="s">
        <v>71</v>
      </c>
      <c r="AI16" s="65" t="s">
        <v>116</v>
      </c>
      <c r="AJ16" s="78" t="s">
        <v>119</v>
      </c>
      <c r="AK16" s="66">
        <v>600</v>
      </c>
      <c r="AL16" s="67"/>
      <c r="AM16" s="66">
        <f t="shared" si="0"/>
        <v>600</v>
      </c>
      <c r="AN16" s="75"/>
    </row>
    <row r="17" spans="1:40" s="76" customFormat="1" ht="100.05" customHeight="1" x14ac:dyDescent="0.3">
      <c r="A17" s="62"/>
      <c r="B17" s="62"/>
      <c r="C17" s="64"/>
      <c r="D17" s="62"/>
      <c r="E17" s="65"/>
      <c r="F17" s="62"/>
      <c r="G17" s="62"/>
      <c r="H17" s="64"/>
      <c r="I17" s="62"/>
      <c r="J17" s="62"/>
      <c r="K17" s="62"/>
      <c r="L17" s="62"/>
      <c r="M17" s="67"/>
      <c r="N17" s="66">
        <f t="shared" si="4"/>
        <v>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SUM(AA13:AA16)</f>
        <v>3100</v>
      </c>
      <c r="AB17" s="71">
        <f>SUM(AB13:AB16)</f>
        <v>0</v>
      </c>
      <c r="AC17" s="66">
        <f>SUM(AC13:AC16)</f>
        <v>3100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/>
      <c r="AN17" s="75"/>
    </row>
    <row r="18" spans="1:40" s="76" customFormat="1" ht="100.05" customHeight="1" x14ac:dyDescent="0.3">
      <c r="A18" s="68"/>
      <c r="B18" s="68"/>
      <c r="C18" s="69"/>
      <c r="D18" s="68"/>
      <c r="E18" s="70"/>
      <c r="F18" s="68"/>
      <c r="G18" s="68"/>
      <c r="H18" s="69"/>
      <c r="I18" s="68"/>
      <c r="J18" s="68"/>
      <c r="K18" s="68"/>
      <c r="L18" s="66">
        <f>SUM(L13:L17)</f>
        <v>0</v>
      </c>
      <c r="M18" s="71">
        <f>SUM(M13:M17)</f>
        <v>0</v>
      </c>
      <c r="N18" s="66">
        <f>SUM(N13:N17)</f>
        <v>0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5"/>
      <c r="AE18" s="68"/>
      <c r="AF18" s="68"/>
      <c r="AG18" s="69"/>
      <c r="AH18" s="68"/>
      <c r="AI18" s="70"/>
      <c r="AJ18" s="80"/>
      <c r="AK18" s="66">
        <f>SUM(AK4:AK17)</f>
        <v>32400</v>
      </c>
      <c r="AL18" s="71">
        <f>SUM(AL4:AL17)</f>
        <v>2500</v>
      </c>
      <c r="AM18" s="66">
        <f>SUM(AM4:AM17)</f>
        <v>29900</v>
      </c>
      <c r="AN18" s="75"/>
    </row>
    <row r="19" spans="1:40" s="75" customFormat="1" ht="100.0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spans="1:40" s="76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5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5"/>
      <c r="AE22" s="79"/>
      <c r="AF22" s="79"/>
      <c r="AG22" s="79"/>
      <c r="AH22" s="79"/>
      <c r="AI22" s="79"/>
      <c r="AJ22" s="79"/>
      <c r="AK22" s="79"/>
      <c r="AL22" s="79"/>
      <c r="AM22" s="79"/>
      <c r="AN22" s="75"/>
    </row>
    <row r="23" spans="1:40" s="76" customFormat="1" ht="100.0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79"/>
      <c r="AF23" s="79"/>
      <c r="AG23" s="79"/>
      <c r="AH23" s="79"/>
      <c r="AI23" s="79"/>
      <c r="AJ23" s="79"/>
      <c r="AK23" s="79"/>
      <c r="AL23" s="79"/>
      <c r="AM23" s="79"/>
      <c r="AN23" s="75"/>
    </row>
    <row r="24" spans="1:40" s="76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5"/>
      <c r="AE24" s="79"/>
      <c r="AF24" s="79"/>
      <c r="AG24" s="79"/>
      <c r="AH24" s="79"/>
      <c r="AI24" s="79"/>
      <c r="AJ24" s="79"/>
      <c r="AK24" s="79"/>
      <c r="AL24" s="79"/>
      <c r="AM24" s="79"/>
      <c r="AN24" s="75"/>
    </row>
    <row r="25" spans="1:40" s="76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79"/>
      <c r="AF25" s="79"/>
      <c r="AG25" s="79"/>
      <c r="AH25" s="79"/>
      <c r="AI25" s="79"/>
      <c r="AJ25" s="79"/>
      <c r="AK25" s="79"/>
      <c r="AL25" s="79"/>
      <c r="AM25" s="79"/>
      <c r="AN25" s="75"/>
    </row>
    <row r="26" spans="1:40" s="76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5"/>
      <c r="AE26" s="79"/>
      <c r="AF26" s="79"/>
      <c r="AG26" s="79"/>
      <c r="AH26" s="79"/>
      <c r="AI26" s="79"/>
      <c r="AJ26" s="79"/>
      <c r="AK26" s="79"/>
      <c r="AL26" s="79"/>
      <c r="AM26" s="79"/>
      <c r="AN26" s="75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1:40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1:40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1:40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1:40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11:N11"/>
    <mergeCell ref="P11:AC11"/>
  </mergeCell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29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4"/>
  <sheetViews>
    <sheetView topLeftCell="U1" zoomScale="25" zoomScaleNormal="25" workbookViewId="0">
      <selection activeCell="E13" sqref="E13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50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45917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45917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82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10925</v>
      </c>
      <c r="B4" s="62">
        <v>430</v>
      </c>
      <c r="C4" s="64">
        <v>0.8</v>
      </c>
      <c r="D4" s="62">
        <v>31.3</v>
      </c>
      <c r="E4" s="65" t="s">
        <v>91</v>
      </c>
      <c r="F4" s="62" t="s">
        <v>42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24</v>
      </c>
      <c r="L4" s="66">
        <v>3100</v>
      </c>
      <c r="M4" s="67">
        <f>200+2500+600</f>
        <v>3300</v>
      </c>
      <c r="N4" s="66">
        <f>L4-M4</f>
        <v>-200</v>
      </c>
      <c r="P4" s="62">
        <v>10925</v>
      </c>
      <c r="Q4" s="62">
        <v>430</v>
      </c>
      <c r="R4" s="64">
        <v>0.8</v>
      </c>
      <c r="S4" s="62">
        <v>38.299999999999997</v>
      </c>
      <c r="T4" s="65" t="s">
        <v>117</v>
      </c>
      <c r="U4" s="62" t="s">
        <v>42</v>
      </c>
      <c r="V4" s="62">
        <v>430</v>
      </c>
      <c r="W4" s="64">
        <v>0.6</v>
      </c>
      <c r="X4" s="62" t="s">
        <v>24</v>
      </c>
      <c r="Y4" s="62" t="s">
        <v>24</v>
      </c>
      <c r="Z4" s="62" t="s">
        <v>74</v>
      </c>
      <c r="AA4" s="66">
        <v>3300</v>
      </c>
      <c r="AB4" s="67">
        <f>450+1590</f>
        <v>2040</v>
      </c>
      <c r="AC4" s="66">
        <f>AA4-AB4</f>
        <v>1260</v>
      </c>
      <c r="AE4" s="62">
        <v>10925</v>
      </c>
      <c r="AF4" s="62">
        <v>430</v>
      </c>
      <c r="AG4" s="64">
        <v>0.6</v>
      </c>
      <c r="AH4" s="67" t="s">
        <v>71</v>
      </c>
      <c r="AI4" s="65" t="s">
        <v>103</v>
      </c>
      <c r="AJ4" s="78" t="s">
        <v>119</v>
      </c>
      <c r="AK4" s="66">
        <v>3300</v>
      </c>
      <c r="AL4" s="67">
        <f>450+2500</f>
        <v>2950</v>
      </c>
      <c r="AM4" s="66">
        <f t="shared" ref="AM4:AM16" si="0">AK4-AL4</f>
        <v>350</v>
      </c>
    </row>
    <row r="5" spans="1:40" s="76" customFormat="1" ht="100.05" customHeight="1" x14ac:dyDescent="0.3">
      <c r="A5" s="62">
        <v>210825</v>
      </c>
      <c r="B5" s="62">
        <v>430</v>
      </c>
      <c r="C5" s="64">
        <v>0.5</v>
      </c>
      <c r="D5" s="62">
        <v>543</v>
      </c>
      <c r="E5" s="65" t="s">
        <v>125</v>
      </c>
      <c r="F5" s="62" t="s">
        <v>121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24</v>
      </c>
      <c r="L5" s="66">
        <v>3000</v>
      </c>
      <c r="M5" s="67">
        <f>730</f>
        <v>730</v>
      </c>
      <c r="N5" s="66">
        <f t="shared" ref="N5:N8" si="1">L5-M5</f>
        <v>2270</v>
      </c>
      <c r="P5" s="62">
        <v>10925</v>
      </c>
      <c r="Q5" s="62">
        <v>430</v>
      </c>
      <c r="R5" s="64">
        <v>0.8</v>
      </c>
      <c r="S5" s="62" t="s">
        <v>71</v>
      </c>
      <c r="T5" s="65" t="s">
        <v>120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3300</v>
      </c>
      <c r="AB5" s="67"/>
      <c r="AC5" s="66">
        <f t="shared" ref="AC5:AC8" si="2">AA5-AB5</f>
        <v>3300</v>
      </c>
      <c r="AE5" s="62">
        <v>10925</v>
      </c>
      <c r="AF5" s="62">
        <v>430</v>
      </c>
      <c r="AG5" s="64">
        <v>0.6</v>
      </c>
      <c r="AH5" s="67" t="s">
        <v>71</v>
      </c>
      <c r="AI5" s="65" t="s">
        <v>104</v>
      </c>
      <c r="AJ5" s="78" t="s">
        <v>119</v>
      </c>
      <c r="AK5" s="66">
        <v>3300</v>
      </c>
      <c r="AL5" s="67"/>
      <c r="AM5" s="66">
        <f t="shared" si="0"/>
        <v>3300</v>
      </c>
    </row>
    <row r="6" spans="1:40" s="76" customFormat="1" ht="100.05" customHeight="1" x14ac:dyDescent="0.3">
      <c r="A6" s="62">
        <v>210825</v>
      </c>
      <c r="B6" s="62">
        <v>430</v>
      </c>
      <c r="C6" s="64">
        <v>0.5</v>
      </c>
      <c r="D6" s="62">
        <v>497</v>
      </c>
      <c r="E6" s="65" t="s">
        <v>122</v>
      </c>
      <c r="F6" s="62" t="s">
        <v>121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24</v>
      </c>
      <c r="L6" s="66">
        <v>3000</v>
      </c>
      <c r="M6" s="67"/>
      <c r="N6" s="66">
        <f t="shared" si="1"/>
        <v>3000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2"/>
        <v>0</v>
      </c>
      <c r="AE6" s="62">
        <v>10925</v>
      </c>
      <c r="AF6" s="62">
        <v>430</v>
      </c>
      <c r="AG6" s="64">
        <v>0.6</v>
      </c>
      <c r="AH6" s="67" t="s">
        <v>71</v>
      </c>
      <c r="AI6" s="65" t="s">
        <v>105</v>
      </c>
      <c r="AJ6" s="78" t="s">
        <v>119</v>
      </c>
      <c r="AK6" s="66">
        <v>3300</v>
      </c>
      <c r="AL6" s="67"/>
      <c r="AM6" s="66">
        <f t="shared" si="0"/>
        <v>3300</v>
      </c>
    </row>
    <row r="7" spans="1:40" s="76" customFormat="1" ht="100.05" customHeight="1" x14ac:dyDescent="0.3">
      <c r="A7" s="62">
        <v>210825</v>
      </c>
      <c r="B7" s="62">
        <v>430</v>
      </c>
      <c r="C7" s="64">
        <v>0.5</v>
      </c>
      <c r="D7" s="62">
        <v>445</v>
      </c>
      <c r="E7" s="65" t="s">
        <v>123</v>
      </c>
      <c r="F7" s="62" t="s">
        <v>121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24</v>
      </c>
      <c r="L7" s="66">
        <v>2600</v>
      </c>
      <c r="M7" s="67"/>
      <c r="N7" s="66">
        <f t="shared" si="1"/>
        <v>2600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10925</v>
      </c>
      <c r="AF7" s="62">
        <v>430</v>
      </c>
      <c r="AG7" s="64">
        <v>0.6</v>
      </c>
      <c r="AH7" s="67" t="s">
        <v>71</v>
      </c>
      <c r="AI7" s="65" t="s">
        <v>106</v>
      </c>
      <c r="AJ7" s="78" t="s">
        <v>119</v>
      </c>
      <c r="AK7" s="66">
        <v>3100</v>
      </c>
      <c r="AL7" s="67"/>
      <c r="AM7" s="66">
        <f t="shared" si="0"/>
        <v>3100</v>
      </c>
    </row>
    <row r="8" spans="1:40" s="7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1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2"/>
      <c r="AB8" s="67"/>
      <c r="AC8" s="66">
        <f t="shared" si="2"/>
        <v>0</v>
      </c>
      <c r="AE8" s="62">
        <v>10925</v>
      </c>
      <c r="AF8" s="62">
        <v>430</v>
      </c>
      <c r="AG8" s="64">
        <v>0.6</v>
      </c>
      <c r="AH8" s="67" t="s">
        <v>71</v>
      </c>
      <c r="AI8" s="65" t="s">
        <v>107</v>
      </c>
      <c r="AJ8" s="78" t="s">
        <v>119</v>
      </c>
      <c r="AK8" s="66">
        <v>3100</v>
      </c>
      <c r="AL8" s="67"/>
      <c r="AM8" s="66">
        <f t="shared" si="0"/>
        <v>3100</v>
      </c>
    </row>
    <row r="9" spans="1:40" s="7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11700</v>
      </c>
      <c r="M9" s="71">
        <f>SUM(M4:M8)</f>
        <v>4030</v>
      </c>
      <c r="N9" s="66">
        <f>SUM(N4:N8)</f>
        <v>7670</v>
      </c>
      <c r="P9" s="68"/>
      <c r="Q9" s="68"/>
      <c r="R9" s="69"/>
      <c r="S9" s="68"/>
      <c r="T9" s="70"/>
      <c r="U9" s="68"/>
      <c r="V9" s="68"/>
      <c r="W9" s="69"/>
      <c r="X9" s="68"/>
      <c r="Y9" s="68"/>
      <c r="Z9" s="68"/>
      <c r="AA9" s="66">
        <f>AA4+AA5+AA6+AA7+AA8</f>
        <v>6600</v>
      </c>
      <c r="AB9" s="71">
        <f>SUM(AB4:AB8)</f>
        <v>2040</v>
      </c>
      <c r="AC9" s="66">
        <f>SUM(AC4:AC8)</f>
        <v>4560</v>
      </c>
      <c r="AE9" s="62">
        <v>10925</v>
      </c>
      <c r="AF9" s="62">
        <v>304</v>
      </c>
      <c r="AG9" s="64">
        <v>0.8</v>
      </c>
      <c r="AH9" s="67" t="s">
        <v>71</v>
      </c>
      <c r="AI9" s="65" t="s">
        <v>110</v>
      </c>
      <c r="AJ9" s="78" t="s">
        <v>119</v>
      </c>
      <c r="AK9" s="66">
        <v>3200</v>
      </c>
      <c r="AL9" s="67"/>
      <c r="AM9" s="66">
        <f t="shared" si="0"/>
        <v>3200</v>
      </c>
    </row>
    <row r="10" spans="1:40" s="75" customFormat="1" ht="100.05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6"/>
      <c r="AE10" s="62">
        <v>10925</v>
      </c>
      <c r="AF10" s="62">
        <v>304</v>
      </c>
      <c r="AG10" s="64">
        <v>0.8</v>
      </c>
      <c r="AH10" s="67" t="s">
        <v>71</v>
      </c>
      <c r="AI10" s="65" t="s">
        <v>109</v>
      </c>
      <c r="AJ10" s="78" t="s">
        <v>119</v>
      </c>
      <c r="AK10" s="66">
        <v>3200</v>
      </c>
      <c r="AL10" s="67"/>
      <c r="AM10" s="66">
        <f t="shared" si="0"/>
        <v>3200</v>
      </c>
      <c r="AN10" s="76"/>
    </row>
    <row r="11" spans="1:40" s="75" customFormat="1" ht="100.05" customHeight="1" x14ac:dyDescent="0.3">
      <c r="A11" s="109" t="s">
        <v>101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P11" s="109" t="s">
        <v>99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76"/>
      <c r="AE11" s="62">
        <v>100925</v>
      </c>
      <c r="AF11" s="62">
        <v>304</v>
      </c>
      <c r="AG11" s="64">
        <v>0.9</v>
      </c>
      <c r="AH11" s="67" t="s">
        <v>71</v>
      </c>
      <c r="AI11" s="65" t="s">
        <v>111</v>
      </c>
      <c r="AJ11" s="78" t="s">
        <v>113</v>
      </c>
      <c r="AK11" s="66">
        <v>1200</v>
      </c>
      <c r="AL11" s="67"/>
      <c r="AM11" s="66">
        <f t="shared" si="0"/>
        <v>1200</v>
      </c>
      <c r="AN11" s="76"/>
    </row>
    <row r="12" spans="1:40" s="75" customFormat="1" ht="100.05" customHeight="1" x14ac:dyDescent="0.3">
      <c r="A12" s="81" t="s">
        <v>0</v>
      </c>
      <c r="B12" s="81" t="s">
        <v>9</v>
      </c>
      <c r="C12" s="82" t="s">
        <v>11</v>
      </c>
      <c r="D12" s="81" t="s">
        <v>2</v>
      </c>
      <c r="E12" s="81" t="s">
        <v>1</v>
      </c>
      <c r="F12" s="81" t="s">
        <v>14</v>
      </c>
      <c r="G12" s="81" t="s">
        <v>8</v>
      </c>
      <c r="H12" s="82" t="s">
        <v>10</v>
      </c>
      <c r="I12" s="82" t="s">
        <v>12</v>
      </c>
      <c r="J12" s="82" t="s">
        <v>13</v>
      </c>
      <c r="K12" s="81" t="s">
        <v>3</v>
      </c>
      <c r="L12" s="81" t="s">
        <v>7</v>
      </c>
      <c r="M12" s="81" t="s">
        <v>5</v>
      </c>
      <c r="N12" s="81" t="s">
        <v>6</v>
      </c>
      <c r="P12" s="81" t="s">
        <v>0</v>
      </c>
      <c r="Q12" s="81" t="s">
        <v>9</v>
      </c>
      <c r="R12" s="82" t="s">
        <v>11</v>
      </c>
      <c r="S12" s="81" t="s">
        <v>2</v>
      </c>
      <c r="T12" s="81" t="s">
        <v>1</v>
      </c>
      <c r="U12" s="81" t="s">
        <v>14</v>
      </c>
      <c r="V12" s="81" t="s">
        <v>8</v>
      </c>
      <c r="W12" s="82" t="s">
        <v>10</v>
      </c>
      <c r="X12" s="82" t="s">
        <v>12</v>
      </c>
      <c r="Y12" s="82" t="s">
        <v>13</v>
      </c>
      <c r="Z12" s="81" t="s">
        <v>3</v>
      </c>
      <c r="AA12" s="81" t="s">
        <v>7</v>
      </c>
      <c r="AB12" s="81" t="s">
        <v>5</v>
      </c>
      <c r="AC12" s="81" t="s">
        <v>6</v>
      </c>
      <c r="AD12" s="76"/>
      <c r="AE12" s="62">
        <v>100925</v>
      </c>
      <c r="AF12" s="62">
        <v>304</v>
      </c>
      <c r="AG12" s="64">
        <v>0.9</v>
      </c>
      <c r="AH12" s="67" t="s">
        <v>71</v>
      </c>
      <c r="AI12" s="65" t="s">
        <v>112</v>
      </c>
      <c r="AJ12" s="78" t="s">
        <v>119</v>
      </c>
      <c r="AK12" s="66">
        <v>1200</v>
      </c>
      <c r="AL12" s="67"/>
      <c r="AM12" s="66">
        <f t="shared" si="0"/>
        <v>1200</v>
      </c>
      <c r="AN12" s="76"/>
    </row>
    <row r="13" spans="1:40" s="76" customFormat="1" ht="100.05" customHeight="1" x14ac:dyDescent="0.3">
      <c r="A13" s="62"/>
      <c r="B13" s="62"/>
      <c r="C13" s="64"/>
      <c r="D13" s="62"/>
      <c r="E13" s="65"/>
      <c r="F13" s="62"/>
      <c r="G13" s="62"/>
      <c r="H13" s="64"/>
      <c r="I13" s="62"/>
      <c r="J13" s="62"/>
      <c r="K13" s="62"/>
      <c r="L13" s="66"/>
      <c r="M13" s="67"/>
      <c r="N13" s="66">
        <f>L13-M13</f>
        <v>0</v>
      </c>
      <c r="P13" s="62">
        <v>10925</v>
      </c>
      <c r="Q13" s="62">
        <v>430</v>
      </c>
      <c r="R13" s="64">
        <v>0.8</v>
      </c>
      <c r="S13" s="62">
        <v>26.5</v>
      </c>
      <c r="T13" s="65" t="s">
        <v>102</v>
      </c>
      <c r="U13" s="62" t="s">
        <v>24</v>
      </c>
      <c r="V13" s="62" t="s">
        <v>24</v>
      </c>
      <c r="W13" s="64" t="s">
        <v>24</v>
      </c>
      <c r="X13" s="62" t="s">
        <v>24</v>
      </c>
      <c r="Y13" s="62" t="s">
        <v>24</v>
      </c>
      <c r="Z13" s="62" t="s">
        <v>24</v>
      </c>
      <c r="AA13" s="66">
        <v>3100</v>
      </c>
      <c r="AB13" s="67"/>
      <c r="AC13" s="66">
        <f t="shared" ref="AC13:AC16" si="3">AA13-AB13</f>
        <v>3100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114</v>
      </c>
      <c r="AJ13" s="78" t="s">
        <v>113</v>
      </c>
      <c r="AK13" s="66">
        <v>1500</v>
      </c>
      <c r="AL13" s="67"/>
      <c r="AM13" s="66">
        <f t="shared" si="0"/>
        <v>1500</v>
      </c>
    </row>
    <row r="14" spans="1:40" s="76" customFormat="1" ht="100.05" customHeight="1" x14ac:dyDescent="0.3">
      <c r="A14" s="62"/>
      <c r="B14" s="62"/>
      <c r="C14" s="64"/>
      <c r="D14" s="62"/>
      <c r="E14" s="65"/>
      <c r="F14" s="62"/>
      <c r="G14" s="62"/>
      <c r="H14" s="64"/>
      <c r="I14" s="62"/>
      <c r="J14" s="62"/>
      <c r="K14" s="62"/>
      <c r="L14" s="66"/>
      <c r="M14" s="67"/>
      <c r="N14" s="66">
        <f>L14-M14</f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3"/>
        <v>0</v>
      </c>
      <c r="AD14" s="75"/>
      <c r="AE14" s="62">
        <v>100925</v>
      </c>
      <c r="AF14" s="62">
        <v>304</v>
      </c>
      <c r="AG14" s="64">
        <v>0.9</v>
      </c>
      <c r="AH14" s="67" t="s">
        <v>71</v>
      </c>
      <c r="AI14" s="65" t="s">
        <v>115</v>
      </c>
      <c r="AJ14" s="78" t="s">
        <v>119</v>
      </c>
      <c r="AK14" s="66">
        <v>2100</v>
      </c>
      <c r="AL14" s="67"/>
      <c r="AM14" s="66">
        <f t="shared" si="0"/>
        <v>2100</v>
      </c>
      <c r="AN14" s="75"/>
    </row>
    <row r="15" spans="1:40" s="76" customFormat="1" ht="100.05" customHeight="1" x14ac:dyDescent="0.3">
      <c r="A15" s="62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6"/>
      <c r="M15" s="67"/>
      <c r="N15" s="66">
        <f t="shared" ref="N15:N17" si="4">L15-M15</f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3"/>
        <v>0</v>
      </c>
      <c r="AD15" s="75"/>
      <c r="AE15" s="62">
        <v>100925</v>
      </c>
      <c r="AF15" s="62">
        <v>304</v>
      </c>
      <c r="AG15" s="64">
        <v>0.9</v>
      </c>
      <c r="AH15" s="67" t="s">
        <v>71</v>
      </c>
      <c r="AI15" s="65" t="s">
        <v>116</v>
      </c>
      <c r="AJ15" s="78" t="s">
        <v>119</v>
      </c>
      <c r="AK15" s="66">
        <v>600</v>
      </c>
      <c r="AL15" s="67"/>
      <c r="AM15" s="66">
        <f t="shared" si="0"/>
        <v>600</v>
      </c>
      <c r="AN15" s="75"/>
    </row>
    <row r="16" spans="1:40" s="76" customFormat="1" ht="100.05" customHeight="1" x14ac:dyDescent="0.3">
      <c r="A16" s="62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6"/>
      <c r="M16" s="67"/>
      <c r="N16" s="66">
        <f t="shared" si="4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3"/>
        <v>0</v>
      </c>
      <c r="AD16" s="75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5"/>
    </row>
    <row r="17" spans="1:40" s="76" customFormat="1" ht="100.05" customHeight="1" x14ac:dyDescent="0.3">
      <c r="A17" s="62"/>
      <c r="B17" s="62"/>
      <c r="C17" s="64"/>
      <c r="D17" s="62"/>
      <c r="E17" s="65"/>
      <c r="F17" s="62"/>
      <c r="G17" s="62"/>
      <c r="H17" s="64"/>
      <c r="I17" s="62"/>
      <c r="J17" s="62"/>
      <c r="K17" s="62"/>
      <c r="L17" s="62"/>
      <c r="M17" s="67"/>
      <c r="N17" s="66">
        <f t="shared" si="4"/>
        <v>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SUM(AA13:AA16)</f>
        <v>3100</v>
      </c>
      <c r="AB17" s="71">
        <f>SUM(AB13:AB16)</f>
        <v>0</v>
      </c>
      <c r="AC17" s="66">
        <f>SUM(AC13:AC16)</f>
        <v>3100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/>
      <c r="AN17" s="75"/>
    </row>
    <row r="18" spans="1:40" s="76" customFormat="1" ht="100.05" customHeight="1" x14ac:dyDescent="0.3">
      <c r="A18" s="68"/>
      <c r="B18" s="68"/>
      <c r="C18" s="69"/>
      <c r="D18" s="68"/>
      <c r="E18" s="70"/>
      <c r="F18" s="68"/>
      <c r="G18" s="68"/>
      <c r="H18" s="69"/>
      <c r="I18" s="68"/>
      <c r="J18" s="68"/>
      <c r="K18" s="68"/>
      <c r="L18" s="66">
        <f>SUM(L13:L17)</f>
        <v>0</v>
      </c>
      <c r="M18" s="71">
        <f>SUM(M13:M17)</f>
        <v>0</v>
      </c>
      <c r="N18" s="66">
        <f>SUM(N13:N17)</f>
        <v>0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5"/>
      <c r="AE18" s="68"/>
      <c r="AF18" s="68"/>
      <c r="AG18" s="69"/>
      <c r="AH18" s="68"/>
      <c r="AI18" s="70"/>
      <c r="AJ18" s="80"/>
      <c r="AK18" s="66">
        <f>SUM(AK4:AK17)</f>
        <v>29100</v>
      </c>
      <c r="AL18" s="71">
        <f>SUM(AL4:AL17)</f>
        <v>2950</v>
      </c>
      <c r="AM18" s="66">
        <f>SUM(AM4:AM17)</f>
        <v>26150</v>
      </c>
      <c r="AN18" s="75"/>
    </row>
    <row r="19" spans="1:40" s="75" customFormat="1" ht="100.0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spans="1:40" s="76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5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5"/>
      <c r="AE22" s="79"/>
      <c r="AF22" s="79"/>
      <c r="AG22" s="79"/>
      <c r="AH22" s="79"/>
      <c r="AI22" s="79"/>
      <c r="AJ22" s="79"/>
      <c r="AK22" s="79"/>
      <c r="AL22" s="79"/>
      <c r="AM22" s="79"/>
      <c r="AN22" s="75"/>
    </row>
    <row r="23" spans="1:40" s="76" customFormat="1" ht="100.0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79"/>
      <c r="AF23" s="79"/>
      <c r="AG23" s="79"/>
      <c r="AH23" s="79"/>
      <c r="AI23" s="79"/>
      <c r="AJ23" s="79"/>
      <c r="AK23" s="79"/>
      <c r="AL23" s="79"/>
      <c r="AM23" s="79"/>
      <c r="AN23" s="75"/>
    </row>
    <row r="24" spans="1:40" s="76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5"/>
      <c r="AE24" s="79"/>
      <c r="AF24" s="79"/>
      <c r="AG24" s="79"/>
      <c r="AH24" s="79"/>
      <c r="AI24" s="79"/>
      <c r="AJ24" s="79"/>
      <c r="AK24" s="79"/>
      <c r="AL24" s="79"/>
      <c r="AM24" s="79"/>
      <c r="AN24" s="75"/>
    </row>
    <row r="25" spans="1:40" s="76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79"/>
      <c r="AF25" s="79"/>
      <c r="AG25" s="79"/>
      <c r="AH25" s="79"/>
      <c r="AI25" s="79"/>
      <c r="AJ25" s="79"/>
      <c r="AK25" s="79"/>
      <c r="AL25" s="79"/>
      <c r="AM25" s="79"/>
      <c r="AN25" s="75"/>
    </row>
    <row r="26" spans="1:40" s="76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5"/>
      <c r="AE26" s="79"/>
      <c r="AF26" s="79"/>
      <c r="AG26" s="79"/>
      <c r="AH26" s="79"/>
      <c r="AI26" s="79"/>
      <c r="AJ26" s="79"/>
      <c r="AK26" s="79"/>
      <c r="AL26" s="79"/>
      <c r="AM26" s="79"/>
      <c r="AN26" s="75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1:40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1:40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1:40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1:40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</sheetData>
  <mergeCells count="11">
    <mergeCell ref="A2:N2"/>
    <mergeCell ref="P2:AC2"/>
    <mergeCell ref="AE2:AM2"/>
    <mergeCell ref="A11:N11"/>
    <mergeCell ref="P11:AC11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9" fitToHeight="0"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4"/>
  <sheetViews>
    <sheetView topLeftCell="I1" zoomScale="25" zoomScaleNormal="25" workbookViewId="0">
      <selection activeCell="S5" sqref="S5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50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45918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45918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210825</v>
      </c>
      <c r="B4" s="62">
        <v>430</v>
      </c>
      <c r="C4" s="64">
        <v>0.5</v>
      </c>
      <c r="D4" s="62">
        <v>543</v>
      </c>
      <c r="E4" s="65" t="s">
        <v>125</v>
      </c>
      <c r="F4" s="62" t="s">
        <v>121</v>
      </c>
      <c r="G4" s="62">
        <v>430</v>
      </c>
      <c r="H4" s="64">
        <v>0.6</v>
      </c>
      <c r="I4" s="62">
        <v>173</v>
      </c>
      <c r="J4" s="62">
        <v>3.6</v>
      </c>
      <c r="K4" s="62" t="s">
        <v>74</v>
      </c>
      <c r="L4" s="66">
        <v>3000</v>
      </c>
      <c r="M4" s="67">
        <f>730+1600</f>
        <v>2330</v>
      </c>
      <c r="N4" s="66">
        <f t="shared" ref="N4:N6" si="0">L4-M4</f>
        <v>670</v>
      </c>
      <c r="P4" s="62">
        <v>10925</v>
      </c>
      <c r="Q4" s="62">
        <v>430</v>
      </c>
      <c r="R4" s="64">
        <v>0.8</v>
      </c>
      <c r="S4" s="62">
        <v>383</v>
      </c>
      <c r="T4" s="65" t="s">
        <v>117</v>
      </c>
      <c r="U4" s="62" t="s">
        <v>42</v>
      </c>
      <c r="V4" s="62">
        <v>430</v>
      </c>
      <c r="W4" s="64">
        <v>0.6</v>
      </c>
      <c r="X4" s="62">
        <v>157</v>
      </c>
      <c r="Y4" s="62">
        <v>4</v>
      </c>
      <c r="Z4" s="62" t="s">
        <v>74</v>
      </c>
      <c r="AA4" s="66">
        <v>3300</v>
      </c>
      <c r="AB4" s="67">
        <f>450+1590+1700</f>
        <v>3740</v>
      </c>
      <c r="AC4" s="66">
        <f>AA4-AB4</f>
        <v>-440</v>
      </c>
      <c r="AE4" s="62">
        <v>10925</v>
      </c>
      <c r="AF4" s="62">
        <v>430</v>
      </c>
      <c r="AG4" s="64">
        <v>0.6</v>
      </c>
      <c r="AH4" s="77">
        <v>180</v>
      </c>
      <c r="AI4" s="65" t="s">
        <v>103</v>
      </c>
      <c r="AJ4" s="78" t="s">
        <v>119</v>
      </c>
      <c r="AK4" s="66">
        <v>3300</v>
      </c>
      <c r="AL4" s="67">
        <f>450+2500+350</f>
        <v>3300</v>
      </c>
      <c r="AM4" s="66">
        <f t="shared" ref="AM4:AM16" si="1">AK4-AL4</f>
        <v>0</v>
      </c>
    </row>
    <row r="5" spans="1:40" s="76" customFormat="1" ht="100.05" customHeight="1" x14ac:dyDescent="0.3">
      <c r="A5" s="62">
        <v>210825</v>
      </c>
      <c r="B5" s="62">
        <v>430</v>
      </c>
      <c r="C5" s="64">
        <v>0.5</v>
      </c>
      <c r="D5" s="62">
        <v>497</v>
      </c>
      <c r="E5" s="65" t="s">
        <v>122</v>
      </c>
      <c r="F5" s="62" t="s">
        <v>121</v>
      </c>
      <c r="G5" s="62">
        <v>430</v>
      </c>
      <c r="H5" s="64">
        <v>0.6</v>
      </c>
      <c r="I5" s="62">
        <v>173</v>
      </c>
      <c r="J5" s="62">
        <v>3.6</v>
      </c>
      <c r="K5" s="62" t="s">
        <v>74</v>
      </c>
      <c r="L5" s="66">
        <v>3000</v>
      </c>
      <c r="M5" s="67"/>
      <c r="N5" s="66">
        <f t="shared" si="0"/>
        <v>3000</v>
      </c>
      <c r="P5" s="62">
        <v>100925</v>
      </c>
      <c r="Q5" s="62">
        <v>304</v>
      </c>
      <c r="R5" s="64">
        <v>0.9</v>
      </c>
      <c r="S5" s="87">
        <v>345</v>
      </c>
      <c r="T5" s="65" t="s">
        <v>147</v>
      </c>
      <c r="U5" s="62" t="s">
        <v>42</v>
      </c>
      <c r="V5" s="62">
        <v>304</v>
      </c>
      <c r="W5" s="64">
        <v>0.6</v>
      </c>
      <c r="X5" s="62">
        <v>157</v>
      </c>
      <c r="Y5" s="62">
        <v>4</v>
      </c>
      <c r="Z5" s="62" t="s">
        <v>74</v>
      </c>
      <c r="AA5" s="66">
        <v>1500</v>
      </c>
      <c r="AB5" s="67">
        <v>200</v>
      </c>
      <c r="AC5" s="66">
        <f t="shared" ref="AC5:AC8" si="2">AA5-AB5</f>
        <v>1300</v>
      </c>
      <c r="AE5" s="62">
        <v>10925</v>
      </c>
      <c r="AF5" s="62">
        <v>430</v>
      </c>
      <c r="AG5" s="64">
        <v>0.6</v>
      </c>
      <c r="AH5" s="77">
        <v>160</v>
      </c>
      <c r="AI5" s="65" t="s">
        <v>104</v>
      </c>
      <c r="AJ5" s="78" t="s">
        <v>119</v>
      </c>
      <c r="AK5" s="66">
        <v>3300</v>
      </c>
      <c r="AL5" s="67"/>
      <c r="AM5" s="66">
        <f t="shared" si="1"/>
        <v>3300</v>
      </c>
    </row>
    <row r="6" spans="1:40" s="76" customFormat="1" ht="100.05" customHeight="1" x14ac:dyDescent="0.3">
      <c r="A6" s="62">
        <v>210825</v>
      </c>
      <c r="B6" s="62">
        <v>430</v>
      </c>
      <c r="C6" s="64">
        <v>0.5</v>
      </c>
      <c r="D6" s="62">
        <v>445</v>
      </c>
      <c r="E6" s="65" t="s">
        <v>123</v>
      </c>
      <c r="F6" s="62" t="s">
        <v>121</v>
      </c>
      <c r="G6" s="62">
        <v>430</v>
      </c>
      <c r="H6" s="64">
        <v>0.6</v>
      </c>
      <c r="I6" s="62">
        <v>173</v>
      </c>
      <c r="J6" s="62">
        <v>3.6</v>
      </c>
      <c r="K6" s="62" t="s">
        <v>74</v>
      </c>
      <c r="L6" s="66">
        <v>2600</v>
      </c>
      <c r="M6" s="67"/>
      <c r="N6" s="66">
        <f t="shared" si="0"/>
        <v>2600</v>
      </c>
      <c r="P6" s="62"/>
      <c r="Q6" s="62"/>
      <c r="R6" s="64"/>
      <c r="S6" s="87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2"/>
        <v>0</v>
      </c>
      <c r="AE6" s="62">
        <v>10925</v>
      </c>
      <c r="AF6" s="62">
        <v>430</v>
      </c>
      <c r="AG6" s="64">
        <v>0.6</v>
      </c>
      <c r="AH6" s="77">
        <v>160</v>
      </c>
      <c r="AI6" s="65" t="s">
        <v>105</v>
      </c>
      <c r="AJ6" s="78" t="s">
        <v>119</v>
      </c>
      <c r="AK6" s="66">
        <v>3300</v>
      </c>
      <c r="AL6" s="67"/>
      <c r="AM6" s="66">
        <f t="shared" si="1"/>
        <v>3300</v>
      </c>
    </row>
    <row r="7" spans="1:40" s="76" customFormat="1" ht="100.05" customHeight="1" x14ac:dyDescent="0.3">
      <c r="A7" s="62"/>
      <c r="B7" s="62"/>
      <c r="C7" s="64"/>
      <c r="D7" s="62"/>
      <c r="E7" s="65"/>
      <c r="F7" s="62"/>
      <c r="G7" s="62"/>
      <c r="H7" s="64"/>
      <c r="I7" s="62"/>
      <c r="J7" s="62"/>
      <c r="K7" s="62"/>
      <c r="L7" s="66"/>
      <c r="M7" s="67"/>
      <c r="N7" s="66">
        <f t="shared" ref="N7:N8" si="3">L7-M7</f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10925</v>
      </c>
      <c r="AF7" s="62">
        <v>430</v>
      </c>
      <c r="AG7" s="64">
        <v>0.6</v>
      </c>
      <c r="AH7" s="77">
        <v>147</v>
      </c>
      <c r="AI7" s="65" t="s">
        <v>106</v>
      </c>
      <c r="AJ7" s="78" t="s">
        <v>119</v>
      </c>
      <c r="AK7" s="66">
        <v>3100</v>
      </c>
      <c r="AL7" s="67"/>
      <c r="AM7" s="66">
        <f t="shared" si="1"/>
        <v>3100</v>
      </c>
    </row>
    <row r="8" spans="1:40" s="7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3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2"/>
      <c r="AB8" s="67"/>
      <c r="AC8" s="66">
        <f t="shared" si="2"/>
        <v>0</v>
      </c>
      <c r="AE8" s="62">
        <v>10925</v>
      </c>
      <c r="AF8" s="62">
        <v>430</v>
      </c>
      <c r="AG8" s="64">
        <v>0.6</v>
      </c>
      <c r="AH8" s="77">
        <v>147</v>
      </c>
      <c r="AI8" s="65" t="s">
        <v>107</v>
      </c>
      <c r="AJ8" s="78" t="s">
        <v>119</v>
      </c>
      <c r="AK8" s="66">
        <v>3100</v>
      </c>
      <c r="AL8" s="67"/>
      <c r="AM8" s="66">
        <f t="shared" si="1"/>
        <v>3100</v>
      </c>
    </row>
    <row r="9" spans="1:40" s="7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8600</v>
      </c>
      <c r="M9" s="71">
        <f>SUM(M4:M8)</f>
        <v>2330</v>
      </c>
      <c r="N9" s="66">
        <f>SUM(N4:N8)</f>
        <v>6270</v>
      </c>
      <c r="P9" s="68"/>
      <c r="Q9" s="68"/>
      <c r="R9" s="69"/>
      <c r="S9" s="68"/>
      <c r="T9" s="70"/>
      <c r="U9" s="68"/>
      <c r="V9" s="68"/>
      <c r="W9" s="69"/>
      <c r="X9" s="68"/>
      <c r="Y9" s="68"/>
      <c r="Z9" s="68"/>
      <c r="AA9" s="66">
        <f>AA4+AA5+AA6+AA7+AA8</f>
        <v>4800</v>
      </c>
      <c r="AB9" s="71">
        <f>SUM(AB4:AB8)</f>
        <v>3940</v>
      </c>
      <c r="AC9" s="66">
        <f>SUM(AC4:AC8)</f>
        <v>860</v>
      </c>
      <c r="AE9" s="62">
        <v>10925</v>
      </c>
      <c r="AF9" s="62">
        <v>304</v>
      </c>
      <c r="AG9" s="64">
        <v>0.6</v>
      </c>
      <c r="AH9" s="77">
        <v>160</v>
      </c>
      <c r="AI9" s="65" t="s">
        <v>110</v>
      </c>
      <c r="AJ9" s="78" t="s">
        <v>119</v>
      </c>
      <c r="AK9" s="66">
        <v>3200</v>
      </c>
      <c r="AL9" s="67"/>
      <c r="AM9" s="66">
        <f t="shared" si="1"/>
        <v>3200</v>
      </c>
    </row>
    <row r="10" spans="1:40" s="75" customFormat="1" ht="100.05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6"/>
      <c r="AE10" s="62">
        <v>10925</v>
      </c>
      <c r="AF10" s="62">
        <v>304</v>
      </c>
      <c r="AG10" s="64">
        <v>0.8</v>
      </c>
      <c r="AH10" s="77">
        <v>160</v>
      </c>
      <c r="AI10" s="65" t="s">
        <v>109</v>
      </c>
      <c r="AJ10" s="78" t="s">
        <v>119</v>
      </c>
      <c r="AK10" s="66">
        <v>3200</v>
      </c>
      <c r="AL10" s="67">
        <v>2200</v>
      </c>
      <c r="AM10" s="66">
        <f t="shared" si="1"/>
        <v>1000</v>
      </c>
      <c r="AN10" s="76"/>
    </row>
    <row r="11" spans="1:40" s="75" customFormat="1" ht="100.05" customHeight="1" x14ac:dyDescent="0.3">
      <c r="A11" s="109" t="s">
        <v>101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P11" s="109" t="s">
        <v>99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76"/>
      <c r="AE11" s="62">
        <v>100925</v>
      </c>
      <c r="AF11" s="62">
        <v>304</v>
      </c>
      <c r="AG11" s="64">
        <v>0.9</v>
      </c>
      <c r="AH11" s="67" t="s">
        <v>71</v>
      </c>
      <c r="AI11" s="65" t="s">
        <v>111</v>
      </c>
      <c r="AJ11" s="78" t="s">
        <v>113</v>
      </c>
      <c r="AK11" s="66">
        <v>1200</v>
      </c>
      <c r="AL11" s="67"/>
      <c r="AM11" s="66">
        <f t="shared" si="1"/>
        <v>1200</v>
      </c>
      <c r="AN11" s="76"/>
    </row>
    <row r="12" spans="1:40" s="75" customFormat="1" ht="100.05" customHeight="1" x14ac:dyDescent="0.3">
      <c r="A12" s="81" t="s">
        <v>0</v>
      </c>
      <c r="B12" s="81" t="s">
        <v>9</v>
      </c>
      <c r="C12" s="82" t="s">
        <v>11</v>
      </c>
      <c r="D12" s="81" t="s">
        <v>2</v>
      </c>
      <c r="E12" s="81" t="s">
        <v>1</v>
      </c>
      <c r="F12" s="81" t="s">
        <v>14</v>
      </c>
      <c r="G12" s="81" t="s">
        <v>8</v>
      </c>
      <c r="H12" s="82" t="s">
        <v>10</v>
      </c>
      <c r="I12" s="82" t="s">
        <v>12</v>
      </c>
      <c r="J12" s="82" t="s">
        <v>13</v>
      </c>
      <c r="K12" s="81" t="s">
        <v>3</v>
      </c>
      <c r="L12" s="81" t="s">
        <v>7</v>
      </c>
      <c r="M12" s="81" t="s">
        <v>5</v>
      </c>
      <c r="N12" s="81" t="s">
        <v>6</v>
      </c>
      <c r="P12" s="81" t="s">
        <v>0</v>
      </c>
      <c r="Q12" s="81" t="s">
        <v>9</v>
      </c>
      <c r="R12" s="82" t="s">
        <v>11</v>
      </c>
      <c r="S12" s="81" t="s">
        <v>2</v>
      </c>
      <c r="T12" s="81" t="s">
        <v>1</v>
      </c>
      <c r="U12" s="81" t="s">
        <v>14</v>
      </c>
      <c r="V12" s="81" t="s">
        <v>8</v>
      </c>
      <c r="W12" s="82" t="s">
        <v>10</v>
      </c>
      <c r="X12" s="82" t="s">
        <v>12</v>
      </c>
      <c r="Y12" s="82" t="s">
        <v>13</v>
      </c>
      <c r="Z12" s="81" t="s">
        <v>3</v>
      </c>
      <c r="AA12" s="81" t="s">
        <v>7</v>
      </c>
      <c r="AB12" s="81" t="s">
        <v>5</v>
      </c>
      <c r="AC12" s="81" t="s">
        <v>6</v>
      </c>
      <c r="AD12" s="76"/>
      <c r="AE12" s="62">
        <v>100925</v>
      </c>
      <c r="AF12" s="62">
        <v>304</v>
      </c>
      <c r="AG12" s="64">
        <v>0.9</v>
      </c>
      <c r="AH12" s="67" t="s">
        <v>71</v>
      </c>
      <c r="AI12" s="65" t="s">
        <v>112</v>
      </c>
      <c r="AJ12" s="78" t="s">
        <v>119</v>
      </c>
      <c r="AK12" s="66">
        <v>1200</v>
      </c>
      <c r="AL12" s="67"/>
      <c r="AM12" s="66">
        <f t="shared" si="1"/>
        <v>1200</v>
      </c>
      <c r="AN12" s="76"/>
    </row>
    <row r="13" spans="1:40" s="76" customFormat="1" ht="100.05" customHeight="1" x14ac:dyDescent="0.3">
      <c r="A13" s="62"/>
      <c r="B13" s="62"/>
      <c r="C13" s="64"/>
      <c r="D13" s="62"/>
      <c r="E13" s="65"/>
      <c r="F13" s="62"/>
      <c r="G13" s="62"/>
      <c r="H13" s="64"/>
      <c r="I13" s="62"/>
      <c r="J13" s="62"/>
      <c r="K13" s="62"/>
      <c r="L13" s="66"/>
      <c r="M13" s="67"/>
      <c r="N13" s="66">
        <f>L13-M13</f>
        <v>0</v>
      </c>
      <c r="P13" s="62">
        <v>10925</v>
      </c>
      <c r="Q13" s="62">
        <v>430</v>
      </c>
      <c r="R13" s="64">
        <v>0.8</v>
      </c>
      <c r="S13" s="62">
        <v>26.5</v>
      </c>
      <c r="T13" s="65" t="s">
        <v>102</v>
      </c>
      <c r="U13" s="62" t="s">
        <v>24</v>
      </c>
      <c r="V13" s="62" t="s">
        <v>24</v>
      </c>
      <c r="W13" s="64" t="s">
        <v>24</v>
      </c>
      <c r="X13" s="62" t="s">
        <v>24</v>
      </c>
      <c r="Y13" s="62" t="s">
        <v>24</v>
      </c>
      <c r="Z13" s="62" t="s">
        <v>24</v>
      </c>
      <c r="AA13" s="66">
        <v>3100</v>
      </c>
      <c r="AB13" s="67"/>
      <c r="AC13" s="66">
        <f t="shared" ref="AC13:AC16" si="4">AA13-AB13</f>
        <v>3100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114</v>
      </c>
      <c r="AJ13" s="78" t="s">
        <v>113</v>
      </c>
      <c r="AK13" s="66">
        <v>1500</v>
      </c>
      <c r="AL13" s="67"/>
      <c r="AM13" s="66">
        <f t="shared" si="1"/>
        <v>1500</v>
      </c>
    </row>
    <row r="14" spans="1:40" s="76" customFormat="1" ht="100.05" customHeight="1" x14ac:dyDescent="0.3">
      <c r="A14" s="62"/>
      <c r="B14" s="62"/>
      <c r="C14" s="64"/>
      <c r="D14" s="62"/>
      <c r="E14" s="65"/>
      <c r="F14" s="62"/>
      <c r="G14" s="62"/>
      <c r="H14" s="64"/>
      <c r="I14" s="62"/>
      <c r="J14" s="62"/>
      <c r="K14" s="62"/>
      <c r="L14" s="66"/>
      <c r="M14" s="67"/>
      <c r="N14" s="66">
        <f>L14-M14</f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4"/>
        <v>0</v>
      </c>
      <c r="AD14" s="75"/>
      <c r="AE14" s="62">
        <v>100925</v>
      </c>
      <c r="AF14" s="62">
        <v>304</v>
      </c>
      <c r="AG14" s="64">
        <v>0.9</v>
      </c>
      <c r="AH14" s="67" t="s">
        <v>71</v>
      </c>
      <c r="AI14" s="65" t="s">
        <v>115</v>
      </c>
      <c r="AJ14" s="78" t="s">
        <v>119</v>
      </c>
      <c r="AK14" s="66">
        <v>2100</v>
      </c>
      <c r="AL14" s="67"/>
      <c r="AM14" s="66">
        <f t="shared" si="1"/>
        <v>2100</v>
      </c>
      <c r="AN14" s="75"/>
    </row>
    <row r="15" spans="1:40" s="76" customFormat="1" ht="100.05" customHeight="1" x14ac:dyDescent="0.3">
      <c r="A15" s="62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6"/>
      <c r="M15" s="67"/>
      <c r="N15" s="66">
        <f t="shared" ref="N15:N17" si="5">L15-M15</f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4"/>
        <v>0</v>
      </c>
      <c r="AD15" s="75"/>
      <c r="AE15" s="62">
        <v>100925</v>
      </c>
      <c r="AF15" s="62">
        <v>304</v>
      </c>
      <c r="AG15" s="64">
        <v>0.9</v>
      </c>
      <c r="AH15" s="67" t="s">
        <v>71</v>
      </c>
      <c r="AI15" s="65" t="s">
        <v>116</v>
      </c>
      <c r="AJ15" s="78" t="s">
        <v>119</v>
      </c>
      <c r="AK15" s="66">
        <v>600</v>
      </c>
      <c r="AL15" s="67"/>
      <c r="AM15" s="66">
        <f t="shared" si="1"/>
        <v>600</v>
      </c>
      <c r="AN15" s="75"/>
    </row>
    <row r="16" spans="1:40" s="76" customFormat="1" ht="100.05" customHeight="1" x14ac:dyDescent="0.3">
      <c r="A16" s="62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6"/>
      <c r="M16" s="67"/>
      <c r="N16" s="66">
        <f t="shared" si="5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4"/>
        <v>0</v>
      </c>
      <c r="AD16" s="75"/>
      <c r="AE16" s="62"/>
      <c r="AF16" s="62"/>
      <c r="AG16" s="64"/>
      <c r="AH16" s="67"/>
      <c r="AI16" s="65"/>
      <c r="AJ16" s="78"/>
      <c r="AK16" s="66"/>
      <c r="AL16" s="67"/>
      <c r="AM16" s="66">
        <f t="shared" si="1"/>
        <v>0</v>
      </c>
      <c r="AN16" s="75"/>
    </row>
    <row r="17" spans="1:40" s="76" customFormat="1" ht="100.05" customHeight="1" x14ac:dyDescent="0.3">
      <c r="A17" s="62"/>
      <c r="B17" s="62"/>
      <c r="C17" s="64"/>
      <c r="D17" s="62"/>
      <c r="E17" s="65"/>
      <c r="F17" s="62"/>
      <c r="G17" s="62"/>
      <c r="H17" s="64"/>
      <c r="I17" s="62"/>
      <c r="J17" s="62"/>
      <c r="K17" s="62"/>
      <c r="L17" s="62"/>
      <c r="M17" s="67"/>
      <c r="N17" s="66">
        <f t="shared" si="5"/>
        <v>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SUM(AA13:AA16)</f>
        <v>3100</v>
      </c>
      <c r="AB17" s="71">
        <f>SUM(AB13:AB16)</f>
        <v>0</v>
      </c>
      <c r="AC17" s="66">
        <f>SUM(AC13:AC16)</f>
        <v>3100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/>
      <c r="AN17" s="75"/>
    </row>
    <row r="18" spans="1:40" s="76" customFormat="1" ht="100.05" customHeight="1" x14ac:dyDescent="0.3">
      <c r="A18" s="68"/>
      <c r="B18" s="68"/>
      <c r="C18" s="69"/>
      <c r="D18" s="68"/>
      <c r="E18" s="70"/>
      <c r="F18" s="68"/>
      <c r="G18" s="68"/>
      <c r="H18" s="69"/>
      <c r="I18" s="68"/>
      <c r="J18" s="68"/>
      <c r="K18" s="68"/>
      <c r="L18" s="66">
        <f>SUM(L13:L17)</f>
        <v>0</v>
      </c>
      <c r="M18" s="71">
        <f>SUM(M13:M17)</f>
        <v>0</v>
      </c>
      <c r="N18" s="66">
        <f>SUM(N13:N17)</f>
        <v>0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5"/>
      <c r="AE18" s="68"/>
      <c r="AF18" s="68"/>
      <c r="AG18" s="69"/>
      <c r="AH18" s="68"/>
      <c r="AI18" s="70"/>
      <c r="AJ18" s="80"/>
      <c r="AK18" s="66">
        <f>SUM(AK4:AK17)</f>
        <v>29100</v>
      </c>
      <c r="AL18" s="71">
        <f>SUM(AL4:AL17)</f>
        <v>5500</v>
      </c>
      <c r="AM18" s="66">
        <f>SUM(AM4:AM17)</f>
        <v>23600</v>
      </c>
      <c r="AN18" s="75"/>
    </row>
    <row r="19" spans="1:40" s="75" customFormat="1" ht="100.0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spans="1:40" s="76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5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5"/>
      <c r="AE22" s="79"/>
      <c r="AF22" s="79"/>
      <c r="AG22" s="79"/>
      <c r="AH22" s="79"/>
      <c r="AI22" s="79"/>
      <c r="AJ22" s="79"/>
      <c r="AK22" s="79"/>
      <c r="AL22" s="79"/>
      <c r="AM22" s="79"/>
      <c r="AN22" s="75"/>
    </row>
    <row r="23" spans="1:40" s="76" customFormat="1" ht="100.0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79"/>
      <c r="AF23" s="79"/>
      <c r="AG23" s="79"/>
      <c r="AH23" s="79"/>
      <c r="AI23" s="79"/>
      <c r="AJ23" s="79"/>
      <c r="AK23" s="79"/>
      <c r="AL23" s="79"/>
      <c r="AM23" s="79"/>
      <c r="AN23" s="75"/>
    </row>
    <row r="24" spans="1:40" s="76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5"/>
      <c r="AE24" s="79"/>
      <c r="AF24" s="79"/>
      <c r="AG24" s="79"/>
      <c r="AH24" s="79"/>
      <c r="AI24" s="79"/>
      <c r="AJ24" s="79"/>
      <c r="AK24" s="79"/>
      <c r="AL24" s="79"/>
      <c r="AM24" s="79"/>
      <c r="AN24" s="75"/>
    </row>
    <row r="25" spans="1:40" s="76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79"/>
      <c r="AF25" s="79"/>
      <c r="AG25" s="79"/>
      <c r="AH25" s="79"/>
      <c r="AI25" s="79"/>
      <c r="AJ25" s="79"/>
      <c r="AK25" s="79"/>
      <c r="AL25" s="79"/>
      <c r="AM25" s="79"/>
      <c r="AN25" s="75"/>
    </row>
    <row r="26" spans="1:40" s="76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5"/>
      <c r="AE26" s="79"/>
      <c r="AF26" s="79"/>
      <c r="AG26" s="79"/>
      <c r="AH26" s="79"/>
      <c r="AI26" s="79"/>
      <c r="AJ26" s="79"/>
      <c r="AK26" s="79"/>
      <c r="AL26" s="79"/>
      <c r="AM26" s="79"/>
      <c r="AN26" s="75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1:40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1:40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1:40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1:40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11:N11"/>
    <mergeCell ref="P11:AC11"/>
  </mergeCells>
  <printOptions horizontalCentered="1" verticalCentered="1"/>
  <pageMargins left="0.25" right="0.25" top="0.75" bottom="0.75" header="0.3" footer="0.3"/>
  <pageSetup paperSize="9" scale="30" fitToHeight="0"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4"/>
  <sheetViews>
    <sheetView topLeftCell="M1" zoomScale="25" zoomScaleNormal="25" workbookViewId="0">
      <selection activeCell="AA6" sqref="AA6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50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28.4414062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45919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45919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210825</v>
      </c>
      <c r="B4" s="62">
        <v>430</v>
      </c>
      <c r="C4" s="64">
        <v>0.5</v>
      </c>
      <c r="D4" s="62">
        <v>543</v>
      </c>
      <c r="E4" s="65" t="s">
        <v>125</v>
      </c>
      <c r="F4" s="62" t="s">
        <v>121</v>
      </c>
      <c r="G4" s="62">
        <v>430</v>
      </c>
      <c r="H4" s="64">
        <v>0.6</v>
      </c>
      <c r="I4" s="62">
        <v>173</v>
      </c>
      <c r="J4" s="62">
        <v>3.6</v>
      </c>
      <c r="K4" s="62" t="s">
        <v>74</v>
      </c>
      <c r="L4" s="66">
        <v>3000</v>
      </c>
      <c r="M4" s="67">
        <f>730+1600+750</f>
        <v>3080</v>
      </c>
      <c r="N4" s="66">
        <f t="shared" ref="N4:N8" si="0">L4-M4</f>
        <v>-80</v>
      </c>
      <c r="P4" s="62">
        <v>10925</v>
      </c>
      <c r="Q4" s="62">
        <v>430</v>
      </c>
      <c r="R4" s="64">
        <v>0.8</v>
      </c>
      <c r="S4" s="62">
        <v>383</v>
      </c>
      <c r="T4" s="65" t="s">
        <v>117</v>
      </c>
      <c r="U4" s="62" t="s">
        <v>42</v>
      </c>
      <c r="V4" s="62">
        <v>430</v>
      </c>
      <c r="W4" s="64">
        <v>0.6</v>
      </c>
      <c r="X4" s="62">
        <v>157</v>
      </c>
      <c r="Y4" s="62">
        <v>4</v>
      </c>
      <c r="Z4" s="62" t="s">
        <v>74</v>
      </c>
      <c r="AA4" s="66">
        <v>3300</v>
      </c>
      <c r="AB4" s="67">
        <f>450+1590+1700</f>
        <v>3740</v>
      </c>
      <c r="AC4" s="66">
        <f>AA4-AB4</f>
        <v>-440</v>
      </c>
      <c r="AE4" s="62">
        <v>10925</v>
      </c>
      <c r="AF4" s="62">
        <v>430</v>
      </c>
      <c r="AG4" s="64">
        <v>0.6</v>
      </c>
      <c r="AH4" s="77">
        <v>180</v>
      </c>
      <c r="AI4" s="65" t="s">
        <v>103</v>
      </c>
      <c r="AJ4" s="78" t="s">
        <v>119</v>
      </c>
      <c r="AK4" s="66">
        <v>3300</v>
      </c>
      <c r="AL4" s="67">
        <f>450+2500+350</f>
        <v>3300</v>
      </c>
      <c r="AM4" s="66">
        <f t="shared" ref="AM4:AM16" si="1">AK4-AL4</f>
        <v>0</v>
      </c>
    </row>
    <row r="5" spans="1:40" s="76" customFormat="1" ht="100.05" customHeight="1" x14ac:dyDescent="0.3">
      <c r="A5" s="62">
        <v>210825</v>
      </c>
      <c r="B5" s="62">
        <v>430</v>
      </c>
      <c r="C5" s="64">
        <v>0.5</v>
      </c>
      <c r="D5" s="62">
        <v>497</v>
      </c>
      <c r="E5" s="65" t="s">
        <v>122</v>
      </c>
      <c r="F5" s="62" t="s">
        <v>121</v>
      </c>
      <c r="G5" s="62">
        <v>430</v>
      </c>
      <c r="H5" s="64">
        <v>0.6</v>
      </c>
      <c r="I5" s="62">
        <v>173</v>
      </c>
      <c r="J5" s="62">
        <v>3.6</v>
      </c>
      <c r="K5" s="62" t="s">
        <v>74</v>
      </c>
      <c r="L5" s="66">
        <v>3000</v>
      </c>
      <c r="M5" s="67">
        <f>750</f>
        <v>750</v>
      </c>
      <c r="N5" s="66">
        <f t="shared" si="0"/>
        <v>2250</v>
      </c>
      <c r="P5" s="62">
        <v>100925</v>
      </c>
      <c r="Q5" s="62">
        <v>304</v>
      </c>
      <c r="R5" s="64">
        <v>0.9</v>
      </c>
      <c r="S5" s="87">
        <v>345</v>
      </c>
      <c r="T5" s="65" t="s">
        <v>147</v>
      </c>
      <c r="U5" s="62" t="s">
        <v>42</v>
      </c>
      <c r="V5" s="62">
        <v>304</v>
      </c>
      <c r="W5" s="64">
        <v>0.6</v>
      </c>
      <c r="X5" s="62">
        <v>157</v>
      </c>
      <c r="Y5" s="62">
        <v>4</v>
      </c>
      <c r="Z5" s="62" t="s">
        <v>74</v>
      </c>
      <c r="AA5" s="66">
        <v>1200</v>
      </c>
      <c r="AB5" s="67">
        <f>200+1100</f>
        <v>1300</v>
      </c>
      <c r="AC5" s="66">
        <f t="shared" ref="AC5:AC8" si="2">AA5-AB5</f>
        <v>-100</v>
      </c>
      <c r="AE5" s="62">
        <v>10925</v>
      </c>
      <c r="AF5" s="62">
        <v>430</v>
      </c>
      <c r="AG5" s="64">
        <v>0.6</v>
      </c>
      <c r="AH5" s="77">
        <v>160</v>
      </c>
      <c r="AI5" s="65" t="s">
        <v>104</v>
      </c>
      <c r="AJ5" s="78" t="s">
        <v>119</v>
      </c>
      <c r="AK5" s="66">
        <v>3300</v>
      </c>
      <c r="AL5" s="67"/>
      <c r="AM5" s="66">
        <f t="shared" si="1"/>
        <v>3300</v>
      </c>
    </row>
    <row r="6" spans="1:40" s="76" customFormat="1" ht="100.05" customHeight="1" x14ac:dyDescent="0.3">
      <c r="A6" s="62">
        <v>210825</v>
      </c>
      <c r="B6" s="62">
        <v>430</v>
      </c>
      <c r="C6" s="64">
        <v>0.5</v>
      </c>
      <c r="D6" s="62">
        <v>445</v>
      </c>
      <c r="E6" s="65" t="s">
        <v>123</v>
      </c>
      <c r="F6" s="62" t="s">
        <v>121</v>
      </c>
      <c r="G6" s="62">
        <v>430</v>
      </c>
      <c r="H6" s="64">
        <v>0.6</v>
      </c>
      <c r="I6" s="62">
        <v>173</v>
      </c>
      <c r="J6" s="62">
        <v>3.6</v>
      </c>
      <c r="K6" s="62" t="s">
        <v>74</v>
      </c>
      <c r="L6" s="66">
        <v>2600</v>
      </c>
      <c r="M6" s="67"/>
      <c r="N6" s="66">
        <f t="shared" si="0"/>
        <v>2600</v>
      </c>
      <c r="P6" s="62"/>
      <c r="Q6" s="62"/>
      <c r="R6" s="64"/>
      <c r="S6" s="87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2"/>
        <v>0</v>
      </c>
      <c r="AE6" s="62">
        <v>10925</v>
      </c>
      <c r="AF6" s="62">
        <v>430</v>
      </c>
      <c r="AG6" s="64">
        <v>0.6</v>
      </c>
      <c r="AH6" s="77">
        <v>160</v>
      </c>
      <c r="AI6" s="65" t="s">
        <v>105</v>
      </c>
      <c r="AJ6" s="78" t="s">
        <v>119</v>
      </c>
      <c r="AK6" s="66">
        <v>3300</v>
      </c>
      <c r="AL6" s="67"/>
      <c r="AM6" s="66">
        <f t="shared" si="1"/>
        <v>3300</v>
      </c>
    </row>
    <row r="7" spans="1:40" s="76" customFormat="1" ht="100.05" customHeight="1" x14ac:dyDescent="0.3">
      <c r="A7" s="62"/>
      <c r="B7" s="62"/>
      <c r="C7" s="64"/>
      <c r="D7" s="62"/>
      <c r="E7" s="65"/>
      <c r="F7" s="62"/>
      <c r="G7" s="62"/>
      <c r="H7" s="64"/>
      <c r="I7" s="62"/>
      <c r="J7" s="62"/>
      <c r="K7" s="62"/>
      <c r="L7" s="66"/>
      <c r="M7" s="67"/>
      <c r="N7" s="66">
        <f t="shared" si="0"/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10925</v>
      </c>
      <c r="AF7" s="62">
        <v>430</v>
      </c>
      <c r="AG7" s="64">
        <v>0.6</v>
      </c>
      <c r="AH7" s="77">
        <v>147</v>
      </c>
      <c r="AI7" s="65" t="s">
        <v>106</v>
      </c>
      <c r="AJ7" s="78" t="s">
        <v>119</v>
      </c>
      <c r="AK7" s="66">
        <v>3100</v>
      </c>
      <c r="AL7" s="67">
        <f>300</f>
        <v>300</v>
      </c>
      <c r="AM7" s="66">
        <f t="shared" si="1"/>
        <v>2800</v>
      </c>
    </row>
    <row r="8" spans="1:40" s="7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0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2"/>
      <c r="AB8" s="67"/>
      <c r="AC8" s="66">
        <f t="shared" si="2"/>
        <v>0</v>
      </c>
      <c r="AE8" s="62">
        <v>10925</v>
      </c>
      <c r="AF8" s="62">
        <v>430</v>
      </c>
      <c r="AG8" s="64">
        <v>0.6</v>
      </c>
      <c r="AH8" s="77">
        <v>147</v>
      </c>
      <c r="AI8" s="65" t="s">
        <v>107</v>
      </c>
      <c r="AJ8" s="78" t="s">
        <v>119</v>
      </c>
      <c r="AK8" s="66">
        <v>3100</v>
      </c>
      <c r="AL8" s="67"/>
      <c r="AM8" s="66">
        <f t="shared" si="1"/>
        <v>3100</v>
      </c>
    </row>
    <row r="9" spans="1:40" s="7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8600</v>
      </c>
      <c r="M9" s="71">
        <f>SUM(M4:M8)</f>
        <v>3830</v>
      </c>
      <c r="N9" s="66">
        <f>SUM(N4:N8)</f>
        <v>4770</v>
      </c>
      <c r="P9" s="68"/>
      <c r="Q9" s="68"/>
      <c r="R9" s="69"/>
      <c r="S9" s="68"/>
      <c r="T9" s="70"/>
      <c r="U9" s="68"/>
      <c r="V9" s="68"/>
      <c r="W9" s="69"/>
      <c r="X9" s="68"/>
      <c r="Y9" s="68"/>
      <c r="Z9" s="68"/>
      <c r="AA9" s="66">
        <f>AA4+AA5+AA6+AA7+AA8</f>
        <v>4500</v>
      </c>
      <c r="AB9" s="71">
        <f>SUM(AB4:AB8)</f>
        <v>5040</v>
      </c>
      <c r="AC9" s="66">
        <f>SUM(AC4:AC8)</f>
        <v>-540</v>
      </c>
      <c r="AE9" s="62">
        <v>10925</v>
      </c>
      <c r="AF9" s="62">
        <v>304</v>
      </c>
      <c r="AG9" s="64">
        <v>0.6</v>
      </c>
      <c r="AH9" s="77">
        <v>160</v>
      </c>
      <c r="AI9" s="65" t="s">
        <v>110</v>
      </c>
      <c r="AJ9" s="78" t="s">
        <v>119</v>
      </c>
      <c r="AK9" s="66">
        <v>3200</v>
      </c>
      <c r="AL9" s="67"/>
      <c r="AM9" s="66">
        <f t="shared" si="1"/>
        <v>3200</v>
      </c>
    </row>
    <row r="10" spans="1:40" s="75" customFormat="1" ht="100.05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6"/>
      <c r="AE10" s="62">
        <v>10925</v>
      </c>
      <c r="AF10" s="62">
        <v>304</v>
      </c>
      <c r="AG10" s="64">
        <v>0.8</v>
      </c>
      <c r="AH10" s="77">
        <v>160</v>
      </c>
      <c r="AI10" s="65" t="s">
        <v>109</v>
      </c>
      <c r="AJ10" s="78" t="s">
        <v>119</v>
      </c>
      <c r="AK10" s="66">
        <v>3200</v>
      </c>
      <c r="AL10" s="67">
        <f>2200+1200</f>
        <v>3400</v>
      </c>
      <c r="AM10" s="66">
        <f t="shared" si="1"/>
        <v>-200</v>
      </c>
      <c r="AN10" s="76"/>
    </row>
    <row r="11" spans="1:40" s="75" customFormat="1" ht="100.05" customHeight="1" x14ac:dyDescent="0.3">
      <c r="A11" s="109" t="s">
        <v>101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P11" s="109" t="s">
        <v>99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76"/>
      <c r="AE11" s="62">
        <v>100925</v>
      </c>
      <c r="AF11" s="62">
        <v>304</v>
      </c>
      <c r="AG11" s="64">
        <v>0.9</v>
      </c>
      <c r="AH11" s="67" t="s">
        <v>71</v>
      </c>
      <c r="AI11" s="65" t="s">
        <v>111</v>
      </c>
      <c r="AJ11" s="78" t="s">
        <v>113</v>
      </c>
      <c r="AK11" s="66">
        <v>1200</v>
      </c>
      <c r="AL11" s="67"/>
      <c r="AM11" s="66">
        <f t="shared" si="1"/>
        <v>1200</v>
      </c>
      <c r="AN11" s="76"/>
    </row>
    <row r="12" spans="1:40" s="75" customFormat="1" ht="100.05" customHeight="1" x14ac:dyDescent="0.3">
      <c r="A12" s="81" t="s">
        <v>0</v>
      </c>
      <c r="B12" s="81" t="s">
        <v>9</v>
      </c>
      <c r="C12" s="82" t="s">
        <v>11</v>
      </c>
      <c r="D12" s="81" t="s">
        <v>2</v>
      </c>
      <c r="E12" s="81" t="s">
        <v>1</v>
      </c>
      <c r="F12" s="81" t="s">
        <v>14</v>
      </c>
      <c r="G12" s="81" t="s">
        <v>8</v>
      </c>
      <c r="H12" s="82" t="s">
        <v>10</v>
      </c>
      <c r="I12" s="82" t="s">
        <v>12</v>
      </c>
      <c r="J12" s="82" t="s">
        <v>13</v>
      </c>
      <c r="K12" s="81" t="s">
        <v>3</v>
      </c>
      <c r="L12" s="81" t="s">
        <v>7</v>
      </c>
      <c r="M12" s="81" t="s">
        <v>5</v>
      </c>
      <c r="N12" s="81" t="s">
        <v>6</v>
      </c>
      <c r="P12" s="81" t="s">
        <v>0</v>
      </c>
      <c r="Q12" s="81" t="s">
        <v>9</v>
      </c>
      <c r="R12" s="82" t="s">
        <v>11</v>
      </c>
      <c r="S12" s="81" t="s">
        <v>2</v>
      </c>
      <c r="T12" s="81" t="s">
        <v>1</v>
      </c>
      <c r="U12" s="81" t="s">
        <v>14</v>
      </c>
      <c r="V12" s="81" t="s">
        <v>8</v>
      </c>
      <c r="W12" s="82" t="s">
        <v>10</v>
      </c>
      <c r="X12" s="82" t="s">
        <v>12</v>
      </c>
      <c r="Y12" s="82" t="s">
        <v>13</v>
      </c>
      <c r="Z12" s="81" t="s">
        <v>3</v>
      </c>
      <c r="AA12" s="81" t="s">
        <v>7</v>
      </c>
      <c r="AB12" s="81" t="s">
        <v>5</v>
      </c>
      <c r="AC12" s="81" t="s">
        <v>6</v>
      </c>
      <c r="AD12" s="76"/>
      <c r="AE12" s="62">
        <v>100925</v>
      </c>
      <c r="AF12" s="62">
        <v>304</v>
      </c>
      <c r="AG12" s="64">
        <v>0.9</v>
      </c>
      <c r="AH12" s="67" t="s">
        <v>71</v>
      </c>
      <c r="AI12" s="65" t="s">
        <v>112</v>
      </c>
      <c r="AJ12" s="78" t="s">
        <v>119</v>
      </c>
      <c r="AK12" s="66">
        <v>1200</v>
      </c>
      <c r="AL12" s="67"/>
      <c r="AM12" s="66">
        <f t="shared" si="1"/>
        <v>1200</v>
      </c>
      <c r="AN12" s="76"/>
    </row>
    <row r="13" spans="1:40" s="76" customFormat="1" ht="100.05" customHeight="1" x14ac:dyDescent="0.3">
      <c r="A13" s="62"/>
      <c r="B13" s="62"/>
      <c r="C13" s="64"/>
      <c r="D13" s="62"/>
      <c r="E13" s="65"/>
      <c r="F13" s="62"/>
      <c r="G13" s="62"/>
      <c r="H13" s="64"/>
      <c r="I13" s="62"/>
      <c r="J13" s="62"/>
      <c r="K13" s="62"/>
      <c r="L13" s="66"/>
      <c r="M13" s="67"/>
      <c r="N13" s="66">
        <f>L13-M13</f>
        <v>0</v>
      </c>
      <c r="P13" s="62">
        <v>10925</v>
      </c>
      <c r="Q13" s="62">
        <v>430</v>
      </c>
      <c r="R13" s="64">
        <v>0.8</v>
      </c>
      <c r="S13" s="62">
        <v>26.5</v>
      </c>
      <c r="T13" s="65" t="s">
        <v>102</v>
      </c>
      <c r="U13" s="62" t="s">
        <v>24</v>
      </c>
      <c r="V13" s="62" t="s">
        <v>24</v>
      </c>
      <c r="W13" s="64" t="s">
        <v>24</v>
      </c>
      <c r="X13" s="62" t="s">
        <v>24</v>
      </c>
      <c r="Y13" s="62" t="s">
        <v>24</v>
      </c>
      <c r="Z13" s="62" t="s">
        <v>24</v>
      </c>
      <c r="AA13" s="66">
        <v>3100</v>
      </c>
      <c r="AB13" s="67"/>
      <c r="AC13" s="66">
        <f t="shared" ref="AC13:AC16" si="3">AA13-AB13</f>
        <v>3100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114</v>
      </c>
      <c r="AJ13" s="78" t="s">
        <v>113</v>
      </c>
      <c r="AK13" s="66">
        <v>1500</v>
      </c>
      <c r="AL13" s="67"/>
      <c r="AM13" s="66">
        <f t="shared" si="1"/>
        <v>1500</v>
      </c>
    </row>
    <row r="14" spans="1:40" s="76" customFormat="1" ht="100.05" customHeight="1" x14ac:dyDescent="0.3">
      <c r="A14" s="62"/>
      <c r="B14" s="62"/>
      <c r="C14" s="64"/>
      <c r="D14" s="62"/>
      <c r="E14" s="65"/>
      <c r="F14" s="62"/>
      <c r="G14" s="62"/>
      <c r="H14" s="64"/>
      <c r="I14" s="62"/>
      <c r="J14" s="62"/>
      <c r="K14" s="62"/>
      <c r="L14" s="66"/>
      <c r="M14" s="67"/>
      <c r="N14" s="66">
        <f>L14-M14</f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3"/>
        <v>0</v>
      </c>
      <c r="AD14" s="75"/>
      <c r="AE14" s="62">
        <v>100925</v>
      </c>
      <c r="AF14" s="62">
        <v>304</v>
      </c>
      <c r="AG14" s="64">
        <v>0.9</v>
      </c>
      <c r="AH14" s="67" t="s">
        <v>71</v>
      </c>
      <c r="AI14" s="65" t="s">
        <v>115</v>
      </c>
      <c r="AJ14" s="78" t="s">
        <v>119</v>
      </c>
      <c r="AK14" s="66">
        <v>2100</v>
      </c>
      <c r="AL14" s="67"/>
      <c r="AM14" s="66">
        <f t="shared" si="1"/>
        <v>2100</v>
      </c>
      <c r="AN14" s="75"/>
    </row>
    <row r="15" spans="1:40" s="76" customFormat="1" ht="100.05" customHeight="1" x14ac:dyDescent="0.3">
      <c r="A15" s="62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6"/>
      <c r="M15" s="67"/>
      <c r="N15" s="66">
        <f t="shared" ref="N15:N17" si="4">L15-M15</f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3"/>
        <v>0</v>
      </c>
      <c r="AD15" s="75"/>
      <c r="AE15" s="62">
        <v>100925</v>
      </c>
      <c r="AF15" s="62">
        <v>304</v>
      </c>
      <c r="AG15" s="64">
        <v>0.9</v>
      </c>
      <c r="AH15" s="67" t="s">
        <v>71</v>
      </c>
      <c r="AI15" s="65" t="s">
        <v>116</v>
      </c>
      <c r="AJ15" s="78" t="s">
        <v>119</v>
      </c>
      <c r="AK15" s="66">
        <v>600</v>
      </c>
      <c r="AL15" s="67"/>
      <c r="AM15" s="66">
        <f t="shared" si="1"/>
        <v>600</v>
      </c>
      <c r="AN15" s="75"/>
    </row>
    <row r="16" spans="1:40" s="76" customFormat="1" ht="100.05" customHeight="1" x14ac:dyDescent="0.3">
      <c r="A16" s="62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6"/>
      <c r="M16" s="67"/>
      <c r="N16" s="66">
        <f t="shared" si="4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3"/>
        <v>0</v>
      </c>
      <c r="AD16" s="75"/>
      <c r="AE16" s="62"/>
      <c r="AF16" s="62"/>
      <c r="AG16" s="64"/>
      <c r="AH16" s="67"/>
      <c r="AI16" s="65"/>
      <c r="AJ16" s="78"/>
      <c r="AK16" s="66"/>
      <c r="AL16" s="67"/>
      <c r="AM16" s="66">
        <f t="shared" si="1"/>
        <v>0</v>
      </c>
      <c r="AN16" s="75"/>
    </row>
    <row r="17" spans="1:40" s="76" customFormat="1" ht="100.05" customHeight="1" x14ac:dyDescent="0.3">
      <c r="A17" s="62"/>
      <c r="B17" s="62"/>
      <c r="C17" s="64"/>
      <c r="D17" s="62"/>
      <c r="E17" s="65"/>
      <c r="F17" s="62"/>
      <c r="G17" s="62"/>
      <c r="H17" s="64"/>
      <c r="I17" s="62"/>
      <c r="J17" s="62"/>
      <c r="K17" s="62"/>
      <c r="L17" s="62"/>
      <c r="M17" s="67"/>
      <c r="N17" s="66">
        <f t="shared" si="4"/>
        <v>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SUM(AA13:AA16)</f>
        <v>3100</v>
      </c>
      <c r="AB17" s="71">
        <f>SUM(AB13:AB16)</f>
        <v>0</v>
      </c>
      <c r="AC17" s="66">
        <f>SUM(AC13:AC16)</f>
        <v>3100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/>
      <c r="AN17" s="75"/>
    </row>
    <row r="18" spans="1:40" s="76" customFormat="1" ht="100.05" customHeight="1" x14ac:dyDescent="0.3">
      <c r="A18" s="68"/>
      <c r="B18" s="68"/>
      <c r="C18" s="69"/>
      <c r="D18" s="68"/>
      <c r="E18" s="70"/>
      <c r="F18" s="68"/>
      <c r="G18" s="68"/>
      <c r="H18" s="69"/>
      <c r="I18" s="68"/>
      <c r="J18" s="68"/>
      <c r="K18" s="68"/>
      <c r="L18" s="66">
        <f>SUM(L13:L17)</f>
        <v>0</v>
      </c>
      <c r="M18" s="71">
        <f>SUM(M13:M17)</f>
        <v>0</v>
      </c>
      <c r="N18" s="66">
        <f>SUM(N13:N17)</f>
        <v>0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5"/>
      <c r="AE18" s="68"/>
      <c r="AF18" s="68"/>
      <c r="AG18" s="69"/>
      <c r="AH18" s="68"/>
      <c r="AI18" s="70"/>
      <c r="AJ18" s="80"/>
      <c r="AK18" s="66">
        <f>SUM(AK4:AK17)</f>
        <v>29100</v>
      </c>
      <c r="AL18" s="71">
        <f>SUM(AL4:AL17)</f>
        <v>7000</v>
      </c>
      <c r="AM18" s="66">
        <f>SUM(AM4:AM17)</f>
        <v>22100</v>
      </c>
      <c r="AN18" s="75"/>
    </row>
    <row r="19" spans="1:40" s="75" customFormat="1" ht="100.0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spans="1:40" s="76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5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5"/>
      <c r="AE22" s="79"/>
      <c r="AF22" s="79"/>
      <c r="AG22" s="79"/>
      <c r="AH22" s="79"/>
      <c r="AI22" s="79"/>
      <c r="AJ22" s="79"/>
      <c r="AK22" s="79"/>
      <c r="AL22" s="79"/>
      <c r="AM22" s="79"/>
      <c r="AN22" s="75"/>
    </row>
    <row r="23" spans="1:40" s="76" customFormat="1" ht="100.0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79"/>
      <c r="AF23" s="79"/>
      <c r="AG23" s="79"/>
      <c r="AH23" s="79"/>
      <c r="AI23" s="79"/>
      <c r="AJ23" s="79"/>
      <c r="AK23" s="79"/>
      <c r="AL23" s="79"/>
      <c r="AM23" s="79"/>
      <c r="AN23" s="75"/>
    </row>
    <row r="24" spans="1:40" s="76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5"/>
      <c r="AE24" s="79"/>
      <c r="AF24" s="79"/>
      <c r="AG24" s="79"/>
      <c r="AH24" s="79"/>
      <c r="AI24" s="79"/>
      <c r="AJ24" s="79"/>
      <c r="AK24" s="79"/>
      <c r="AL24" s="79"/>
      <c r="AM24" s="79"/>
      <c r="AN24" s="75"/>
    </row>
    <row r="25" spans="1:40" s="76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79"/>
      <c r="AF25" s="79"/>
      <c r="AG25" s="79"/>
      <c r="AH25" s="79"/>
      <c r="AI25" s="79"/>
      <c r="AJ25" s="79"/>
      <c r="AK25" s="79"/>
      <c r="AL25" s="79"/>
      <c r="AM25" s="79"/>
      <c r="AN25" s="75"/>
    </row>
    <row r="26" spans="1:40" s="76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5"/>
      <c r="AE26" s="79"/>
      <c r="AF26" s="79"/>
      <c r="AG26" s="79"/>
      <c r="AH26" s="79"/>
      <c r="AI26" s="79"/>
      <c r="AJ26" s="79"/>
      <c r="AK26" s="79"/>
      <c r="AL26" s="79"/>
      <c r="AM26" s="79"/>
      <c r="AN26" s="75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1:40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1:40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1:40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1:40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</sheetData>
  <mergeCells count="11">
    <mergeCell ref="A2:N2"/>
    <mergeCell ref="P2:AC2"/>
    <mergeCell ref="AE2:AM2"/>
    <mergeCell ref="A11:N11"/>
    <mergeCell ref="P11:AC11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30" fitToHeight="0" orientation="landscape" horizontalDpi="1200" verticalDpi="12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topLeftCell="U1" zoomScale="25" zoomScaleNormal="25" workbookViewId="0">
      <selection activeCell="AP6" sqref="AP6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45922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45922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210825</v>
      </c>
      <c r="B4" s="62">
        <v>430</v>
      </c>
      <c r="C4" s="64">
        <v>0.6</v>
      </c>
      <c r="D4" s="62">
        <v>497</v>
      </c>
      <c r="E4" s="65" t="s">
        <v>122</v>
      </c>
      <c r="F4" s="62" t="s">
        <v>121</v>
      </c>
      <c r="G4" s="62">
        <v>430</v>
      </c>
      <c r="H4" s="64">
        <v>0.6</v>
      </c>
      <c r="I4" s="62">
        <v>173</v>
      </c>
      <c r="J4" s="62">
        <v>3.6</v>
      </c>
      <c r="K4" s="62" t="s">
        <v>74</v>
      </c>
      <c r="L4" s="66">
        <v>3000</v>
      </c>
      <c r="M4" s="67">
        <f>750+1050+1250</f>
        <v>3050</v>
      </c>
      <c r="N4" s="66">
        <f t="shared" ref="N4:N19" si="0">L4-M4</f>
        <v>-50</v>
      </c>
      <c r="P4" s="62" t="s">
        <v>126</v>
      </c>
      <c r="Q4" s="62">
        <v>304</v>
      </c>
      <c r="R4" s="64">
        <v>0.9</v>
      </c>
      <c r="S4" s="87">
        <v>360</v>
      </c>
      <c r="T4" s="65" t="s">
        <v>141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1500</v>
      </c>
      <c r="AB4" s="67">
        <f>500</f>
        <v>500</v>
      </c>
      <c r="AC4" s="66">
        <f>AA4-AB4</f>
        <v>1000</v>
      </c>
      <c r="AE4" s="62">
        <v>10925</v>
      </c>
      <c r="AF4" s="62">
        <v>430</v>
      </c>
      <c r="AG4" s="64">
        <v>0.6</v>
      </c>
      <c r="AH4" s="77">
        <v>147</v>
      </c>
      <c r="AI4" s="65" t="s">
        <v>106</v>
      </c>
      <c r="AJ4" s="78" t="s">
        <v>119</v>
      </c>
      <c r="AK4" s="66">
        <v>3100</v>
      </c>
      <c r="AL4" s="67">
        <f>300+1750+1100</f>
        <v>3150</v>
      </c>
      <c r="AM4" s="66">
        <f t="shared" ref="AM4:AM28" si="1">AK4-AL4</f>
        <v>-50</v>
      </c>
    </row>
    <row r="5" spans="1:39" s="76" customFormat="1" ht="100.05" customHeight="1" x14ac:dyDescent="0.3">
      <c r="A5" s="62">
        <v>210825</v>
      </c>
      <c r="B5" s="62">
        <v>430</v>
      </c>
      <c r="C5" s="64">
        <v>0.6</v>
      </c>
      <c r="D5" s="62">
        <v>445</v>
      </c>
      <c r="E5" s="65" t="s">
        <v>123</v>
      </c>
      <c r="F5" s="62" t="s">
        <v>121</v>
      </c>
      <c r="G5" s="62">
        <v>430</v>
      </c>
      <c r="H5" s="64">
        <v>0.6</v>
      </c>
      <c r="I5" s="62">
        <v>173</v>
      </c>
      <c r="J5" s="62">
        <v>3.6</v>
      </c>
      <c r="K5" s="62" t="s">
        <v>74</v>
      </c>
      <c r="L5" s="66">
        <v>2600</v>
      </c>
      <c r="M5" s="67">
        <f>300</f>
        <v>300</v>
      </c>
      <c r="N5" s="66">
        <f t="shared" si="0"/>
        <v>2300</v>
      </c>
      <c r="P5" s="62">
        <v>100925</v>
      </c>
      <c r="Q5" s="62">
        <v>304</v>
      </c>
      <c r="R5" s="64">
        <v>0.9</v>
      </c>
      <c r="S5" s="87">
        <v>395</v>
      </c>
      <c r="T5" s="65" t="s">
        <v>148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1500</v>
      </c>
      <c r="AB5" s="67"/>
      <c r="AC5" s="66">
        <f t="shared" ref="AC5:AC19" si="2">AA5-AB5</f>
        <v>1500</v>
      </c>
      <c r="AE5" s="62">
        <v>10925</v>
      </c>
      <c r="AF5" s="62">
        <v>430</v>
      </c>
      <c r="AG5" s="64">
        <v>0.6</v>
      </c>
      <c r="AH5" s="77">
        <v>147</v>
      </c>
      <c r="AI5" s="65" t="s">
        <v>107</v>
      </c>
      <c r="AJ5" s="78" t="s">
        <v>119</v>
      </c>
      <c r="AK5" s="66">
        <v>3100</v>
      </c>
      <c r="AL5" s="67">
        <f>600</f>
        <v>600</v>
      </c>
      <c r="AM5" s="66">
        <f t="shared" si="1"/>
        <v>2500</v>
      </c>
    </row>
    <row r="6" spans="1:39" s="76" customFormat="1" ht="100.05" customHeight="1" x14ac:dyDescent="0.3">
      <c r="A6" s="62">
        <v>250043</v>
      </c>
      <c r="B6" s="62">
        <v>304</v>
      </c>
      <c r="C6" s="64">
        <v>0.6</v>
      </c>
      <c r="D6" s="62">
        <v>543</v>
      </c>
      <c r="E6" s="65" t="s">
        <v>131</v>
      </c>
      <c r="F6" s="62" t="s">
        <v>121</v>
      </c>
      <c r="G6" s="62">
        <v>304</v>
      </c>
      <c r="H6" s="64">
        <v>0.6</v>
      </c>
      <c r="I6" s="62">
        <v>173</v>
      </c>
      <c r="J6" s="62">
        <v>3.6</v>
      </c>
      <c r="K6" s="62" t="s">
        <v>74</v>
      </c>
      <c r="L6" s="66">
        <v>690</v>
      </c>
      <c r="M6" s="67"/>
      <c r="N6" s="66">
        <f t="shared" si="0"/>
        <v>690</v>
      </c>
      <c r="P6" s="62">
        <v>100925</v>
      </c>
      <c r="Q6" s="62">
        <v>304</v>
      </c>
      <c r="R6" s="64">
        <v>0.9</v>
      </c>
      <c r="S6" s="87">
        <v>395</v>
      </c>
      <c r="T6" s="65" t="s">
        <v>149</v>
      </c>
      <c r="U6" s="62" t="s">
        <v>42</v>
      </c>
      <c r="V6" s="62">
        <v>430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600</v>
      </c>
      <c r="AB6" s="67"/>
      <c r="AC6" s="66">
        <f t="shared" si="2"/>
        <v>600</v>
      </c>
      <c r="AE6" s="62">
        <v>10925</v>
      </c>
      <c r="AF6" s="62">
        <v>430</v>
      </c>
      <c r="AG6" s="64">
        <v>0.6</v>
      </c>
      <c r="AH6" s="77">
        <v>160</v>
      </c>
      <c r="AI6" s="65" t="s">
        <v>104</v>
      </c>
      <c r="AJ6" s="78" t="s">
        <v>119</v>
      </c>
      <c r="AK6" s="66">
        <v>3300</v>
      </c>
      <c r="AL6" s="67"/>
      <c r="AM6" s="66">
        <f t="shared" si="1"/>
        <v>3300</v>
      </c>
    </row>
    <row r="7" spans="1:39" s="76" customFormat="1" ht="100.05" customHeight="1" x14ac:dyDescent="0.3">
      <c r="A7" s="62">
        <v>250043</v>
      </c>
      <c r="B7" s="62">
        <v>304</v>
      </c>
      <c r="C7" s="64"/>
      <c r="D7" s="62">
        <v>543</v>
      </c>
      <c r="E7" s="65" t="s">
        <v>129</v>
      </c>
      <c r="F7" s="62" t="s">
        <v>121</v>
      </c>
      <c r="G7" s="62">
        <v>304</v>
      </c>
      <c r="H7" s="64">
        <v>0.6</v>
      </c>
      <c r="I7" s="62">
        <v>173</v>
      </c>
      <c r="J7" s="62">
        <v>3.6</v>
      </c>
      <c r="K7" s="62" t="s">
        <v>74</v>
      </c>
      <c r="L7" s="66">
        <v>60</v>
      </c>
      <c r="M7" s="67"/>
      <c r="N7" s="66">
        <f t="shared" si="0"/>
        <v>60</v>
      </c>
      <c r="P7" s="62" t="s">
        <v>126</v>
      </c>
      <c r="Q7" s="62">
        <v>304</v>
      </c>
      <c r="R7" s="64">
        <v>0.9</v>
      </c>
      <c r="S7" s="62">
        <v>402</v>
      </c>
      <c r="T7" s="65" t="s">
        <v>142</v>
      </c>
      <c r="U7" s="62" t="s">
        <v>42</v>
      </c>
      <c r="V7" s="62">
        <v>430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1500</v>
      </c>
      <c r="AB7" s="67"/>
      <c r="AC7" s="66">
        <f t="shared" si="2"/>
        <v>1500</v>
      </c>
      <c r="AE7" s="62">
        <v>10925</v>
      </c>
      <c r="AF7" s="62">
        <v>430</v>
      </c>
      <c r="AG7" s="64">
        <v>0.6</v>
      </c>
      <c r="AH7" s="77">
        <v>160</v>
      </c>
      <c r="AI7" s="65" t="s">
        <v>105</v>
      </c>
      <c r="AJ7" s="78" t="s">
        <v>119</v>
      </c>
      <c r="AK7" s="66">
        <v>3300</v>
      </c>
      <c r="AL7" s="67"/>
      <c r="AM7" s="66">
        <f t="shared" si="1"/>
        <v>3300</v>
      </c>
    </row>
    <row r="8" spans="1:39" s="76" customFormat="1" ht="100.05" customHeight="1" x14ac:dyDescent="0.3">
      <c r="A8" s="62">
        <v>250043</v>
      </c>
      <c r="B8" s="62">
        <v>304</v>
      </c>
      <c r="C8" s="64">
        <v>0.6</v>
      </c>
      <c r="D8" s="62">
        <v>543</v>
      </c>
      <c r="E8" s="65" t="s">
        <v>130</v>
      </c>
      <c r="F8" s="62" t="s">
        <v>121</v>
      </c>
      <c r="G8" s="62">
        <v>304</v>
      </c>
      <c r="H8" s="64">
        <v>0.6</v>
      </c>
      <c r="I8" s="62">
        <v>173</v>
      </c>
      <c r="J8" s="62">
        <v>3.6</v>
      </c>
      <c r="K8" s="62" t="s">
        <v>74</v>
      </c>
      <c r="L8" s="66">
        <v>240</v>
      </c>
      <c r="M8" s="67"/>
      <c r="N8" s="66">
        <f t="shared" si="0"/>
        <v>240</v>
      </c>
      <c r="P8" s="62">
        <v>160925</v>
      </c>
      <c r="Q8" s="62">
        <v>304</v>
      </c>
      <c r="R8" s="64">
        <v>0.9</v>
      </c>
      <c r="S8" s="62"/>
      <c r="T8" s="65" t="s">
        <v>150</v>
      </c>
      <c r="U8" s="62" t="s">
        <v>42</v>
      </c>
      <c r="V8" s="62" t="s">
        <v>24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1100</v>
      </c>
      <c r="AB8" s="67"/>
      <c r="AC8" s="66">
        <f t="shared" si="2"/>
        <v>1100</v>
      </c>
      <c r="AE8" s="62">
        <v>10925</v>
      </c>
      <c r="AF8" s="62">
        <v>304</v>
      </c>
      <c r="AG8" s="64">
        <v>0.6</v>
      </c>
      <c r="AH8" s="77">
        <v>160</v>
      </c>
      <c r="AI8" s="65" t="s">
        <v>110</v>
      </c>
      <c r="AJ8" s="78" t="s">
        <v>119</v>
      </c>
      <c r="AK8" s="66">
        <v>3200</v>
      </c>
      <c r="AL8" s="67"/>
      <c r="AM8" s="66">
        <f t="shared" si="1"/>
        <v>3200</v>
      </c>
    </row>
    <row r="9" spans="1:39" s="76" customFormat="1" ht="100.05" customHeight="1" x14ac:dyDescent="0.3">
      <c r="A9" s="62">
        <v>250043</v>
      </c>
      <c r="B9" s="62">
        <v>304</v>
      </c>
      <c r="C9" s="64"/>
      <c r="D9" s="62">
        <v>543</v>
      </c>
      <c r="E9" s="65" t="s">
        <v>128</v>
      </c>
      <c r="F9" s="62" t="s">
        <v>121</v>
      </c>
      <c r="G9" s="62">
        <v>304</v>
      </c>
      <c r="H9" s="64">
        <v>0.6</v>
      </c>
      <c r="I9" s="62">
        <v>173</v>
      </c>
      <c r="J9" s="62">
        <v>3.6</v>
      </c>
      <c r="K9" s="62" t="s">
        <v>74</v>
      </c>
      <c r="L9" s="66">
        <v>60</v>
      </c>
      <c r="M9" s="67"/>
      <c r="N9" s="66">
        <f t="shared" si="0"/>
        <v>60</v>
      </c>
      <c r="P9" s="62" t="s">
        <v>126</v>
      </c>
      <c r="Q9" s="62">
        <v>304</v>
      </c>
      <c r="R9" s="64">
        <v>0.9</v>
      </c>
      <c r="S9" s="62">
        <v>320</v>
      </c>
      <c r="T9" s="65" t="s">
        <v>151</v>
      </c>
      <c r="U9" s="62" t="s">
        <v>42</v>
      </c>
      <c r="V9" s="62">
        <v>430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1200</v>
      </c>
      <c r="AB9" s="67"/>
      <c r="AC9" s="66">
        <f t="shared" si="2"/>
        <v>1200</v>
      </c>
      <c r="AE9" s="62">
        <v>100925</v>
      </c>
      <c r="AF9" s="62">
        <v>304</v>
      </c>
      <c r="AG9" s="64">
        <v>0.9</v>
      </c>
      <c r="AH9" s="67" t="s">
        <v>71</v>
      </c>
      <c r="AI9" s="65" t="s">
        <v>111</v>
      </c>
      <c r="AJ9" s="78" t="s">
        <v>113</v>
      </c>
      <c r="AK9" s="66">
        <v>1200</v>
      </c>
      <c r="AL9" s="67"/>
      <c r="AM9" s="66">
        <f t="shared" si="1"/>
        <v>1200</v>
      </c>
    </row>
    <row r="10" spans="1:39" s="76" customFormat="1" ht="100.05" customHeight="1" x14ac:dyDescent="0.3">
      <c r="A10" s="62">
        <v>250043</v>
      </c>
      <c r="B10" s="62">
        <v>304</v>
      </c>
      <c r="C10" s="64">
        <v>0.6</v>
      </c>
      <c r="D10" s="62">
        <v>510</v>
      </c>
      <c r="E10" s="65" t="s">
        <v>132</v>
      </c>
      <c r="F10" s="62" t="s">
        <v>121</v>
      </c>
      <c r="G10" s="62">
        <v>304</v>
      </c>
      <c r="H10" s="64">
        <v>0.6</v>
      </c>
      <c r="I10" s="62">
        <v>173</v>
      </c>
      <c r="J10" s="62">
        <v>3.6</v>
      </c>
      <c r="K10" s="62" t="s">
        <v>74</v>
      </c>
      <c r="L10" s="66">
        <v>690</v>
      </c>
      <c r="M10" s="67"/>
      <c r="N10" s="66">
        <f t="shared" si="0"/>
        <v>690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100925</v>
      </c>
      <c r="AF10" s="62">
        <v>304</v>
      </c>
      <c r="AG10" s="64">
        <v>0.9</v>
      </c>
      <c r="AH10" s="67" t="s">
        <v>71</v>
      </c>
      <c r="AI10" s="65" t="s">
        <v>112</v>
      </c>
      <c r="AJ10" s="78" t="s">
        <v>119</v>
      </c>
      <c r="AK10" s="66">
        <v>1200</v>
      </c>
      <c r="AL10" s="67"/>
      <c r="AM10" s="66">
        <f t="shared" si="1"/>
        <v>1200</v>
      </c>
    </row>
    <row r="11" spans="1:39" s="76" customFormat="1" ht="100.05" customHeight="1" x14ac:dyDescent="0.3">
      <c r="A11" s="62">
        <v>250043</v>
      </c>
      <c r="B11" s="62">
        <v>304</v>
      </c>
      <c r="C11" s="64"/>
      <c r="D11" s="62">
        <v>510</v>
      </c>
      <c r="E11" s="65" t="s">
        <v>133</v>
      </c>
      <c r="F11" s="62" t="s">
        <v>121</v>
      </c>
      <c r="G11" s="62">
        <v>304</v>
      </c>
      <c r="H11" s="64">
        <v>0.6</v>
      </c>
      <c r="I11" s="62">
        <v>173</v>
      </c>
      <c r="J11" s="62">
        <v>3.6</v>
      </c>
      <c r="K11" s="62" t="s">
        <v>74</v>
      </c>
      <c r="L11" s="66">
        <v>60</v>
      </c>
      <c r="M11" s="67"/>
      <c r="N11" s="66">
        <f t="shared" si="0"/>
        <v>60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>
        <v>100925</v>
      </c>
      <c r="AF11" s="62">
        <v>304</v>
      </c>
      <c r="AG11" s="64">
        <v>0.9</v>
      </c>
      <c r="AH11" s="67" t="s">
        <v>71</v>
      </c>
      <c r="AI11" s="65" t="s">
        <v>114</v>
      </c>
      <c r="AJ11" s="78" t="s">
        <v>113</v>
      </c>
      <c r="AK11" s="66">
        <v>1500</v>
      </c>
      <c r="AL11" s="67"/>
      <c r="AM11" s="66">
        <f t="shared" si="1"/>
        <v>1500</v>
      </c>
    </row>
    <row r="12" spans="1:39" s="76" customFormat="1" ht="100.05" customHeight="1" x14ac:dyDescent="0.3">
      <c r="A12" s="62">
        <v>250043</v>
      </c>
      <c r="B12" s="62">
        <v>304</v>
      </c>
      <c r="C12" s="64">
        <v>0.6</v>
      </c>
      <c r="D12" s="62">
        <v>510</v>
      </c>
      <c r="E12" s="65" t="s">
        <v>134</v>
      </c>
      <c r="F12" s="62" t="s">
        <v>121</v>
      </c>
      <c r="G12" s="62">
        <v>304</v>
      </c>
      <c r="H12" s="64">
        <v>0.6</v>
      </c>
      <c r="I12" s="62">
        <v>173</v>
      </c>
      <c r="J12" s="62">
        <v>3.6</v>
      </c>
      <c r="K12" s="62" t="s">
        <v>74</v>
      </c>
      <c r="L12" s="66">
        <v>240</v>
      </c>
      <c r="M12" s="67"/>
      <c r="N12" s="66">
        <f t="shared" si="0"/>
        <v>240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>
        <v>100925</v>
      </c>
      <c r="AF12" s="62">
        <v>304</v>
      </c>
      <c r="AG12" s="64">
        <v>0.9</v>
      </c>
      <c r="AH12" s="67" t="s">
        <v>71</v>
      </c>
      <c r="AI12" s="65" t="s">
        <v>115</v>
      </c>
      <c r="AJ12" s="78" t="s">
        <v>119</v>
      </c>
      <c r="AK12" s="66">
        <v>2100</v>
      </c>
      <c r="AL12" s="67"/>
      <c r="AM12" s="66">
        <f t="shared" si="1"/>
        <v>2100</v>
      </c>
    </row>
    <row r="13" spans="1:39" s="76" customFormat="1" ht="99.6" customHeight="1" x14ac:dyDescent="0.3">
      <c r="A13" s="62">
        <v>250043</v>
      </c>
      <c r="B13" s="62">
        <v>304</v>
      </c>
      <c r="C13" s="64"/>
      <c r="D13" s="62">
        <v>510</v>
      </c>
      <c r="E13" s="65" t="s">
        <v>135</v>
      </c>
      <c r="F13" s="62" t="s">
        <v>121</v>
      </c>
      <c r="G13" s="62">
        <v>304</v>
      </c>
      <c r="H13" s="64">
        <v>0.6</v>
      </c>
      <c r="I13" s="62">
        <v>173</v>
      </c>
      <c r="J13" s="62">
        <v>3.6</v>
      </c>
      <c r="K13" s="62" t="s">
        <v>74</v>
      </c>
      <c r="L13" s="66">
        <v>60</v>
      </c>
      <c r="M13" s="67"/>
      <c r="N13" s="66">
        <f t="shared" si="0"/>
        <v>60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116</v>
      </c>
      <c r="AJ13" s="78" t="s">
        <v>119</v>
      </c>
      <c r="AK13" s="66">
        <v>600</v>
      </c>
      <c r="AL13" s="67"/>
      <c r="AM13" s="66">
        <f t="shared" si="1"/>
        <v>600</v>
      </c>
    </row>
    <row r="14" spans="1:39" s="76" customFormat="1" ht="99.6" customHeight="1" x14ac:dyDescent="0.3">
      <c r="A14" s="62">
        <v>250043</v>
      </c>
      <c r="B14" s="62">
        <v>304</v>
      </c>
      <c r="C14" s="64">
        <v>0.6</v>
      </c>
      <c r="D14" s="62">
        <v>562</v>
      </c>
      <c r="E14" s="86" t="s">
        <v>137</v>
      </c>
      <c r="F14" s="62" t="s">
        <v>121</v>
      </c>
      <c r="G14" s="62">
        <v>304</v>
      </c>
      <c r="H14" s="64">
        <v>0.6</v>
      </c>
      <c r="I14" s="62">
        <v>173</v>
      </c>
      <c r="J14" s="62">
        <v>3.6</v>
      </c>
      <c r="K14" s="62" t="s">
        <v>74</v>
      </c>
      <c r="L14" s="66">
        <v>690</v>
      </c>
      <c r="M14" s="67"/>
      <c r="N14" s="66">
        <f t="shared" si="0"/>
        <v>690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/>
      <c r="AF14" s="62"/>
      <c r="AG14" s="64"/>
      <c r="AH14" s="77"/>
      <c r="AI14" s="65"/>
      <c r="AJ14" s="78"/>
      <c r="AK14" s="66"/>
      <c r="AL14" s="67"/>
      <c r="AM14" s="66">
        <v>0</v>
      </c>
    </row>
    <row r="15" spans="1:39" s="76" customFormat="1" ht="99.6" customHeight="1" x14ac:dyDescent="0.3">
      <c r="A15" s="62">
        <v>250043</v>
      </c>
      <c r="B15" s="62">
        <v>304</v>
      </c>
      <c r="C15" s="64"/>
      <c r="D15" s="62">
        <v>562</v>
      </c>
      <c r="E15" s="86" t="s">
        <v>138</v>
      </c>
      <c r="F15" s="62" t="s">
        <v>121</v>
      </c>
      <c r="G15" s="62">
        <v>304</v>
      </c>
      <c r="H15" s="64">
        <v>0.6</v>
      </c>
      <c r="I15" s="62">
        <v>173</v>
      </c>
      <c r="J15" s="62">
        <v>3.6</v>
      </c>
      <c r="K15" s="62" t="s">
        <v>74</v>
      </c>
      <c r="L15" s="66">
        <v>60</v>
      </c>
      <c r="M15" s="67"/>
      <c r="N15" s="66">
        <f t="shared" si="0"/>
        <v>60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/>
      <c r="AF15" s="62"/>
      <c r="AG15" s="64"/>
      <c r="AH15" s="77"/>
      <c r="AI15" s="65"/>
      <c r="AJ15" s="78"/>
      <c r="AK15" s="66"/>
      <c r="AL15" s="67"/>
      <c r="AM15" s="66">
        <f t="shared" si="1"/>
        <v>0</v>
      </c>
    </row>
    <row r="16" spans="1:39" s="76" customFormat="1" ht="100.05" customHeight="1" x14ac:dyDescent="0.3">
      <c r="A16" s="62">
        <v>250043</v>
      </c>
      <c r="B16" s="62">
        <v>304</v>
      </c>
      <c r="C16" s="64">
        <v>0.6</v>
      </c>
      <c r="D16" s="62">
        <v>562</v>
      </c>
      <c r="E16" s="86" t="s">
        <v>139</v>
      </c>
      <c r="F16" s="62" t="s">
        <v>121</v>
      </c>
      <c r="G16" s="62">
        <v>304</v>
      </c>
      <c r="H16" s="64">
        <v>0.6</v>
      </c>
      <c r="I16" s="62">
        <v>173</v>
      </c>
      <c r="J16" s="62">
        <v>3.6</v>
      </c>
      <c r="K16" s="62" t="s">
        <v>74</v>
      </c>
      <c r="L16" s="66">
        <v>240</v>
      </c>
      <c r="M16" s="67"/>
      <c r="N16" s="66">
        <f t="shared" si="0"/>
        <v>240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/>
      <c r="AF16" s="62"/>
      <c r="AG16" s="64"/>
      <c r="AH16" s="77"/>
      <c r="AI16" s="65"/>
      <c r="AJ16" s="78"/>
      <c r="AK16" s="66"/>
      <c r="AL16" s="67"/>
      <c r="AM16" s="66">
        <f t="shared" si="1"/>
        <v>0</v>
      </c>
    </row>
    <row r="17" spans="1:40" s="76" customFormat="1" ht="100.05" customHeight="1" x14ac:dyDescent="0.3">
      <c r="A17" s="62">
        <v>250043</v>
      </c>
      <c r="B17" s="62">
        <v>304</v>
      </c>
      <c r="C17" s="64"/>
      <c r="D17" s="62">
        <v>562</v>
      </c>
      <c r="E17" s="86" t="s">
        <v>140</v>
      </c>
      <c r="F17" s="62" t="s">
        <v>121</v>
      </c>
      <c r="G17" s="62">
        <v>304</v>
      </c>
      <c r="H17" s="64">
        <v>0.6</v>
      </c>
      <c r="I17" s="62">
        <v>173</v>
      </c>
      <c r="J17" s="62">
        <v>3.6</v>
      </c>
      <c r="K17" s="62" t="s">
        <v>74</v>
      </c>
      <c r="L17" s="66">
        <v>60</v>
      </c>
      <c r="M17" s="67"/>
      <c r="N17" s="66">
        <f t="shared" si="0"/>
        <v>60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/>
      <c r="AF17" s="62"/>
      <c r="AG17" s="64"/>
      <c r="AH17" s="77"/>
      <c r="AI17" s="65"/>
      <c r="AJ17" s="78"/>
      <c r="AK17" s="66"/>
      <c r="AL17" s="67"/>
      <c r="AM17" s="66">
        <f t="shared" si="1"/>
        <v>0</v>
      </c>
    </row>
    <row r="18" spans="1:40" s="76" customFormat="1" ht="100.05" customHeight="1" x14ac:dyDescent="0.3">
      <c r="A18" s="62"/>
      <c r="B18" s="62"/>
      <c r="C18" s="64"/>
      <c r="D18" s="62"/>
      <c r="E18" s="86" t="s">
        <v>136</v>
      </c>
      <c r="F18" s="62"/>
      <c r="G18" s="62"/>
      <c r="H18" s="64"/>
      <c r="I18" s="62"/>
      <c r="J18" s="62"/>
      <c r="K18" s="62"/>
      <c r="L18" s="66"/>
      <c r="M18" s="67"/>
      <c r="N18" s="66">
        <f t="shared" si="0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/>
      <c r="AF18" s="62"/>
      <c r="AG18" s="64"/>
      <c r="AH18" s="77"/>
      <c r="AI18" s="65"/>
      <c r="AJ18" s="78"/>
      <c r="AK18" s="66"/>
      <c r="AL18" s="67"/>
      <c r="AM18" s="66">
        <f t="shared" si="1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0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2"/>
        <v>0</v>
      </c>
      <c r="AE19" s="62"/>
      <c r="AF19" s="62"/>
      <c r="AG19" s="64"/>
      <c r="AH19" s="77"/>
      <c r="AI19" s="65"/>
      <c r="AJ19" s="78"/>
      <c r="AK19" s="66"/>
      <c r="AL19" s="67"/>
      <c r="AM19" s="66">
        <f t="shared" si="1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8750</v>
      </c>
      <c r="M20" s="71">
        <f>SUM(M4:M19)</f>
        <v>3350</v>
      </c>
      <c r="N20" s="66">
        <f>SUM(N4:N19)</f>
        <v>5400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5100</v>
      </c>
      <c r="AB20" s="71">
        <f>SUM(AB4:AB19)</f>
        <v>500</v>
      </c>
      <c r="AC20" s="66">
        <f>SUM(AC4:AC19)</f>
        <v>6900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1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1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1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1"/>
        <v>0</v>
      </c>
      <c r="AN23" s="76"/>
    </row>
    <row r="24" spans="1:40" s="76" customFormat="1" ht="100.05" customHeight="1" x14ac:dyDescent="0.3">
      <c r="A24" s="62"/>
      <c r="B24" s="62"/>
      <c r="C24" s="64"/>
      <c r="D24" s="62"/>
      <c r="E24" s="65"/>
      <c r="F24" s="62"/>
      <c r="G24" s="62"/>
      <c r="H24" s="64"/>
      <c r="I24" s="62"/>
      <c r="J24" s="62"/>
      <c r="K24" s="62"/>
      <c r="L24" s="66"/>
      <c r="M24" s="67"/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265</v>
      </c>
      <c r="T24" s="65" t="s">
        <v>143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3100</v>
      </c>
      <c r="AB24" s="67"/>
      <c r="AC24" s="66">
        <f t="shared" ref="AC24:AC27" si="3">AA24-AB24</f>
        <v>3100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1"/>
        <v>0</v>
      </c>
    </row>
    <row r="25" spans="1:40" s="76" customFormat="1" ht="100.05" customHeight="1" x14ac:dyDescent="0.3">
      <c r="A25" s="62"/>
      <c r="B25" s="62"/>
      <c r="C25" s="64"/>
      <c r="D25" s="62"/>
      <c r="E25" s="65"/>
      <c r="F25" s="62"/>
      <c r="G25" s="62"/>
      <c r="H25" s="64"/>
      <c r="I25" s="62"/>
      <c r="J25" s="62"/>
      <c r="K25" s="62"/>
      <c r="L25" s="66"/>
      <c r="M25" s="67"/>
      <c r="N25" s="66">
        <f>L25-M25</f>
        <v>0</v>
      </c>
      <c r="P25" s="62">
        <v>10925</v>
      </c>
      <c r="Q25" s="62">
        <v>430</v>
      </c>
      <c r="R25" s="64">
        <v>0.8</v>
      </c>
      <c r="S25" s="62">
        <v>365</v>
      </c>
      <c r="T25" s="65" t="s">
        <v>144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3300</v>
      </c>
      <c r="AB25" s="67"/>
      <c r="AC25" s="66">
        <f t="shared" si="3"/>
        <v>3300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1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 t="shared" ref="N26:N28" si="4">L26-M26</f>
        <v>0</v>
      </c>
      <c r="P26" s="62" t="s">
        <v>145</v>
      </c>
      <c r="Q26" s="62">
        <v>304</v>
      </c>
      <c r="R26" s="64">
        <v>0.9</v>
      </c>
      <c r="S26" s="62">
        <v>300</v>
      </c>
      <c r="T26" s="65" t="s">
        <v>146</v>
      </c>
      <c r="U26" s="62" t="s">
        <v>24</v>
      </c>
      <c r="V26" s="62" t="s">
        <v>24</v>
      </c>
      <c r="W26" s="64" t="s">
        <v>24</v>
      </c>
      <c r="X26" s="62" t="s">
        <v>24</v>
      </c>
      <c r="Y26" s="62" t="s">
        <v>24</v>
      </c>
      <c r="Z26" s="62" t="s">
        <v>24</v>
      </c>
      <c r="AA26" s="66">
        <v>3200</v>
      </c>
      <c r="AB26" s="67"/>
      <c r="AC26" s="66">
        <f t="shared" si="3"/>
        <v>3200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1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 t="shared" si="4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1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4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SUM(AA24:AA27)</f>
        <v>9600</v>
      </c>
      <c r="AB28" s="71">
        <f>SUM(AB24:AB27)</f>
        <v>0</v>
      </c>
      <c r="AC28" s="66">
        <f>SUM(AC24:AC27)</f>
        <v>9600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1"/>
        <v>0</v>
      </c>
      <c r="AN28" s="75"/>
    </row>
    <row r="29" spans="1:40" s="76" customFormat="1" ht="100.05" customHeight="1" x14ac:dyDescent="0.3">
      <c r="A29" s="68"/>
      <c r="B29" s="6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SUM(L24:L28)</f>
        <v>0</v>
      </c>
      <c r="M29" s="71">
        <f>SUM(M24:M28)</f>
        <v>0</v>
      </c>
      <c r="N29" s="66">
        <f>SUM(N24:N28)</f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22600</v>
      </c>
      <c r="AL29" s="71">
        <f>SUM(AL4:AL28)</f>
        <v>3750</v>
      </c>
      <c r="AM29" s="66">
        <f>SUM(AM4:AM28)</f>
        <v>18850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4"/>
  <sheetViews>
    <sheetView topLeftCell="M1" zoomScale="25" zoomScaleNormal="25" workbookViewId="0">
      <selection activeCell="P5" sqref="P5:AB5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150.6640625" style="2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28.4414062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45920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45920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210825</v>
      </c>
      <c r="B4" s="62">
        <v>430</v>
      </c>
      <c r="C4" s="64">
        <v>0.5</v>
      </c>
      <c r="D4" s="62">
        <v>497</v>
      </c>
      <c r="E4" s="65" t="s">
        <v>122</v>
      </c>
      <c r="F4" s="62" t="s">
        <v>121</v>
      </c>
      <c r="G4" s="62">
        <v>430</v>
      </c>
      <c r="H4" s="64">
        <v>0.6</v>
      </c>
      <c r="I4" s="62">
        <v>173</v>
      </c>
      <c r="J4" s="62">
        <v>3.6</v>
      </c>
      <c r="K4" s="62" t="s">
        <v>74</v>
      </c>
      <c r="L4" s="66">
        <v>3000</v>
      </c>
      <c r="M4" s="67">
        <f>750+1050</f>
        <v>1800</v>
      </c>
      <c r="N4" s="66">
        <f t="shared" ref="N4:N8" si="0">L4-M4</f>
        <v>1200</v>
      </c>
      <c r="P4" s="62" t="s">
        <v>126</v>
      </c>
      <c r="Q4" s="62">
        <v>304</v>
      </c>
      <c r="R4" s="64">
        <v>0.9</v>
      </c>
      <c r="S4" s="85">
        <v>360</v>
      </c>
      <c r="T4" s="65" t="s">
        <v>127</v>
      </c>
      <c r="U4" s="62" t="s">
        <v>74</v>
      </c>
      <c r="V4" s="62" t="s">
        <v>74</v>
      </c>
      <c r="W4" s="64" t="s">
        <v>74</v>
      </c>
      <c r="X4" s="62" t="s">
        <v>74</v>
      </c>
      <c r="Y4" s="62" t="s">
        <v>74</v>
      </c>
      <c r="Z4" s="62" t="s">
        <v>74</v>
      </c>
      <c r="AA4" s="66">
        <v>1500</v>
      </c>
      <c r="AB4" s="67">
        <f>900+750</f>
        <v>1650</v>
      </c>
      <c r="AC4" s="66">
        <f>AA4-AB4</f>
        <v>-150</v>
      </c>
      <c r="AE4" s="62">
        <v>10925</v>
      </c>
      <c r="AF4" s="62">
        <v>430</v>
      </c>
      <c r="AG4" s="64">
        <v>0.6</v>
      </c>
      <c r="AH4" s="77">
        <v>160</v>
      </c>
      <c r="AI4" s="65" t="s">
        <v>104</v>
      </c>
      <c r="AJ4" s="78" t="s">
        <v>119</v>
      </c>
      <c r="AK4" s="66">
        <v>3300</v>
      </c>
      <c r="AL4" s="67"/>
      <c r="AM4" s="66">
        <f t="shared" ref="AM4:AM16" si="1">AK4-AL4</f>
        <v>3300</v>
      </c>
    </row>
    <row r="5" spans="1:40" s="76" customFormat="1" ht="100.05" customHeight="1" x14ac:dyDescent="0.3">
      <c r="A5" s="62">
        <v>210825</v>
      </c>
      <c r="B5" s="62">
        <v>430</v>
      </c>
      <c r="C5" s="64">
        <v>0.5</v>
      </c>
      <c r="D5" s="62">
        <v>445</v>
      </c>
      <c r="E5" s="65" t="s">
        <v>123</v>
      </c>
      <c r="F5" s="62" t="s">
        <v>121</v>
      </c>
      <c r="G5" s="62">
        <v>430</v>
      </c>
      <c r="H5" s="64">
        <v>0.6</v>
      </c>
      <c r="I5" s="62">
        <v>173</v>
      </c>
      <c r="J5" s="62">
        <v>3.6</v>
      </c>
      <c r="K5" s="62" t="s">
        <v>74</v>
      </c>
      <c r="L5" s="66">
        <v>2600</v>
      </c>
      <c r="M5" s="67"/>
      <c r="N5" s="66">
        <f t="shared" si="0"/>
        <v>2600</v>
      </c>
      <c r="P5" s="62" t="s">
        <v>126</v>
      </c>
      <c r="Q5" s="62">
        <v>304</v>
      </c>
      <c r="R5" s="64">
        <v>0.9</v>
      </c>
      <c r="S5" s="87">
        <v>360</v>
      </c>
      <c r="T5" s="65" t="s">
        <v>141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1500</v>
      </c>
      <c r="AB5" s="67">
        <f>500</f>
        <v>500</v>
      </c>
      <c r="AC5" s="66">
        <f t="shared" ref="AC5:AC8" si="2">AA5-AB5</f>
        <v>1000</v>
      </c>
      <c r="AE5" s="62">
        <v>10925</v>
      </c>
      <c r="AF5" s="62">
        <v>430</v>
      </c>
      <c r="AG5" s="64">
        <v>0.6</v>
      </c>
      <c r="AH5" s="77">
        <v>160</v>
      </c>
      <c r="AI5" s="65" t="s">
        <v>105</v>
      </c>
      <c r="AJ5" s="78" t="s">
        <v>119</v>
      </c>
      <c r="AK5" s="66">
        <v>3300</v>
      </c>
      <c r="AL5" s="67"/>
      <c r="AM5" s="66">
        <f t="shared" si="1"/>
        <v>3300</v>
      </c>
    </row>
    <row r="6" spans="1:40" s="76" customFormat="1" ht="100.05" customHeight="1" x14ac:dyDescent="0.3">
      <c r="A6" s="62"/>
      <c r="B6" s="62"/>
      <c r="C6" s="64"/>
      <c r="D6" s="62"/>
      <c r="E6" s="65"/>
      <c r="F6" s="62"/>
      <c r="G6" s="62"/>
      <c r="H6" s="64"/>
      <c r="I6" s="62"/>
      <c r="J6" s="62"/>
      <c r="K6" s="62"/>
      <c r="L6" s="66"/>
      <c r="M6" s="67"/>
      <c r="N6" s="66">
        <f t="shared" si="0"/>
        <v>0</v>
      </c>
      <c r="P6" s="62"/>
      <c r="Q6" s="62"/>
      <c r="R6" s="64"/>
      <c r="S6" s="85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2"/>
        <v>0</v>
      </c>
      <c r="AE6" s="62">
        <v>10925</v>
      </c>
      <c r="AF6" s="62">
        <v>430</v>
      </c>
      <c r="AG6" s="64">
        <v>0.6</v>
      </c>
      <c r="AH6" s="77">
        <v>147</v>
      </c>
      <c r="AI6" s="65" t="s">
        <v>106</v>
      </c>
      <c r="AJ6" s="78" t="s">
        <v>119</v>
      </c>
      <c r="AK6" s="66">
        <v>3100</v>
      </c>
      <c r="AL6" s="67">
        <f>300+1750</f>
        <v>2050</v>
      </c>
      <c r="AM6" s="66">
        <f t="shared" si="1"/>
        <v>1050</v>
      </c>
    </row>
    <row r="7" spans="1:40" s="76" customFormat="1" ht="100.05" customHeight="1" x14ac:dyDescent="0.3">
      <c r="A7" s="62"/>
      <c r="B7" s="62"/>
      <c r="C7" s="64"/>
      <c r="D7" s="62"/>
      <c r="E7" s="65"/>
      <c r="F7" s="62"/>
      <c r="G7" s="62"/>
      <c r="H7" s="64"/>
      <c r="I7" s="62"/>
      <c r="J7" s="62"/>
      <c r="K7" s="62"/>
      <c r="L7" s="66"/>
      <c r="M7" s="67"/>
      <c r="N7" s="66">
        <f t="shared" si="0"/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10925</v>
      </c>
      <c r="AF7" s="62">
        <v>430</v>
      </c>
      <c r="AG7" s="64">
        <v>0.6</v>
      </c>
      <c r="AH7" s="77">
        <v>147</v>
      </c>
      <c r="AI7" s="65" t="s">
        <v>107</v>
      </c>
      <c r="AJ7" s="78" t="s">
        <v>119</v>
      </c>
      <c r="AK7" s="66">
        <v>3100</v>
      </c>
      <c r="AL7" s="67"/>
      <c r="AM7" s="66">
        <f t="shared" si="1"/>
        <v>3100</v>
      </c>
    </row>
    <row r="8" spans="1:40" s="76" customFormat="1" ht="100.05" customHeight="1" x14ac:dyDescent="0.3">
      <c r="A8" s="62"/>
      <c r="B8" s="62"/>
      <c r="C8" s="64"/>
      <c r="D8" s="62"/>
      <c r="E8" s="65"/>
      <c r="F8" s="62"/>
      <c r="G8" s="62"/>
      <c r="H8" s="64"/>
      <c r="I8" s="62"/>
      <c r="J8" s="62"/>
      <c r="K8" s="62"/>
      <c r="L8" s="62"/>
      <c r="M8" s="67"/>
      <c r="N8" s="66">
        <f t="shared" si="0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2"/>
      <c r="AB8" s="67"/>
      <c r="AC8" s="66">
        <f t="shared" si="2"/>
        <v>0</v>
      </c>
      <c r="AE8" s="62">
        <v>10925</v>
      </c>
      <c r="AF8" s="62">
        <v>304</v>
      </c>
      <c r="AG8" s="64">
        <v>0.6</v>
      </c>
      <c r="AH8" s="77">
        <v>160</v>
      </c>
      <c r="AI8" s="65" t="s">
        <v>110</v>
      </c>
      <c r="AJ8" s="78" t="s">
        <v>119</v>
      </c>
      <c r="AK8" s="66">
        <v>3200</v>
      </c>
      <c r="AL8" s="67"/>
      <c r="AM8" s="66">
        <f t="shared" si="1"/>
        <v>3200</v>
      </c>
    </row>
    <row r="9" spans="1:40" s="76" customFormat="1" ht="100.05" customHeight="1" x14ac:dyDescent="0.3">
      <c r="A9" s="68"/>
      <c r="B9" s="68"/>
      <c r="C9" s="69"/>
      <c r="D9" s="68"/>
      <c r="E9" s="70"/>
      <c r="F9" s="68"/>
      <c r="G9" s="68"/>
      <c r="H9" s="69"/>
      <c r="I9" s="68"/>
      <c r="J9" s="68"/>
      <c r="K9" s="68"/>
      <c r="L9" s="66">
        <f>SUM(L4:L8)</f>
        <v>5600</v>
      </c>
      <c r="M9" s="71">
        <f>SUM(M4:M8)</f>
        <v>1800</v>
      </c>
      <c r="N9" s="66">
        <f>SUM(N4:N8)</f>
        <v>3800</v>
      </c>
      <c r="P9" s="68"/>
      <c r="Q9" s="68"/>
      <c r="R9" s="69"/>
      <c r="S9" s="68"/>
      <c r="T9" s="70"/>
      <c r="U9" s="68"/>
      <c r="V9" s="68"/>
      <c r="W9" s="69"/>
      <c r="X9" s="68"/>
      <c r="Y9" s="68"/>
      <c r="Z9" s="68"/>
      <c r="AA9" s="66">
        <f>AA4+AA5+AA6+AA7+AA8</f>
        <v>3000</v>
      </c>
      <c r="AB9" s="71">
        <f>SUM(AB4:AB8)</f>
        <v>2150</v>
      </c>
      <c r="AC9" s="66">
        <f>SUM(AC4:AC8)</f>
        <v>850</v>
      </c>
      <c r="AE9" s="62">
        <v>100925</v>
      </c>
      <c r="AF9" s="62">
        <v>304</v>
      </c>
      <c r="AG9" s="64">
        <v>0.9</v>
      </c>
      <c r="AH9" s="67" t="s">
        <v>71</v>
      </c>
      <c r="AI9" s="65" t="s">
        <v>111</v>
      </c>
      <c r="AJ9" s="78" t="s">
        <v>113</v>
      </c>
      <c r="AK9" s="66">
        <v>1200</v>
      </c>
      <c r="AL9" s="67"/>
      <c r="AM9" s="66">
        <f t="shared" si="1"/>
        <v>1200</v>
      </c>
    </row>
    <row r="10" spans="1:40" s="75" customFormat="1" ht="100.05" customHeight="1" x14ac:dyDescent="0.3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6"/>
      <c r="AE10" s="62">
        <v>100925</v>
      </c>
      <c r="AF10" s="62">
        <v>304</v>
      </c>
      <c r="AG10" s="64">
        <v>0.9</v>
      </c>
      <c r="AH10" s="67" t="s">
        <v>71</v>
      </c>
      <c r="AI10" s="65" t="s">
        <v>112</v>
      </c>
      <c r="AJ10" s="78" t="s">
        <v>119</v>
      </c>
      <c r="AK10" s="66">
        <v>1200</v>
      </c>
      <c r="AL10" s="67"/>
      <c r="AM10" s="66">
        <f t="shared" si="1"/>
        <v>1200</v>
      </c>
      <c r="AN10" s="76"/>
    </row>
    <row r="11" spans="1:40" s="75" customFormat="1" ht="100.05" customHeight="1" x14ac:dyDescent="0.3">
      <c r="A11" s="109" t="s">
        <v>101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1"/>
      <c r="P11" s="109" t="s">
        <v>99</v>
      </c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1"/>
      <c r="AD11" s="76"/>
      <c r="AE11" s="62">
        <v>100925</v>
      </c>
      <c r="AF11" s="62">
        <v>304</v>
      </c>
      <c r="AG11" s="64">
        <v>0.9</v>
      </c>
      <c r="AH11" s="67" t="s">
        <v>71</v>
      </c>
      <c r="AI11" s="65" t="s">
        <v>114</v>
      </c>
      <c r="AJ11" s="78" t="s">
        <v>113</v>
      </c>
      <c r="AK11" s="66">
        <v>1500</v>
      </c>
      <c r="AL11" s="67"/>
      <c r="AM11" s="66">
        <f t="shared" si="1"/>
        <v>1500</v>
      </c>
      <c r="AN11" s="76"/>
    </row>
    <row r="12" spans="1:40" s="75" customFormat="1" ht="100.05" customHeight="1" x14ac:dyDescent="0.3">
      <c r="A12" s="81" t="s">
        <v>0</v>
      </c>
      <c r="B12" s="81" t="s">
        <v>9</v>
      </c>
      <c r="C12" s="82" t="s">
        <v>11</v>
      </c>
      <c r="D12" s="81" t="s">
        <v>2</v>
      </c>
      <c r="E12" s="81" t="s">
        <v>1</v>
      </c>
      <c r="F12" s="81" t="s">
        <v>14</v>
      </c>
      <c r="G12" s="81" t="s">
        <v>8</v>
      </c>
      <c r="H12" s="82" t="s">
        <v>10</v>
      </c>
      <c r="I12" s="82" t="s">
        <v>12</v>
      </c>
      <c r="J12" s="82" t="s">
        <v>13</v>
      </c>
      <c r="K12" s="81" t="s">
        <v>3</v>
      </c>
      <c r="L12" s="81" t="s">
        <v>7</v>
      </c>
      <c r="M12" s="81" t="s">
        <v>5</v>
      </c>
      <c r="N12" s="81" t="s">
        <v>6</v>
      </c>
      <c r="P12" s="81" t="s">
        <v>0</v>
      </c>
      <c r="Q12" s="81" t="s">
        <v>9</v>
      </c>
      <c r="R12" s="82" t="s">
        <v>11</v>
      </c>
      <c r="S12" s="81" t="s">
        <v>2</v>
      </c>
      <c r="T12" s="81" t="s">
        <v>1</v>
      </c>
      <c r="U12" s="81" t="s">
        <v>14</v>
      </c>
      <c r="V12" s="81" t="s">
        <v>8</v>
      </c>
      <c r="W12" s="82" t="s">
        <v>10</v>
      </c>
      <c r="X12" s="82" t="s">
        <v>12</v>
      </c>
      <c r="Y12" s="82" t="s">
        <v>13</v>
      </c>
      <c r="Z12" s="81" t="s">
        <v>3</v>
      </c>
      <c r="AA12" s="81" t="s">
        <v>7</v>
      </c>
      <c r="AB12" s="81" t="s">
        <v>5</v>
      </c>
      <c r="AC12" s="81" t="s">
        <v>6</v>
      </c>
      <c r="AD12" s="76"/>
      <c r="AE12" s="62">
        <v>100925</v>
      </c>
      <c r="AF12" s="62">
        <v>304</v>
      </c>
      <c r="AG12" s="64">
        <v>0.9</v>
      </c>
      <c r="AH12" s="67" t="s">
        <v>71</v>
      </c>
      <c r="AI12" s="65" t="s">
        <v>115</v>
      </c>
      <c r="AJ12" s="78" t="s">
        <v>119</v>
      </c>
      <c r="AK12" s="66">
        <v>2100</v>
      </c>
      <c r="AL12" s="67"/>
      <c r="AM12" s="66">
        <f t="shared" si="1"/>
        <v>2100</v>
      </c>
      <c r="AN12" s="76"/>
    </row>
    <row r="13" spans="1:40" s="76" customFormat="1" ht="100.05" customHeight="1" x14ac:dyDescent="0.3">
      <c r="A13" s="62"/>
      <c r="B13" s="62"/>
      <c r="C13" s="64"/>
      <c r="D13" s="62"/>
      <c r="E13" s="65"/>
      <c r="F13" s="62"/>
      <c r="G13" s="62"/>
      <c r="H13" s="64"/>
      <c r="I13" s="62"/>
      <c r="J13" s="62"/>
      <c r="K13" s="62"/>
      <c r="L13" s="66"/>
      <c r="M13" s="67"/>
      <c r="N13" s="66">
        <f>L13-M13</f>
        <v>0</v>
      </c>
      <c r="P13" s="62">
        <v>10925</v>
      </c>
      <c r="Q13" s="62">
        <v>430</v>
      </c>
      <c r="R13" s="64">
        <v>0.8</v>
      </c>
      <c r="S13" s="62">
        <v>26.5</v>
      </c>
      <c r="T13" s="65" t="s">
        <v>102</v>
      </c>
      <c r="U13" s="62" t="s">
        <v>24</v>
      </c>
      <c r="V13" s="62" t="s">
        <v>24</v>
      </c>
      <c r="W13" s="64" t="s">
        <v>24</v>
      </c>
      <c r="X13" s="62" t="s">
        <v>24</v>
      </c>
      <c r="Y13" s="62" t="s">
        <v>24</v>
      </c>
      <c r="Z13" s="62" t="s">
        <v>24</v>
      </c>
      <c r="AA13" s="66">
        <v>3100</v>
      </c>
      <c r="AB13" s="67"/>
      <c r="AC13" s="66">
        <f t="shared" ref="AC13:AC16" si="3">AA13-AB13</f>
        <v>3100</v>
      </c>
      <c r="AE13" s="62">
        <v>100925</v>
      </c>
      <c r="AF13" s="62">
        <v>304</v>
      </c>
      <c r="AG13" s="64">
        <v>0.9</v>
      </c>
      <c r="AH13" s="67" t="s">
        <v>71</v>
      </c>
      <c r="AI13" s="65" t="s">
        <v>116</v>
      </c>
      <c r="AJ13" s="78" t="s">
        <v>119</v>
      </c>
      <c r="AK13" s="66">
        <v>600</v>
      </c>
      <c r="AL13" s="67"/>
      <c r="AM13" s="66">
        <f t="shared" si="1"/>
        <v>600</v>
      </c>
    </row>
    <row r="14" spans="1:40" s="76" customFormat="1" ht="100.05" customHeight="1" x14ac:dyDescent="0.3">
      <c r="A14" s="62"/>
      <c r="B14" s="62"/>
      <c r="C14" s="64"/>
      <c r="D14" s="62"/>
      <c r="E14" s="65"/>
      <c r="F14" s="62"/>
      <c r="G14" s="62"/>
      <c r="H14" s="64"/>
      <c r="I14" s="62"/>
      <c r="J14" s="62"/>
      <c r="K14" s="62"/>
      <c r="L14" s="66"/>
      <c r="M14" s="67"/>
      <c r="N14" s="66">
        <f>L14-M14</f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3"/>
        <v>0</v>
      </c>
      <c r="AD14" s="75"/>
      <c r="AE14" s="62"/>
      <c r="AF14" s="62"/>
      <c r="AG14" s="64"/>
      <c r="AH14" s="67"/>
      <c r="AI14" s="65"/>
      <c r="AJ14" s="78"/>
      <c r="AK14" s="66"/>
      <c r="AL14" s="67"/>
      <c r="AM14" s="66">
        <f t="shared" si="1"/>
        <v>0</v>
      </c>
      <c r="AN14" s="75"/>
    </row>
    <row r="15" spans="1:40" s="76" customFormat="1" ht="100.05" customHeight="1" x14ac:dyDescent="0.3">
      <c r="A15" s="62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6"/>
      <c r="M15" s="67"/>
      <c r="N15" s="66">
        <f t="shared" ref="N15:N17" si="4">L15-M15</f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3"/>
        <v>0</v>
      </c>
      <c r="AD15" s="75"/>
      <c r="AE15" s="62"/>
      <c r="AF15" s="62"/>
      <c r="AG15" s="64"/>
      <c r="AH15" s="67"/>
      <c r="AI15" s="65"/>
      <c r="AJ15" s="78"/>
      <c r="AK15" s="66"/>
      <c r="AL15" s="67"/>
      <c r="AM15" s="66">
        <f t="shared" si="1"/>
        <v>0</v>
      </c>
      <c r="AN15" s="75"/>
    </row>
    <row r="16" spans="1:40" s="76" customFormat="1" ht="100.05" customHeight="1" x14ac:dyDescent="0.3">
      <c r="A16" s="62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6"/>
      <c r="M16" s="67"/>
      <c r="N16" s="66">
        <f t="shared" si="4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3"/>
        <v>0</v>
      </c>
      <c r="AD16" s="75"/>
      <c r="AE16" s="62"/>
      <c r="AF16" s="62"/>
      <c r="AG16" s="64"/>
      <c r="AH16" s="67"/>
      <c r="AI16" s="65"/>
      <c r="AJ16" s="78"/>
      <c r="AK16" s="66"/>
      <c r="AL16" s="67"/>
      <c r="AM16" s="66">
        <f t="shared" si="1"/>
        <v>0</v>
      </c>
      <c r="AN16" s="75"/>
    </row>
    <row r="17" spans="1:40" s="76" customFormat="1" ht="100.05" customHeight="1" x14ac:dyDescent="0.3">
      <c r="A17" s="62"/>
      <c r="B17" s="62"/>
      <c r="C17" s="64"/>
      <c r="D17" s="62"/>
      <c r="E17" s="65"/>
      <c r="F17" s="62"/>
      <c r="G17" s="62"/>
      <c r="H17" s="64"/>
      <c r="I17" s="62"/>
      <c r="J17" s="62"/>
      <c r="K17" s="62"/>
      <c r="L17" s="62"/>
      <c r="M17" s="67"/>
      <c r="N17" s="66">
        <f t="shared" si="4"/>
        <v>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SUM(AA13:AA16)</f>
        <v>3100</v>
      </c>
      <c r="AB17" s="71">
        <f>SUM(AB13:AB16)</f>
        <v>0</v>
      </c>
      <c r="AC17" s="66">
        <f>SUM(AC13:AC16)</f>
        <v>3100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/>
      <c r="AN17" s="75"/>
    </row>
    <row r="18" spans="1:40" s="76" customFormat="1" ht="100.05" customHeight="1" x14ac:dyDescent="0.3">
      <c r="A18" s="68"/>
      <c r="B18" s="68"/>
      <c r="C18" s="69"/>
      <c r="D18" s="68"/>
      <c r="E18" s="70"/>
      <c r="F18" s="68"/>
      <c r="G18" s="68"/>
      <c r="H18" s="69"/>
      <c r="I18" s="68"/>
      <c r="J18" s="68"/>
      <c r="K18" s="68"/>
      <c r="L18" s="66">
        <f>SUM(L13:L17)</f>
        <v>0</v>
      </c>
      <c r="M18" s="71">
        <f>SUM(M13:M17)</f>
        <v>0</v>
      </c>
      <c r="N18" s="66">
        <f>SUM(N13:N17)</f>
        <v>0</v>
      </c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5"/>
      <c r="AE18" s="68"/>
      <c r="AF18" s="68"/>
      <c r="AG18" s="69"/>
      <c r="AH18" s="68"/>
      <c r="AI18" s="70"/>
      <c r="AJ18" s="80"/>
      <c r="AK18" s="66">
        <f>SUM(AK4:AK17)</f>
        <v>22600</v>
      </c>
      <c r="AL18" s="71">
        <f>SUM(AL4:AL17)</f>
        <v>2050</v>
      </c>
      <c r="AM18" s="66">
        <f>SUM(AM4:AM17)</f>
        <v>20550</v>
      </c>
      <c r="AN18" s="75"/>
    </row>
    <row r="19" spans="1:40" s="75" customFormat="1" ht="100.05" customHeight="1" x14ac:dyDescent="0.3">
      <c r="A19" s="79"/>
      <c r="B19" s="79"/>
      <c r="C19" s="79"/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E19" s="79"/>
      <c r="AF19" s="79"/>
      <c r="AG19" s="79"/>
      <c r="AH19" s="79"/>
      <c r="AI19" s="79"/>
      <c r="AJ19" s="79"/>
      <c r="AK19" s="79"/>
      <c r="AL19" s="79"/>
      <c r="AM19" s="79"/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E20" s="79"/>
      <c r="AF20" s="79"/>
      <c r="AG20" s="79"/>
      <c r="AH20" s="79"/>
      <c r="AI20" s="79"/>
      <c r="AJ20" s="79"/>
      <c r="AK20" s="79"/>
      <c r="AL20" s="79"/>
      <c r="AM20" s="79"/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E21" s="79"/>
      <c r="AF21" s="79"/>
      <c r="AG21" s="79"/>
      <c r="AH21" s="79"/>
      <c r="AI21" s="79"/>
      <c r="AJ21" s="79"/>
      <c r="AK21" s="79"/>
      <c r="AL21" s="79"/>
      <c r="AM21" s="79"/>
    </row>
    <row r="22" spans="1:40" s="76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5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5"/>
      <c r="AE22" s="79"/>
      <c r="AF22" s="79"/>
      <c r="AG22" s="79"/>
      <c r="AH22" s="79"/>
      <c r="AI22" s="79"/>
      <c r="AJ22" s="79"/>
      <c r="AK22" s="79"/>
      <c r="AL22" s="79"/>
      <c r="AM22" s="79"/>
      <c r="AN22" s="75"/>
    </row>
    <row r="23" spans="1:40" s="76" customFormat="1" ht="100.05" customHeight="1" x14ac:dyDescent="0.3">
      <c r="A23" s="79"/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75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79"/>
      <c r="AF23" s="79"/>
      <c r="AG23" s="79"/>
      <c r="AH23" s="79"/>
      <c r="AI23" s="79"/>
      <c r="AJ23" s="79"/>
      <c r="AK23" s="79"/>
      <c r="AL23" s="79"/>
      <c r="AM23" s="79"/>
      <c r="AN23" s="75"/>
    </row>
    <row r="24" spans="1:40" s="76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5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5"/>
      <c r="AE24" s="79"/>
      <c r="AF24" s="79"/>
      <c r="AG24" s="79"/>
      <c r="AH24" s="79"/>
      <c r="AI24" s="79"/>
      <c r="AJ24" s="79"/>
      <c r="AK24" s="79"/>
      <c r="AL24" s="79"/>
      <c r="AM24" s="79"/>
      <c r="AN24" s="75"/>
    </row>
    <row r="25" spans="1:40" s="76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5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79"/>
      <c r="AF25" s="79"/>
      <c r="AG25" s="79"/>
      <c r="AH25" s="79"/>
      <c r="AI25" s="79"/>
      <c r="AJ25" s="79"/>
      <c r="AK25" s="79"/>
      <c r="AL25" s="79"/>
      <c r="AM25" s="79"/>
      <c r="AN25" s="75"/>
    </row>
    <row r="26" spans="1:40" s="76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5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5"/>
      <c r="AE26" s="79"/>
      <c r="AF26" s="79"/>
      <c r="AG26" s="79"/>
      <c r="AH26" s="79"/>
      <c r="AI26" s="79"/>
      <c r="AJ26" s="79"/>
      <c r="AK26" s="79"/>
      <c r="AL26" s="79"/>
      <c r="AM26" s="79"/>
      <c r="AN26" s="75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56" customFormat="1" ht="100.0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3"/>
      <c r="AE37" s="2"/>
      <c r="AF37" s="2"/>
      <c r="AG37" s="2"/>
      <c r="AH37" s="2"/>
      <c r="AI37" s="2"/>
      <c r="AJ37" s="2"/>
      <c r="AK37" s="2"/>
      <c r="AL37" s="2"/>
      <c r="AM37" s="2"/>
      <c r="AN37" s="3"/>
    </row>
    <row r="38" spans="1:40" s="56" customFormat="1" ht="100.0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3"/>
      <c r="AE38" s="2"/>
      <c r="AF38" s="2"/>
      <c r="AG38" s="2"/>
      <c r="AH38" s="2"/>
      <c r="AI38" s="2"/>
      <c r="AJ38" s="2"/>
      <c r="AK38" s="2"/>
      <c r="AL38" s="2"/>
      <c r="AM38" s="2"/>
      <c r="AN38" s="3"/>
    </row>
    <row r="39" spans="1:40" s="56" customFormat="1" ht="100.0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3"/>
      <c r="AE39" s="2"/>
      <c r="AF39" s="2"/>
      <c r="AG39" s="2"/>
      <c r="AH39" s="2"/>
      <c r="AI39" s="2"/>
      <c r="AJ39" s="2"/>
      <c r="AK39" s="2"/>
      <c r="AL39" s="2"/>
      <c r="AM39" s="2"/>
      <c r="AN39" s="3"/>
    </row>
    <row r="40" spans="1:40" s="56" customFormat="1" ht="100.0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2"/>
      <c r="AF40" s="2"/>
      <c r="AG40" s="2"/>
      <c r="AH40" s="2"/>
      <c r="AI40" s="2"/>
      <c r="AJ40" s="2"/>
      <c r="AK40" s="2"/>
      <c r="AL40" s="2"/>
      <c r="AM40" s="2"/>
      <c r="AN40" s="3"/>
    </row>
    <row r="41" spans="1:40" s="56" customFormat="1" ht="100.0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2"/>
      <c r="AF41" s="2"/>
      <c r="AG41" s="2"/>
      <c r="AH41" s="2"/>
      <c r="AI41" s="2"/>
      <c r="AJ41" s="2"/>
      <c r="AK41" s="2"/>
      <c r="AL41" s="2"/>
      <c r="AM41" s="2"/>
      <c r="AN41" s="3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</sheetData>
  <mergeCells count="11">
    <mergeCell ref="A2:N2"/>
    <mergeCell ref="P2:AC2"/>
    <mergeCell ref="AE2:AM2"/>
    <mergeCell ref="A11:N11"/>
    <mergeCell ref="P11:AC11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30" fitToHeight="0"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zoomScale="25" zoomScaleNormal="25" workbookViewId="0">
      <selection activeCell="A2" sqref="A2:N2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45924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45924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210825</v>
      </c>
      <c r="B4" s="62">
        <v>430</v>
      </c>
      <c r="C4" s="64">
        <v>0.6</v>
      </c>
      <c r="D4" s="62">
        <v>445</v>
      </c>
      <c r="E4" s="65" t="s">
        <v>123</v>
      </c>
      <c r="F4" s="62" t="s">
        <v>121</v>
      </c>
      <c r="G4" s="62">
        <v>430</v>
      </c>
      <c r="H4" s="64">
        <v>0.6</v>
      </c>
      <c r="I4" s="62">
        <v>173</v>
      </c>
      <c r="J4" s="62">
        <v>3.6</v>
      </c>
      <c r="K4" s="62" t="s">
        <v>74</v>
      </c>
      <c r="L4" s="66">
        <v>2600</v>
      </c>
      <c r="M4" s="67">
        <f>300+1900+460</f>
        <v>2660</v>
      </c>
      <c r="N4" s="66">
        <f t="shared" ref="N4:N19" si="0">L4-M4</f>
        <v>-60</v>
      </c>
      <c r="P4" s="62">
        <v>100925</v>
      </c>
      <c r="Q4" s="62">
        <v>304</v>
      </c>
      <c r="R4" s="64">
        <v>0.9</v>
      </c>
      <c r="S4" s="87">
        <v>395</v>
      </c>
      <c r="T4" s="65" t="s">
        <v>148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1500</v>
      </c>
      <c r="AB4" s="67">
        <f>200</f>
        <v>200</v>
      </c>
      <c r="AC4" s="66">
        <f>AA4-AB4</f>
        <v>1300</v>
      </c>
      <c r="AE4" s="62">
        <v>10925</v>
      </c>
      <c r="AF4" s="62">
        <v>430</v>
      </c>
      <c r="AG4" s="64">
        <v>0.6</v>
      </c>
      <c r="AH4" s="77">
        <v>147</v>
      </c>
      <c r="AI4" s="65" t="s">
        <v>107</v>
      </c>
      <c r="AJ4" s="78" t="s">
        <v>169</v>
      </c>
      <c r="AK4" s="66">
        <v>3100</v>
      </c>
      <c r="AL4" s="67">
        <f>600+2300+200</f>
        <v>3100</v>
      </c>
      <c r="AM4" s="66">
        <f t="shared" ref="AM4:AM28" si="1">AK4-AL4</f>
        <v>0</v>
      </c>
    </row>
    <row r="5" spans="1:39" s="76" customFormat="1" ht="100.05" customHeight="1" x14ac:dyDescent="0.3">
      <c r="A5" s="62">
        <v>250043</v>
      </c>
      <c r="B5" s="62">
        <v>304</v>
      </c>
      <c r="C5" s="64">
        <v>0.6</v>
      </c>
      <c r="D5" s="62">
        <v>543</v>
      </c>
      <c r="E5" s="65" t="s">
        <v>131</v>
      </c>
      <c r="F5" s="62" t="s">
        <v>121</v>
      </c>
      <c r="G5" s="62">
        <v>304</v>
      </c>
      <c r="H5" s="64">
        <v>0.6</v>
      </c>
      <c r="I5" s="62">
        <v>173</v>
      </c>
      <c r="J5" s="62">
        <v>3.6</v>
      </c>
      <c r="K5" s="62" t="s">
        <v>74</v>
      </c>
      <c r="L5" s="66">
        <v>690</v>
      </c>
      <c r="M5" s="67">
        <f>480</f>
        <v>480</v>
      </c>
      <c r="N5" s="66">
        <f t="shared" si="0"/>
        <v>210</v>
      </c>
      <c r="P5" s="62">
        <v>100925</v>
      </c>
      <c r="Q5" s="62">
        <v>304</v>
      </c>
      <c r="R5" s="64">
        <v>0.9</v>
      </c>
      <c r="S5" s="87">
        <v>395</v>
      </c>
      <c r="T5" s="65" t="s">
        <v>149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</v>
      </c>
      <c r="AB5" s="67"/>
      <c r="AC5" s="66">
        <f t="shared" ref="AC5:AC19" si="2">AA5-AB5</f>
        <v>600</v>
      </c>
      <c r="AE5" s="62">
        <v>10925</v>
      </c>
      <c r="AF5" s="62">
        <v>430</v>
      </c>
      <c r="AG5" s="64">
        <v>0.6</v>
      </c>
      <c r="AH5" s="77">
        <v>160</v>
      </c>
      <c r="AI5" s="65" t="s">
        <v>152</v>
      </c>
      <c r="AJ5" s="78" t="s">
        <v>119</v>
      </c>
      <c r="AK5" s="66">
        <v>3300</v>
      </c>
      <c r="AL5" s="67">
        <f>2350</f>
        <v>2350</v>
      </c>
      <c r="AM5" s="66">
        <f t="shared" si="1"/>
        <v>950</v>
      </c>
    </row>
    <row r="6" spans="1:39" s="76" customFormat="1" ht="100.05" customHeight="1" x14ac:dyDescent="0.3">
      <c r="A6" s="62">
        <v>250043</v>
      </c>
      <c r="B6" s="62">
        <v>304</v>
      </c>
      <c r="C6" s="64"/>
      <c r="D6" s="62">
        <v>543</v>
      </c>
      <c r="E6" s="65" t="s">
        <v>129</v>
      </c>
      <c r="F6" s="62" t="s">
        <v>121</v>
      </c>
      <c r="G6" s="62">
        <v>304</v>
      </c>
      <c r="H6" s="64">
        <v>0.6</v>
      </c>
      <c r="I6" s="62">
        <v>173</v>
      </c>
      <c r="J6" s="62">
        <v>3.6</v>
      </c>
      <c r="K6" s="62" t="s">
        <v>74</v>
      </c>
      <c r="L6" s="66">
        <v>60</v>
      </c>
      <c r="M6" s="67"/>
      <c r="N6" s="66">
        <f t="shared" si="0"/>
        <v>60</v>
      </c>
      <c r="P6" s="62" t="s">
        <v>126</v>
      </c>
      <c r="Q6" s="62">
        <v>304</v>
      </c>
      <c r="R6" s="64">
        <v>0.9</v>
      </c>
      <c r="S6" s="62">
        <v>402</v>
      </c>
      <c r="T6" s="65" t="s">
        <v>142</v>
      </c>
      <c r="U6" s="62" t="s">
        <v>42</v>
      </c>
      <c r="V6" s="62">
        <v>430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1500</v>
      </c>
      <c r="AB6" s="67"/>
      <c r="AC6" s="66">
        <f t="shared" si="2"/>
        <v>1500</v>
      </c>
      <c r="AE6" s="62">
        <v>10925</v>
      </c>
      <c r="AF6" s="62">
        <v>304</v>
      </c>
      <c r="AG6" s="64">
        <v>0.6</v>
      </c>
      <c r="AH6" s="77">
        <v>160</v>
      </c>
      <c r="AI6" s="65" t="s">
        <v>153</v>
      </c>
      <c r="AJ6" s="78" t="s">
        <v>119</v>
      </c>
      <c r="AK6" s="66">
        <v>3200</v>
      </c>
      <c r="AL6" s="67"/>
      <c r="AM6" s="66">
        <f t="shared" si="1"/>
        <v>3200</v>
      </c>
    </row>
    <row r="7" spans="1:39" s="76" customFormat="1" ht="100.05" customHeight="1" x14ac:dyDescent="0.3">
      <c r="A7" s="62">
        <v>250043</v>
      </c>
      <c r="B7" s="62">
        <v>304</v>
      </c>
      <c r="C7" s="64">
        <v>0.6</v>
      </c>
      <c r="D7" s="62">
        <v>543</v>
      </c>
      <c r="E7" s="65" t="s">
        <v>130</v>
      </c>
      <c r="F7" s="62" t="s">
        <v>121</v>
      </c>
      <c r="G7" s="62">
        <v>304</v>
      </c>
      <c r="H7" s="64">
        <v>0.6</v>
      </c>
      <c r="I7" s="62">
        <v>173</v>
      </c>
      <c r="J7" s="62">
        <v>3.6</v>
      </c>
      <c r="K7" s="62" t="s">
        <v>74</v>
      </c>
      <c r="L7" s="66">
        <v>240</v>
      </c>
      <c r="M7" s="67"/>
      <c r="N7" s="66">
        <f t="shared" si="0"/>
        <v>240</v>
      </c>
      <c r="P7" s="62">
        <v>160925</v>
      </c>
      <c r="Q7" s="62">
        <v>304</v>
      </c>
      <c r="R7" s="64">
        <v>0.9</v>
      </c>
      <c r="S7" s="62"/>
      <c r="T7" s="65" t="s">
        <v>150</v>
      </c>
      <c r="U7" s="62" t="s">
        <v>42</v>
      </c>
      <c r="V7" s="62" t="s">
        <v>24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1100</v>
      </c>
      <c r="AB7" s="67"/>
      <c r="AC7" s="66">
        <f t="shared" si="2"/>
        <v>1100</v>
      </c>
      <c r="AE7" s="62">
        <v>10925</v>
      </c>
      <c r="AF7" s="62">
        <v>430</v>
      </c>
      <c r="AG7" s="64">
        <v>0.6</v>
      </c>
      <c r="AH7" s="77">
        <v>160</v>
      </c>
      <c r="AI7" s="65" t="s">
        <v>105</v>
      </c>
      <c r="AJ7" s="78" t="s">
        <v>119</v>
      </c>
      <c r="AK7" s="66">
        <v>3300</v>
      </c>
      <c r="AL7" s="67"/>
      <c r="AM7" s="66">
        <f t="shared" si="1"/>
        <v>3300</v>
      </c>
    </row>
    <row r="8" spans="1:39" s="76" customFormat="1" ht="100.05" customHeight="1" x14ac:dyDescent="0.3">
      <c r="A8" s="62">
        <v>250043</v>
      </c>
      <c r="B8" s="62">
        <v>304</v>
      </c>
      <c r="C8" s="64"/>
      <c r="D8" s="62">
        <v>543</v>
      </c>
      <c r="E8" s="65" t="s">
        <v>128</v>
      </c>
      <c r="F8" s="62" t="s">
        <v>121</v>
      </c>
      <c r="G8" s="62">
        <v>304</v>
      </c>
      <c r="H8" s="64">
        <v>0.6</v>
      </c>
      <c r="I8" s="62">
        <v>173</v>
      </c>
      <c r="J8" s="62">
        <v>3.6</v>
      </c>
      <c r="K8" s="62" t="s">
        <v>74</v>
      </c>
      <c r="L8" s="66">
        <v>60</v>
      </c>
      <c r="M8" s="67"/>
      <c r="N8" s="66">
        <f t="shared" si="0"/>
        <v>60</v>
      </c>
      <c r="P8" s="62" t="s">
        <v>126</v>
      </c>
      <c r="Q8" s="62">
        <v>304</v>
      </c>
      <c r="R8" s="64">
        <v>0.9</v>
      </c>
      <c r="S8" s="62">
        <v>320</v>
      </c>
      <c r="T8" s="65" t="s">
        <v>151</v>
      </c>
      <c r="U8" s="62" t="s">
        <v>42</v>
      </c>
      <c r="V8" s="62">
        <v>430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1200</v>
      </c>
      <c r="AB8" s="67">
        <f>200+1100</f>
        <v>1300</v>
      </c>
      <c r="AC8" s="66">
        <f t="shared" si="2"/>
        <v>-100</v>
      </c>
      <c r="AE8" s="62" t="s">
        <v>89</v>
      </c>
      <c r="AF8" s="62">
        <v>304</v>
      </c>
      <c r="AG8" s="64">
        <v>0.6</v>
      </c>
      <c r="AH8" s="77">
        <v>160</v>
      </c>
      <c r="AI8" s="65" t="s">
        <v>154</v>
      </c>
      <c r="AJ8" s="78" t="s">
        <v>119</v>
      </c>
      <c r="AK8" s="66">
        <v>3200</v>
      </c>
      <c r="AL8" s="67"/>
      <c r="AM8" s="66">
        <f t="shared" si="1"/>
        <v>3200</v>
      </c>
    </row>
    <row r="9" spans="1:39" s="76" customFormat="1" ht="100.05" customHeight="1" x14ac:dyDescent="0.3">
      <c r="A9" s="62">
        <v>250043</v>
      </c>
      <c r="B9" s="62">
        <v>304</v>
      </c>
      <c r="C9" s="64">
        <v>0.6</v>
      </c>
      <c r="D9" s="62">
        <v>510</v>
      </c>
      <c r="E9" s="65" t="s">
        <v>132</v>
      </c>
      <c r="F9" s="62" t="s">
        <v>121</v>
      </c>
      <c r="G9" s="62">
        <v>304</v>
      </c>
      <c r="H9" s="64">
        <v>0.6</v>
      </c>
      <c r="I9" s="62">
        <v>173</v>
      </c>
      <c r="J9" s="62">
        <v>3.6</v>
      </c>
      <c r="K9" s="62" t="s">
        <v>74</v>
      </c>
      <c r="L9" s="66">
        <v>690</v>
      </c>
      <c r="M9" s="67">
        <f>200</f>
        <v>200</v>
      </c>
      <c r="N9" s="66">
        <f t="shared" si="0"/>
        <v>490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>
        <v>100925</v>
      </c>
      <c r="AF9" s="62">
        <v>304</v>
      </c>
      <c r="AG9" s="64">
        <v>0.9</v>
      </c>
      <c r="AH9" s="67"/>
      <c r="AI9" s="65" t="s">
        <v>155</v>
      </c>
      <c r="AJ9" s="78"/>
      <c r="AK9" s="66">
        <v>1200</v>
      </c>
      <c r="AL9" s="67"/>
      <c r="AM9" s="66">
        <f t="shared" si="1"/>
        <v>1200</v>
      </c>
    </row>
    <row r="10" spans="1:39" s="76" customFormat="1" ht="100.05" customHeight="1" x14ac:dyDescent="0.3">
      <c r="A10" s="62">
        <v>250043</v>
      </c>
      <c r="B10" s="62">
        <v>304</v>
      </c>
      <c r="C10" s="64"/>
      <c r="D10" s="62">
        <v>510</v>
      </c>
      <c r="E10" s="65" t="s">
        <v>133</v>
      </c>
      <c r="F10" s="62" t="s">
        <v>121</v>
      </c>
      <c r="G10" s="62">
        <v>304</v>
      </c>
      <c r="H10" s="64">
        <v>0.6</v>
      </c>
      <c r="I10" s="62">
        <v>173</v>
      </c>
      <c r="J10" s="62">
        <v>3.6</v>
      </c>
      <c r="K10" s="62" t="s">
        <v>74</v>
      </c>
      <c r="L10" s="66">
        <v>60</v>
      </c>
      <c r="M10" s="67"/>
      <c r="N10" s="66">
        <f t="shared" si="0"/>
        <v>60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100925</v>
      </c>
      <c r="AF10" s="62">
        <v>304</v>
      </c>
      <c r="AG10" s="64">
        <v>0.9</v>
      </c>
      <c r="AH10" s="67"/>
      <c r="AI10" s="65" t="s">
        <v>156</v>
      </c>
      <c r="AJ10" s="78"/>
      <c r="AK10" s="66">
        <v>1200</v>
      </c>
      <c r="AL10" s="67"/>
      <c r="AM10" s="66">
        <f t="shared" si="1"/>
        <v>1200</v>
      </c>
    </row>
    <row r="11" spans="1:39" s="76" customFormat="1" ht="100.05" customHeight="1" x14ac:dyDescent="0.3">
      <c r="A11" s="62">
        <v>250043</v>
      </c>
      <c r="B11" s="62">
        <v>304</v>
      </c>
      <c r="C11" s="64">
        <v>0.6</v>
      </c>
      <c r="D11" s="62">
        <v>510</v>
      </c>
      <c r="E11" s="65" t="s">
        <v>134</v>
      </c>
      <c r="F11" s="62" t="s">
        <v>121</v>
      </c>
      <c r="G11" s="62">
        <v>304</v>
      </c>
      <c r="H11" s="64">
        <v>0.6</v>
      </c>
      <c r="I11" s="62">
        <v>173</v>
      </c>
      <c r="J11" s="62">
        <v>3.6</v>
      </c>
      <c r="K11" s="62" t="s">
        <v>74</v>
      </c>
      <c r="L11" s="66">
        <v>240</v>
      </c>
      <c r="M11" s="67"/>
      <c r="N11" s="66">
        <f t="shared" si="0"/>
        <v>240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>
        <v>100925</v>
      </c>
      <c r="AF11" s="62">
        <v>304</v>
      </c>
      <c r="AG11" s="64">
        <v>0.9</v>
      </c>
      <c r="AH11" s="67"/>
      <c r="AI11" s="65" t="s">
        <v>157</v>
      </c>
      <c r="AJ11" s="78"/>
      <c r="AK11" s="66">
        <v>1500</v>
      </c>
      <c r="AL11" s="67"/>
      <c r="AM11" s="66">
        <f t="shared" si="1"/>
        <v>1500</v>
      </c>
    </row>
    <row r="12" spans="1:39" s="76" customFormat="1" ht="100.05" customHeight="1" x14ac:dyDescent="0.3">
      <c r="A12" s="62">
        <v>250043</v>
      </c>
      <c r="B12" s="62">
        <v>304</v>
      </c>
      <c r="C12" s="64"/>
      <c r="D12" s="62">
        <v>510</v>
      </c>
      <c r="E12" s="65" t="s">
        <v>135</v>
      </c>
      <c r="F12" s="62" t="s">
        <v>121</v>
      </c>
      <c r="G12" s="62">
        <v>304</v>
      </c>
      <c r="H12" s="64">
        <v>0.6</v>
      </c>
      <c r="I12" s="62">
        <v>173</v>
      </c>
      <c r="J12" s="62">
        <v>3.6</v>
      </c>
      <c r="K12" s="62" t="s">
        <v>74</v>
      </c>
      <c r="L12" s="66">
        <v>60</v>
      </c>
      <c r="M12" s="67"/>
      <c r="N12" s="66">
        <f t="shared" si="0"/>
        <v>60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>
        <v>100925</v>
      </c>
      <c r="AF12" s="62">
        <v>304</v>
      </c>
      <c r="AG12" s="64">
        <v>0.9</v>
      </c>
      <c r="AH12" s="67"/>
      <c r="AI12" s="65" t="s">
        <v>166</v>
      </c>
      <c r="AJ12" s="78"/>
      <c r="AK12" s="66">
        <v>1500</v>
      </c>
      <c r="AL12" s="67"/>
      <c r="AM12" s="66">
        <f t="shared" si="1"/>
        <v>1500</v>
      </c>
    </row>
    <row r="13" spans="1:39" s="76" customFormat="1" ht="99.6" customHeight="1" x14ac:dyDescent="0.3">
      <c r="A13" s="62">
        <v>250043</v>
      </c>
      <c r="B13" s="62">
        <v>304</v>
      </c>
      <c r="C13" s="64">
        <v>0.6</v>
      </c>
      <c r="D13" s="62">
        <v>562</v>
      </c>
      <c r="E13" s="86" t="s">
        <v>137</v>
      </c>
      <c r="F13" s="62" t="s">
        <v>121</v>
      </c>
      <c r="G13" s="62">
        <v>304</v>
      </c>
      <c r="H13" s="64">
        <v>0.6</v>
      </c>
      <c r="I13" s="62">
        <v>173</v>
      </c>
      <c r="J13" s="62">
        <v>3.6</v>
      </c>
      <c r="K13" s="62" t="s">
        <v>74</v>
      </c>
      <c r="L13" s="66">
        <v>690</v>
      </c>
      <c r="M13" s="67"/>
      <c r="N13" s="66">
        <f t="shared" si="0"/>
        <v>690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>
        <v>100925</v>
      </c>
      <c r="AF13" s="62">
        <v>304</v>
      </c>
      <c r="AG13" s="64">
        <v>0.9</v>
      </c>
      <c r="AH13" s="67"/>
      <c r="AI13" s="65" t="s">
        <v>158</v>
      </c>
      <c r="AJ13" s="78"/>
      <c r="AK13" s="66">
        <v>600</v>
      </c>
      <c r="AL13" s="67"/>
      <c r="AM13" s="66">
        <f t="shared" si="1"/>
        <v>600</v>
      </c>
    </row>
    <row r="14" spans="1:39" s="76" customFormat="1" ht="99.6" customHeight="1" x14ac:dyDescent="0.3">
      <c r="A14" s="62">
        <v>250043</v>
      </c>
      <c r="B14" s="62">
        <v>304</v>
      </c>
      <c r="C14" s="64"/>
      <c r="D14" s="62">
        <v>562</v>
      </c>
      <c r="E14" s="86" t="s">
        <v>138</v>
      </c>
      <c r="F14" s="62" t="s">
        <v>121</v>
      </c>
      <c r="G14" s="62">
        <v>304</v>
      </c>
      <c r="H14" s="64">
        <v>0.6</v>
      </c>
      <c r="I14" s="62">
        <v>173</v>
      </c>
      <c r="J14" s="62">
        <v>3.6</v>
      </c>
      <c r="K14" s="62" t="s">
        <v>74</v>
      </c>
      <c r="L14" s="66">
        <v>60</v>
      </c>
      <c r="M14" s="67"/>
      <c r="N14" s="66">
        <f t="shared" si="0"/>
        <v>60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>
        <v>100925</v>
      </c>
      <c r="AF14" s="62">
        <v>304</v>
      </c>
      <c r="AG14" s="64">
        <v>0.9</v>
      </c>
      <c r="AH14" s="77"/>
      <c r="AI14" s="65" t="s">
        <v>159</v>
      </c>
      <c r="AJ14" s="78"/>
      <c r="AK14" s="66">
        <v>600</v>
      </c>
      <c r="AL14" s="67"/>
      <c r="AM14" s="66">
        <f t="shared" si="1"/>
        <v>600</v>
      </c>
    </row>
    <row r="15" spans="1:39" s="76" customFormat="1" ht="99.6" customHeight="1" x14ac:dyDescent="0.3">
      <c r="A15" s="62">
        <v>250043</v>
      </c>
      <c r="B15" s="62">
        <v>304</v>
      </c>
      <c r="C15" s="64">
        <v>0.6</v>
      </c>
      <c r="D15" s="62">
        <v>562</v>
      </c>
      <c r="E15" s="86" t="s">
        <v>139</v>
      </c>
      <c r="F15" s="62" t="s">
        <v>121</v>
      </c>
      <c r="G15" s="62">
        <v>304</v>
      </c>
      <c r="H15" s="64">
        <v>0.6</v>
      </c>
      <c r="I15" s="62">
        <v>173</v>
      </c>
      <c r="J15" s="62">
        <v>3.6</v>
      </c>
      <c r="K15" s="62" t="s">
        <v>74</v>
      </c>
      <c r="L15" s="66">
        <v>240</v>
      </c>
      <c r="M15" s="67"/>
      <c r="N15" s="66">
        <f t="shared" si="0"/>
        <v>240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 t="s">
        <v>126</v>
      </c>
      <c r="AF15" s="62">
        <v>304</v>
      </c>
      <c r="AG15" s="64">
        <v>0.9</v>
      </c>
      <c r="AH15" s="77"/>
      <c r="AI15" s="65" t="s">
        <v>160</v>
      </c>
      <c r="AJ15" s="78"/>
      <c r="AK15" s="66">
        <v>1200</v>
      </c>
      <c r="AL15" s="67"/>
      <c r="AM15" s="66">
        <f t="shared" si="1"/>
        <v>1200</v>
      </c>
    </row>
    <row r="16" spans="1:39" s="76" customFormat="1" ht="100.05" customHeight="1" x14ac:dyDescent="0.3">
      <c r="A16" s="62">
        <v>250043</v>
      </c>
      <c r="B16" s="62">
        <v>304</v>
      </c>
      <c r="C16" s="64"/>
      <c r="D16" s="62">
        <v>562</v>
      </c>
      <c r="E16" s="86" t="s">
        <v>140</v>
      </c>
      <c r="F16" s="62" t="s">
        <v>121</v>
      </c>
      <c r="G16" s="62">
        <v>304</v>
      </c>
      <c r="H16" s="64">
        <v>0.6</v>
      </c>
      <c r="I16" s="62">
        <v>173</v>
      </c>
      <c r="J16" s="62">
        <v>3.6</v>
      </c>
      <c r="K16" s="62" t="s">
        <v>74</v>
      </c>
      <c r="L16" s="66">
        <v>60</v>
      </c>
      <c r="M16" s="67"/>
      <c r="N16" s="66">
        <f t="shared" si="0"/>
        <v>60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 t="s">
        <v>126</v>
      </c>
      <c r="AF16" s="62">
        <v>304</v>
      </c>
      <c r="AG16" s="64">
        <v>0.9</v>
      </c>
      <c r="AH16" s="77"/>
      <c r="AI16" s="65" t="s">
        <v>165</v>
      </c>
      <c r="AJ16" s="78"/>
      <c r="AK16" s="66">
        <v>1200</v>
      </c>
      <c r="AL16" s="67"/>
      <c r="AM16" s="66">
        <f t="shared" si="1"/>
        <v>1200</v>
      </c>
    </row>
    <row r="17" spans="1:40" s="76" customFormat="1" ht="100.05" customHeight="1" x14ac:dyDescent="0.3">
      <c r="A17" s="62"/>
      <c r="B17" s="62"/>
      <c r="C17" s="64"/>
      <c r="D17" s="62"/>
      <c r="E17" s="86" t="s">
        <v>136</v>
      </c>
      <c r="F17" s="62"/>
      <c r="G17" s="62"/>
      <c r="H17" s="64"/>
      <c r="I17" s="62"/>
      <c r="J17" s="62"/>
      <c r="K17" s="62"/>
      <c r="L17" s="66"/>
      <c r="M17" s="67"/>
      <c r="N17" s="66">
        <f t="shared" si="0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 t="s">
        <v>126</v>
      </c>
      <c r="AF17" s="62">
        <v>304</v>
      </c>
      <c r="AG17" s="64">
        <v>0.9</v>
      </c>
      <c r="AH17" s="77"/>
      <c r="AI17" s="65" t="s">
        <v>161</v>
      </c>
      <c r="AJ17" s="78"/>
      <c r="AK17" s="66">
        <v>1500</v>
      </c>
      <c r="AL17" s="67"/>
      <c r="AM17" s="66">
        <f t="shared" si="1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0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 t="s">
        <v>126</v>
      </c>
      <c r="AF18" s="62">
        <v>304</v>
      </c>
      <c r="AG18" s="64">
        <v>0.9</v>
      </c>
      <c r="AH18" s="77"/>
      <c r="AI18" s="65" t="s">
        <v>164</v>
      </c>
      <c r="AJ18" s="78"/>
      <c r="AK18" s="66">
        <v>1500</v>
      </c>
      <c r="AL18" s="67"/>
      <c r="AM18" s="66">
        <f t="shared" si="1"/>
        <v>1500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0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2"/>
        <v>0</v>
      </c>
      <c r="AE19" s="62" t="s">
        <v>126</v>
      </c>
      <c r="AF19" s="62">
        <v>304</v>
      </c>
      <c r="AG19" s="64">
        <v>0.9</v>
      </c>
      <c r="AH19" s="77"/>
      <c r="AI19" s="65" t="s">
        <v>162</v>
      </c>
      <c r="AJ19" s="78"/>
      <c r="AK19" s="66">
        <v>1500</v>
      </c>
      <c r="AL19" s="67"/>
      <c r="AM19" s="66">
        <f t="shared" si="1"/>
        <v>1500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5750</v>
      </c>
      <c r="M20" s="71">
        <f>SUM(M4:M19)</f>
        <v>3340</v>
      </c>
      <c r="N20" s="66">
        <f>SUM(N4:N19)</f>
        <v>2410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4700</v>
      </c>
      <c r="AB20" s="71">
        <f>SUM(AB4:AB19)</f>
        <v>1500</v>
      </c>
      <c r="AC20" s="66">
        <f>SUM(AC4:AC19)</f>
        <v>4400</v>
      </c>
      <c r="AE20" s="62" t="s">
        <v>126</v>
      </c>
      <c r="AF20" s="62">
        <v>304</v>
      </c>
      <c r="AG20" s="64">
        <v>0.9</v>
      </c>
      <c r="AH20" s="67"/>
      <c r="AI20" s="65" t="s">
        <v>163</v>
      </c>
      <c r="AJ20" s="78"/>
      <c r="AK20" s="66">
        <v>1500</v>
      </c>
      <c r="AL20" s="67"/>
      <c r="AM20" s="66">
        <f t="shared" si="1"/>
        <v>1500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>
        <v>160925</v>
      </c>
      <c r="AF21" s="62">
        <v>304</v>
      </c>
      <c r="AG21" s="64">
        <v>0.9</v>
      </c>
      <c r="AH21" s="67"/>
      <c r="AI21" s="65" t="s">
        <v>167</v>
      </c>
      <c r="AJ21" s="78"/>
      <c r="AK21" s="66">
        <v>1100</v>
      </c>
      <c r="AL21" s="67"/>
      <c r="AM21" s="66">
        <f t="shared" si="1"/>
        <v>1100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>
        <v>160925</v>
      </c>
      <c r="AF22" s="62">
        <v>304</v>
      </c>
      <c r="AG22" s="64">
        <v>0.9</v>
      </c>
      <c r="AH22" s="67"/>
      <c r="AI22" s="65" t="s">
        <v>168</v>
      </c>
      <c r="AJ22" s="78"/>
      <c r="AK22" s="66">
        <v>1100</v>
      </c>
      <c r="AL22" s="67"/>
      <c r="AM22" s="66">
        <f t="shared" si="1"/>
        <v>1100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1"/>
        <v>0</v>
      </c>
      <c r="AN23" s="76"/>
    </row>
    <row r="24" spans="1:40" s="76" customFormat="1" ht="100.05" customHeight="1" x14ac:dyDescent="0.3">
      <c r="A24" s="62"/>
      <c r="B24" s="62"/>
      <c r="C24" s="64"/>
      <c r="D24" s="62"/>
      <c r="E24" s="65"/>
      <c r="F24" s="62"/>
      <c r="G24" s="62"/>
      <c r="H24" s="64"/>
      <c r="I24" s="62"/>
      <c r="J24" s="62"/>
      <c r="K24" s="62"/>
      <c r="L24" s="66"/>
      <c r="M24" s="67"/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265</v>
      </c>
      <c r="T24" s="65" t="s">
        <v>143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3100</v>
      </c>
      <c r="AB24" s="67"/>
      <c r="AC24" s="66">
        <f t="shared" ref="AC24:AC27" si="3">AA24-AB24</f>
        <v>3100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1"/>
        <v>0</v>
      </c>
    </row>
    <row r="25" spans="1:40" s="76" customFormat="1" ht="100.05" customHeight="1" x14ac:dyDescent="0.3">
      <c r="A25" s="62"/>
      <c r="B25" s="62"/>
      <c r="C25" s="64"/>
      <c r="D25" s="62"/>
      <c r="E25" s="65"/>
      <c r="F25" s="62"/>
      <c r="G25" s="62"/>
      <c r="H25" s="64"/>
      <c r="I25" s="62"/>
      <c r="J25" s="62"/>
      <c r="K25" s="62"/>
      <c r="L25" s="66"/>
      <c r="M25" s="67"/>
      <c r="N25" s="66">
        <f>L25-M25</f>
        <v>0</v>
      </c>
      <c r="P25" s="62">
        <v>10925</v>
      </c>
      <c r="Q25" s="62">
        <v>430</v>
      </c>
      <c r="R25" s="64">
        <v>0.8</v>
      </c>
      <c r="S25" s="62">
        <v>365</v>
      </c>
      <c r="T25" s="65" t="s">
        <v>144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3300</v>
      </c>
      <c r="AB25" s="67"/>
      <c r="AC25" s="66">
        <f t="shared" si="3"/>
        <v>3300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1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 t="shared" ref="N26:N28" si="4">L26-M26</f>
        <v>0</v>
      </c>
      <c r="P26" s="62" t="s">
        <v>145</v>
      </c>
      <c r="Q26" s="62">
        <v>304</v>
      </c>
      <c r="R26" s="64">
        <v>0.9</v>
      </c>
      <c r="S26" s="62">
        <v>300</v>
      </c>
      <c r="T26" s="65" t="s">
        <v>146</v>
      </c>
      <c r="U26" s="62" t="s">
        <v>24</v>
      </c>
      <c r="V26" s="62" t="s">
        <v>24</v>
      </c>
      <c r="W26" s="64" t="s">
        <v>24</v>
      </c>
      <c r="X26" s="62" t="s">
        <v>24</v>
      </c>
      <c r="Y26" s="62" t="s">
        <v>24</v>
      </c>
      <c r="Z26" s="62" t="s">
        <v>24</v>
      </c>
      <c r="AA26" s="66">
        <v>3200</v>
      </c>
      <c r="AB26" s="67"/>
      <c r="AC26" s="66">
        <f t="shared" si="3"/>
        <v>3200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1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 t="shared" si="4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1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4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SUM(AA24:AA27)</f>
        <v>9600</v>
      </c>
      <c r="AB28" s="71">
        <f>SUM(AB24:AB27)</f>
        <v>0</v>
      </c>
      <c r="AC28" s="66">
        <f>SUM(AC24:AC27)</f>
        <v>9600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1"/>
        <v>0</v>
      </c>
      <c r="AN28" s="75"/>
    </row>
    <row r="29" spans="1:40" s="76" customFormat="1" ht="100.05" customHeight="1" x14ac:dyDescent="0.3">
      <c r="A29" s="68"/>
      <c r="B29" s="6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SUM(L24:L28)</f>
        <v>0</v>
      </c>
      <c r="M29" s="71">
        <f>SUM(M24:M28)</f>
        <v>0</v>
      </c>
      <c r="N29" s="66">
        <f>SUM(N24:N28)</f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33300</v>
      </c>
      <c r="AL29" s="71">
        <f>SUM(AL4:AL28)</f>
        <v>5450</v>
      </c>
      <c r="AM29" s="66">
        <f>SUM(AM4:AM28)</f>
        <v>27850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6" orientation="landscape" horizontalDpi="1200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topLeftCell="U19" zoomScale="25" zoomScaleNormal="25" workbookViewId="0">
      <selection activeCell="AB24" sqref="AB24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45923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45923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210825</v>
      </c>
      <c r="B4" s="62">
        <v>430</v>
      </c>
      <c r="C4" s="64">
        <v>0.6</v>
      </c>
      <c r="D4" s="62">
        <v>445</v>
      </c>
      <c r="E4" s="65" t="s">
        <v>123</v>
      </c>
      <c r="F4" s="62" t="s">
        <v>121</v>
      </c>
      <c r="G4" s="62">
        <v>430</v>
      </c>
      <c r="H4" s="64">
        <v>0.6</v>
      </c>
      <c r="I4" s="62">
        <v>173</v>
      </c>
      <c r="J4" s="62">
        <v>3.6</v>
      </c>
      <c r="K4" s="62" t="s">
        <v>74</v>
      </c>
      <c r="L4" s="66">
        <v>2600</v>
      </c>
      <c r="M4" s="67">
        <f>300+1900</f>
        <v>2200</v>
      </c>
      <c r="N4" s="66">
        <f t="shared" ref="N4:N19" si="0">L4-M4</f>
        <v>400</v>
      </c>
      <c r="P4" s="62" t="s">
        <v>126</v>
      </c>
      <c r="Q4" s="62">
        <v>304</v>
      </c>
      <c r="R4" s="64">
        <v>0.9</v>
      </c>
      <c r="S4" s="87">
        <v>360</v>
      </c>
      <c r="T4" s="65" t="s">
        <v>141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1500</v>
      </c>
      <c r="AB4" s="67">
        <f>500+1100</f>
        <v>1600</v>
      </c>
      <c r="AC4" s="66">
        <f>AA4-AB4</f>
        <v>-100</v>
      </c>
      <c r="AE4" s="62">
        <v>10925</v>
      </c>
      <c r="AF4" s="62">
        <v>430</v>
      </c>
      <c r="AG4" s="64">
        <v>0.6</v>
      </c>
      <c r="AH4" s="77">
        <v>147</v>
      </c>
      <c r="AI4" s="65" t="s">
        <v>107</v>
      </c>
      <c r="AJ4" s="78" t="s">
        <v>119</v>
      </c>
      <c r="AK4" s="66">
        <v>3100</v>
      </c>
      <c r="AL4" s="67">
        <f>600+2300</f>
        <v>2900</v>
      </c>
      <c r="AM4" s="66">
        <f t="shared" ref="AM4:AM28" si="1">AK4-AL4</f>
        <v>200</v>
      </c>
    </row>
    <row r="5" spans="1:39" s="76" customFormat="1" ht="100.05" customHeight="1" x14ac:dyDescent="0.3">
      <c r="A5" s="62">
        <v>250043</v>
      </c>
      <c r="B5" s="62">
        <v>304</v>
      </c>
      <c r="C5" s="64">
        <v>0.6</v>
      </c>
      <c r="D5" s="62">
        <v>543</v>
      </c>
      <c r="E5" s="65" t="s">
        <v>131</v>
      </c>
      <c r="F5" s="62" t="s">
        <v>121</v>
      </c>
      <c r="G5" s="62">
        <v>304</v>
      </c>
      <c r="H5" s="64">
        <v>0.6</v>
      </c>
      <c r="I5" s="62">
        <v>173</v>
      </c>
      <c r="J5" s="62">
        <v>3.6</v>
      </c>
      <c r="K5" s="62" t="s">
        <v>74</v>
      </c>
      <c r="L5" s="66">
        <v>690</v>
      </c>
      <c r="M5" s="67"/>
      <c r="N5" s="66">
        <f t="shared" si="0"/>
        <v>690</v>
      </c>
      <c r="P5" s="62">
        <v>100925</v>
      </c>
      <c r="Q5" s="62">
        <v>304</v>
      </c>
      <c r="R5" s="64">
        <v>0.9</v>
      </c>
      <c r="S5" s="87">
        <v>395</v>
      </c>
      <c r="T5" s="65" t="s">
        <v>148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1500</v>
      </c>
      <c r="AB5" s="67"/>
      <c r="AC5" s="66">
        <f t="shared" ref="AC5:AC19" si="2">AA5-AB5</f>
        <v>1500</v>
      </c>
      <c r="AE5" s="62">
        <v>10925</v>
      </c>
      <c r="AF5" s="62">
        <v>430</v>
      </c>
      <c r="AG5" s="64">
        <v>0.6</v>
      </c>
      <c r="AH5" s="77">
        <v>160</v>
      </c>
      <c r="AI5" s="65" t="s">
        <v>152</v>
      </c>
      <c r="AJ5" s="78" t="s">
        <v>119</v>
      </c>
      <c r="AK5" s="66">
        <v>3300</v>
      </c>
      <c r="AL5" s="67"/>
      <c r="AM5" s="66">
        <f t="shared" si="1"/>
        <v>3300</v>
      </c>
    </row>
    <row r="6" spans="1:39" s="76" customFormat="1" ht="100.05" customHeight="1" x14ac:dyDescent="0.3">
      <c r="A6" s="62">
        <v>250043</v>
      </c>
      <c r="B6" s="62">
        <v>304</v>
      </c>
      <c r="C6" s="64"/>
      <c r="D6" s="62">
        <v>543</v>
      </c>
      <c r="E6" s="65" t="s">
        <v>129</v>
      </c>
      <c r="F6" s="62" t="s">
        <v>121</v>
      </c>
      <c r="G6" s="62">
        <v>304</v>
      </c>
      <c r="H6" s="64">
        <v>0.6</v>
      </c>
      <c r="I6" s="62">
        <v>173</v>
      </c>
      <c r="J6" s="62">
        <v>3.6</v>
      </c>
      <c r="K6" s="62" t="s">
        <v>74</v>
      </c>
      <c r="L6" s="66">
        <v>60</v>
      </c>
      <c r="M6" s="67"/>
      <c r="N6" s="66">
        <f t="shared" si="0"/>
        <v>60</v>
      </c>
      <c r="P6" s="62">
        <v>100925</v>
      </c>
      <c r="Q6" s="62">
        <v>304</v>
      </c>
      <c r="R6" s="64">
        <v>0.9</v>
      </c>
      <c r="S6" s="87">
        <v>395</v>
      </c>
      <c r="T6" s="65" t="s">
        <v>149</v>
      </c>
      <c r="U6" s="62" t="s">
        <v>42</v>
      </c>
      <c r="V6" s="62">
        <v>430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600</v>
      </c>
      <c r="AB6" s="67"/>
      <c r="AC6" s="66">
        <f t="shared" si="2"/>
        <v>600</v>
      </c>
      <c r="AE6" s="62">
        <v>10925</v>
      </c>
      <c r="AF6" s="62">
        <v>304</v>
      </c>
      <c r="AG6" s="64">
        <v>0.6</v>
      </c>
      <c r="AH6" s="77">
        <v>160</v>
      </c>
      <c r="AI6" s="65" t="s">
        <v>153</v>
      </c>
      <c r="AJ6" s="78" t="s">
        <v>119</v>
      </c>
      <c r="AK6" s="66">
        <v>3200</v>
      </c>
      <c r="AL6" s="67"/>
      <c r="AM6" s="66">
        <f t="shared" si="1"/>
        <v>3200</v>
      </c>
    </row>
    <row r="7" spans="1:39" s="76" customFormat="1" ht="100.05" customHeight="1" x14ac:dyDescent="0.3">
      <c r="A7" s="62">
        <v>250043</v>
      </c>
      <c r="B7" s="62">
        <v>304</v>
      </c>
      <c r="C7" s="64">
        <v>0.6</v>
      </c>
      <c r="D7" s="62">
        <v>543</v>
      </c>
      <c r="E7" s="65" t="s">
        <v>130</v>
      </c>
      <c r="F7" s="62" t="s">
        <v>121</v>
      </c>
      <c r="G7" s="62">
        <v>304</v>
      </c>
      <c r="H7" s="64">
        <v>0.6</v>
      </c>
      <c r="I7" s="62">
        <v>173</v>
      </c>
      <c r="J7" s="62">
        <v>3.6</v>
      </c>
      <c r="K7" s="62" t="s">
        <v>74</v>
      </c>
      <c r="L7" s="66">
        <v>240</v>
      </c>
      <c r="M7" s="67"/>
      <c r="N7" s="66">
        <f t="shared" si="0"/>
        <v>240</v>
      </c>
      <c r="P7" s="62" t="s">
        <v>126</v>
      </c>
      <c r="Q7" s="62">
        <v>304</v>
      </c>
      <c r="R7" s="64">
        <v>0.9</v>
      </c>
      <c r="S7" s="62">
        <v>402</v>
      </c>
      <c r="T7" s="65" t="s">
        <v>142</v>
      </c>
      <c r="U7" s="62" t="s">
        <v>42</v>
      </c>
      <c r="V7" s="62">
        <v>430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1500</v>
      </c>
      <c r="AB7" s="67"/>
      <c r="AC7" s="66">
        <f t="shared" si="2"/>
        <v>1500</v>
      </c>
      <c r="AE7" s="62">
        <v>10925</v>
      </c>
      <c r="AF7" s="62">
        <v>430</v>
      </c>
      <c r="AG7" s="64">
        <v>0.6</v>
      </c>
      <c r="AH7" s="77">
        <v>160</v>
      </c>
      <c r="AI7" s="65" t="s">
        <v>105</v>
      </c>
      <c r="AJ7" s="78" t="s">
        <v>119</v>
      </c>
      <c r="AK7" s="66">
        <v>3300</v>
      </c>
      <c r="AL7" s="67"/>
      <c r="AM7" s="66">
        <f t="shared" si="1"/>
        <v>3300</v>
      </c>
    </row>
    <row r="8" spans="1:39" s="76" customFormat="1" ht="100.05" customHeight="1" x14ac:dyDescent="0.3">
      <c r="A8" s="62">
        <v>250043</v>
      </c>
      <c r="B8" s="62">
        <v>304</v>
      </c>
      <c r="C8" s="64"/>
      <c r="D8" s="62">
        <v>543</v>
      </c>
      <c r="E8" s="65" t="s">
        <v>128</v>
      </c>
      <c r="F8" s="62" t="s">
        <v>121</v>
      </c>
      <c r="G8" s="62">
        <v>304</v>
      </c>
      <c r="H8" s="64">
        <v>0.6</v>
      </c>
      <c r="I8" s="62">
        <v>173</v>
      </c>
      <c r="J8" s="62">
        <v>3.6</v>
      </c>
      <c r="K8" s="62" t="s">
        <v>74</v>
      </c>
      <c r="L8" s="66">
        <v>60</v>
      </c>
      <c r="M8" s="67"/>
      <c r="N8" s="66">
        <f t="shared" si="0"/>
        <v>60</v>
      </c>
      <c r="P8" s="62">
        <v>160925</v>
      </c>
      <c r="Q8" s="62">
        <v>304</v>
      </c>
      <c r="R8" s="64">
        <v>0.9</v>
      </c>
      <c r="S8" s="62"/>
      <c r="T8" s="65" t="s">
        <v>150</v>
      </c>
      <c r="U8" s="62" t="s">
        <v>42</v>
      </c>
      <c r="V8" s="62" t="s">
        <v>24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1100</v>
      </c>
      <c r="AB8" s="67"/>
      <c r="AC8" s="66">
        <f t="shared" si="2"/>
        <v>1100</v>
      </c>
      <c r="AE8" s="62" t="s">
        <v>89</v>
      </c>
      <c r="AF8" s="62">
        <v>304</v>
      </c>
      <c r="AG8" s="64">
        <v>0.6</v>
      </c>
      <c r="AH8" s="77">
        <v>160</v>
      </c>
      <c r="AI8" s="65" t="s">
        <v>154</v>
      </c>
      <c r="AJ8" s="78" t="s">
        <v>119</v>
      </c>
      <c r="AK8" s="66">
        <v>3200</v>
      </c>
      <c r="AL8" s="67"/>
      <c r="AM8" s="66">
        <f t="shared" si="1"/>
        <v>3200</v>
      </c>
    </row>
    <row r="9" spans="1:39" s="76" customFormat="1" ht="100.05" customHeight="1" x14ac:dyDescent="0.3">
      <c r="A9" s="62">
        <v>250043</v>
      </c>
      <c r="B9" s="62">
        <v>304</v>
      </c>
      <c r="C9" s="64">
        <v>0.6</v>
      </c>
      <c r="D9" s="62">
        <v>510</v>
      </c>
      <c r="E9" s="65" t="s">
        <v>132</v>
      </c>
      <c r="F9" s="62" t="s">
        <v>121</v>
      </c>
      <c r="G9" s="62">
        <v>304</v>
      </c>
      <c r="H9" s="64">
        <v>0.6</v>
      </c>
      <c r="I9" s="62">
        <v>173</v>
      </c>
      <c r="J9" s="62">
        <v>3.6</v>
      </c>
      <c r="K9" s="62" t="s">
        <v>74</v>
      </c>
      <c r="L9" s="66">
        <v>690</v>
      </c>
      <c r="M9" s="67"/>
      <c r="N9" s="66">
        <f t="shared" si="0"/>
        <v>690</v>
      </c>
      <c r="P9" s="62" t="s">
        <v>126</v>
      </c>
      <c r="Q9" s="62">
        <v>304</v>
      </c>
      <c r="R9" s="64">
        <v>0.9</v>
      </c>
      <c r="S9" s="62">
        <v>320</v>
      </c>
      <c r="T9" s="65" t="s">
        <v>151</v>
      </c>
      <c r="U9" s="62" t="s">
        <v>42</v>
      </c>
      <c r="V9" s="62">
        <v>430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1200</v>
      </c>
      <c r="AB9" s="67">
        <f>200</f>
        <v>200</v>
      </c>
      <c r="AC9" s="66">
        <f t="shared" si="2"/>
        <v>1000</v>
      </c>
      <c r="AE9" s="62">
        <v>100925</v>
      </c>
      <c r="AF9" s="62">
        <v>304</v>
      </c>
      <c r="AG9" s="64">
        <v>0.9</v>
      </c>
      <c r="AH9" s="67"/>
      <c r="AI9" s="65" t="s">
        <v>155</v>
      </c>
      <c r="AJ9" s="78"/>
      <c r="AK9" s="66">
        <v>1200</v>
      </c>
      <c r="AL9" s="67"/>
      <c r="AM9" s="66">
        <f t="shared" si="1"/>
        <v>1200</v>
      </c>
    </row>
    <row r="10" spans="1:39" s="76" customFormat="1" ht="100.05" customHeight="1" x14ac:dyDescent="0.3">
      <c r="A10" s="62">
        <v>250043</v>
      </c>
      <c r="B10" s="62">
        <v>304</v>
      </c>
      <c r="C10" s="64"/>
      <c r="D10" s="62">
        <v>510</v>
      </c>
      <c r="E10" s="65" t="s">
        <v>133</v>
      </c>
      <c r="F10" s="62" t="s">
        <v>121</v>
      </c>
      <c r="G10" s="62">
        <v>304</v>
      </c>
      <c r="H10" s="64">
        <v>0.6</v>
      </c>
      <c r="I10" s="62">
        <v>173</v>
      </c>
      <c r="J10" s="62">
        <v>3.6</v>
      </c>
      <c r="K10" s="62" t="s">
        <v>74</v>
      </c>
      <c r="L10" s="66">
        <v>60</v>
      </c>
      <c r="M10" s="67"/>
      <c r="N10" s="66">
        <f t="shared" si="0"/>
        <v>60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100925</v>
      </c>
      <c r="AF10" s="62">
        <v>304</v>
      </c>
      <c r="AG10" s="64">
        <v>0.9</v>
      </c>
      <c r="AH10" s="67"/>
      <c r="AI10" s="65" t="s">
        <v>156</v>
      </c>
      <c r="AJ10" s="78"/>
      <c r="AK10" s="66">
        <v>1200</v>
      </c>
      <c r="AL10" s="67"/>
      <c r="AM10" s="66">
        <f t="shared" si="1"/>
        <v>1200</v>
      </c>
    </row>
    <row r="11" spans="1:39" s="76" customFormat="1" ht="100.05" customHeight="1" x14ac:dyDescent="0.3">
      <c r="A11" s="62">
        <v>250043</v>
      </c>
      <c r="B11" s="62">
        <v>304</v>
      </c>
      <c r="C11" s="64">
        <v>0.6</v>
      </c>
      <c r="D11" s="62">
        <v>510</v>
      </c>
      <c r="E11" s="65" t="s">
        <v>134</v>
      </c>
      <c r="F11" s="62" t="s">
        <v>121</v>
      </c>
      <c r="G11" s="62">
        <v>304</v>
      </c>
      <c r="H11" s="64">
        <v>0.6</v>
      </c>
      <c r="I11" s="62">
        <v>173</v>
      </c>
      <c r="J11" s="62">
        <v>3.6</v>
      </c>
      <c r="K11" s="62" t="s">
        <v>74</v>
      </c>
      <c r="L11" s="66">
        <v>240</v>
      </c>
      <c r="M11" s="67"/>
      <c r="N11" s="66">
        <f t="shared" si="0"/>
        <v>240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>
        <v>100925</v>
      </c>
      <c r="AF11" s="62">
        <v>304</v>
      </c>
      <c r="AG11" s="64">
        <v>0.9</v>
      </c>
      <c r="AH11" s="67"/>
      <c r="AI11" s="65" t="s">
        <v>157</v>
      </c>
      <c r="AJ11" s="78"/>
      <c r="AK11" s="66">
        <v>1500</v>
      </c>
      <c r="AL11" s="67"/>
      <c r="AM11" s="66">
        <f t="shared" si="1"/>
        <v>1500</v>
      </c>
    </row>
    <row r="12" spans="1:39" s="76" customFormat="1" ht="100.05" customHeight="1" x14ac:dyDescent="0.3">
      <c r="A12" s="62">
        <v>250043</v>
      </c>
      <c r="B12" s="62">
        <v>304</v>
      </c>
      <c r="C12" s="64"/>
      <c r="D12" s="62">
        <v>510</v>
      </c>
      <c r="E12" s="65" t="s">
        <v>135</v>
      </c>
      <c r="F12" s="62" t="s">
        <v>121</v>
      </c>
      <c r="G12" s="62">
        <v>304</v>
      </c>
      <c r="H12" s="64">
        <v>0.6</v>
      </c>
      <c r="I12" s="62">
        <v>173</v>
      </c>
      <c r="J12" s="62">
        <v>3.6</v>
      </c>
      <c r="K12" s="62" t="s">
        <v>74</v>
      </c>
      <c r="L12" s="66">
        <v>60</v>
      </c>
      <c r="M12" s="67"/>
      <c r="N12" s="66">
        <f t="shared" si="0"/>
        <v>60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>
        <v>100925</v>
      </c>
      <c r="AF12" s="62">
        <v>304</v>
      </c>
      <c r="AG12" s="64">
        <v>0.9</v>
      </c>
      <c r="AH12" s="67"/>
      <c r="AI12" s="65" t="s">
        <v>166</v>
      </c>
      <c r="AJ12" s="78"/>
      <c r="AK12" s="66">
        <v>1500</v>
      </c>
      <c r="AL12" s="67"/>
      <c r="AM12" s="66">
        <f t="shared" si="1"/>
        <v>1500</v>
      </c>
    </row>
    <row r="13" spans="1:39" s="76" customFormat="1" ht="99.6" customHeight="1" x14ac:dyDescent="0.3">
      <c r="A13" s="62">
        <v>250043</v>
      </c>
      <c r="B13" s="62">
        <v>304</v>
      </c>
      <c r="C13" s="64">
        <v>0.6</v>
      </c>
      <c r="D13" s="62">
        <v>562</v>
      </c>
      <c r="E13" s="86" t="s">
        <v>137</v>
      </c>
      <c r="F13" s="62" t="s">
        <v>121</v>
      </c>
      <c r="G13" s="62">
        <v>304</v>
      </c>
      <c r="H13" s="64">
        <v>0.6</v>
      </c>
      <c r="I13" s="62">
        <v>173</v>
      </c>
      <c r="J13" s="62">
        <v>3.6</v>
      </c>
      <c r="K13" s="62" t="s">
        <v>74</v>
      </c>
      <c r="L13" s="66">
        <v>690</v>
      </c>
      <c r="M13" s="67"/>
      <c r="N13" s="66">
        <f t="shared" si="0"/>
        <v>690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>
        <v>100925</v>
      </c>
      <c r="AF13" s="62">
        <v>304</v>
      </c>
      <c r="AG13" s="64">
        <v>0.9</v>
      </c>
      <c r="AH13" s="67"/>
      <c r="AI13" s="65" t="s">
        <v>158</v>
      </c>
      <c r="AJ13" s="78"/>
      <c r="AK13" s="66">
        <v>600</v>
      </c>
      <c r="AL13" s="67"/>
      <c r="AM13" s="66">
        <f t="shared" si="1"/>
        <v>600</v>
      </c>
    </row>
    <row r="14" spans="1:39" s="76" customFormat="1" ht="99.6" customHeight="1" x14ac:dyDescent="0.3">
      <c r="A14" s="62">
        <v>250043</v>
      </c>
      <c r="B14" s="62">
        <v>304</v>
      </c>
      <c r="C14" s="64"/>
      <c r="D14" s="62">
        <v>562</v>
      </c>
      <c r="E14" s="86" t="s">
        <v>138</v>
      </c>
      <c r="F14" s="62" t="s">
        <v>121</v>
      </c>
      <c r="G14" s="62">
        <v>304</v>
      </c>
      <c r="H14" s="64">
        <v>0.6</v>
      </c>
      <c r="I14" s="62">
        <v>173</v>
      </c>
      <c r="J14" s="62">
        <v>3.6</v>
      </c>
      <c r="K14" s="62" t="s">
        <v>74</v>
      </c>
      <c r="L14" s="66">
        <v>60</v>
      </c>
      <c r="M14" s="67"/>
      <c r="N14" s="66">
        <f t="shared" si="0"/>
        <v>60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>
        <v>100925</v>
      </c>
      <c r="AF14" s="62">
        <v>304</v>
      </c>
      <c r="AG14" s="64">
        <v>0.9</v>
      </c>
      <c r="AH14" s="77"/>
      <c r="AI14" s="65" t="s">
        <v>159</v>
      </c>
      <c r="AJ14" s="78"/>
      <c r="AK14" s="66">
        <v>600</v>
      </c>
      <c r="AL14" s="67"/>
      <c r="AM14" s="66">
        <f t="shared" si="1"/>
        <v>600</v>
      </c>
    </row>
    <row r="15" spans="1:39" s="76" customFormat="1" ht="99.6" customHeight="1" x14ac:dyDescent="0.3">
      <c r="A15" s="62">
        <v>250043</v>
      </c>
      <c r="B15" s="62">
        <v>304</v>
      </c>
      <c r="C15" s="64">
        <v>0.6</v>
      </c>
      <c r="D15" s="62">
        <v>562</v>
      </c>
      <c r="E15" s="86" t="s">
        <v>139</v>
      </c>
      <c r="F15" s="62" t="s">
        <v>121</v>
      </c>
      <c r="G15" s="62">
        <v>304</v>
      </c>
      <c r="H15" s="64">
        <v>0.6</v>
      </c>
      <c r="I15" s="62">
        <v>173</v>
      </c>
      <c r="J15" s="62">
        <v>3.6</v>
      </c>
      <c r="K15" s="62" t="s">
        <v>74</v>
      </c>
      <c r="L15" s="66">
        <v>240</v>
      </c>
      <c r="M15" s="67"/>
      <c r="N15" s="66">
        <f t="shared" si="0"/>
        <v>240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 t="s">
        <v>126</v>
      </c>
      <c r="AF15" s="62">
        <v>304</v>
      </c>
      <c r="AG15" s="64">
        <v>0.9</v>
      </c>
      <c r="AH15" s="77"/>
      <c r="AI15" s="65" t="s">
        <v>160</v>
      </c>
      <c r="AJ15" s="78"/>
      <c r="AK15" s="66">
        <v>1200</v>
      </c>
      <c r="AL15" s="67"/>
      <c r="AM15" s="66">
        <f t="shared" si="1"/>
        <v>1200</v>
      </c>
    </row>
    <row r="16" spans="1:39" s="76" customFormat="1" ht="100.05" customHeight="1" x14ac:dyDescent="0.3">
      <c r="A16" s="62">
        <v>250043</v>
      </c>
      <c r="B16" s="62">
        <v>304</v>
      </c>
      <c r="C16" s="64"/>
      <c r="D16" s="62">
        <v>562</v>
      </c>
      <c r="E16" s="86" t="s">
        <v>140</v>
      </c>
      <c r="F16" s="62" t="s">
        <v>121</v>
      </c>
      <c r="G16" s="62">
        <v>304</v>
      </c>
      <c r="H16" s="64">
        <v>0.6</v>
      </c>
      <c r="I16" s="62">
        <v>173</v>
      </c>
      <c r="J16" s="62">
        <v>3.6</v>
      </c>
      <c r="K16" s="62" t="s">
        <v>74</v>
      </c>
      <c r="L16" s="66">
        <v>60</v>
      </c>
      <c r="M16" s="67"/>
      <c r="N16" s="66">
        <f t="shared" si="0"/>
        <v>60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 t="s">
        <v>126</v>
      </c>
      <c r="AF16" s="62">
        <v>304</v>
      </c>
      <c r="AG16" s="64">
        <v>0.9</v>
      </c>
      <c r="AH16" s="77"/>
      <c r="AI16" s="65" t="s">
        <v>165</v>
      </c>
      <c r="AJ16" s="78"/>
      <c r="AK16" s="66">
        <v>1200</v>
      </c>
      <c r="AL16" s="67"/>
      <c r="AM16" s="66">
        <f t="shared" si="1"/>
        <v>1200</v>
      </c>
    </row>
    <row r="17" spans="1:40" s="76" customFormat="1" ht="100.05" customHeight="1" x14ac:dyDescent="0.3">
      <c r="A17" s="62"/>
      <c r="B17" s="62"/>
      <c r="C17" s="64"/>
      <c r="D17" s="62"/>
      <c r="E17" s="86" t="s">
        <v>136</v>
      </c>
      <c r="F17" s="62"/>
      <c r="G17" s="62"/>
      <c r="H17" s="64"/>
      <c r="I17" s="62"/>
      <c r="J17" s="62"/>
      <c r="K17" s="62"/>
      <c r="L17" s="66"/>
      <c r="M17" s="67"/>
      <c r="N17" s="66">
        <f t="shared" si="0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 t="s">
        <v>126</v>
      </c>
      <c r="AF17" s="62">
        <v>304</v>
      </c>
      <c r="AG17" s="64">
        <v>0.9</v>
      </c>
      <c r="AH17" s="77"/>
      <c r="AI17" s="65" t="s">
        <v>161</v>
      </c>
      <c r="AJ17" s="78"/>
      <c r="AK17" s="66">
        <v>1500</v>
      </c>
      <c r="AL17" s="67"/>
      <c r="AM17" s="66">
        <f t="shared" si="1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0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 t="s">
        <v>126</v>
      </c>
      <c r="AF18" s="62">
        <v>304</v>
      </c>
      <c r="AG18" s="64">
        <v>0.9</v>
      </c>
      <c r="AH18" s="77"/>
      <c r="AI18" s="65" t="s">
        <v>164</v>
      </c>
      <c r="AJ18" s="78"/>
      <c r="AK18" s="66">
        <v>1500</v>
      </c>
      <c r="AL18" s="67"/>
      <c r="AM18" s="66">
        <f t="shared" si="1"/>
        <v>1500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0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2"/>
        <v>0</v>
      </c>
      <c r="AE19" s="62" t="s">
        <v>126</v>
      </c>
      <c r="AF19" s="62">
        <v>304</v>
      </c>
      <c r="AG19" s="64">
        <v>0.9</v>
      </c>
      <c r="AH19" s="77"/>
      <c r="AI19" s="65" t="s">
        <v>162</v>
      </c>
      <c r="AJ19" s="78"/>
      <c r="AK19" s="66">
        <v>1500</v>
      </c>
      <c r="AL19" s="67"/>
      <c r="AM19" s="66">
        <f t="shared" si="1"/>
        <v>1500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5750</v>
      </c>
      <c r="M20" s="71">
        <f>SUM(M4:M19)</f>
        <v>2200</v>
      </c>
      <c r="N20" s="66">
        <f>SUM(N4:N19)</f>
        <v>3550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5100</v>
      </c>
      <c r="AB20" s="71">
        <f>SUM(AB4:AB19)</f>
        <v>1800</v>
      </c>
      <c r="AC20" s="66">
        <f>SUM(AC4:AC19)</f>
        <v>5600</v>
      </c>
      <c r="AE20" s="62" t="s">
        <v>126</v>
      </c>
      <c r="AF20" s="62">
        <v>304</v>
      </c>
      <c r="AG20" s="64">
        <v>0.9</v>
      </c>
      <c r="AH20" s="67"/>
      <c r="AI20" s="65" t="s">
        <v>163</v>
      </c>
      <c r="AJ20" s="78"/>
      <c r="AK20" s="66">
        <v>1500</v>
      </c>
      <c r="AL20" s="67"/>
      <c r="AM20" s="66">
        <f t="shared" si="1"/>
        <v>1500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>
        <v>160925</v>
      </c>
      <c r="AF21" s="62">
        <v>304</v>
      </c>
      <c r="AG21" s="64">
        <v>0.9</v>
      </c>
      <c r="AH21" s="67"/>
      <c r="AI21" s="65" t="s">
        <v>167</v>
      </c>
      <c r="AJ21" s="78"/>
      <c r="AK21" s="66">
        <v>1100</v>
      </c>
      <c r="AL21" s="67"/>
      <c r="AM21" s="66">
        <f t="shared" si="1"/>
        <v>1100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>
        <v>160925</v>
      </c>
      <c r="AF22" s="62">
        <v>304</v>
      </c>
      <c r="AG22" s="64">
        <v>0.9</v>
      </c>
      <c r="AH22" s="67"/>
      <c r="AI22" s="65" t="s">
        <v>168</v>
      </c>
      <c r="AJ22" s="78"/>
      <c r="AK22" s="66">
        <v>1100</v>
      </c>
      <c r="AL22" s="67"/>
      <c r="AM22" s="66">
        <f t="shared" si="1"/>
        <v>1100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1"/>
        <v>0</v>
      </c>
      <c r="AN23" s="76"/>
    </row>
    <row r="24" spans="1:40" s="76" customFormat="1" ht="100.05" customHeight="1" x14ac:dyDescent="0.3">
      <c r="A24" s="62"/>
      <c r="B24" s="62"/>
      <c r="C24" s="64"/>
      <c r="D24" s="62"/>
      <c r="E24" s="65"/>
      <c r="F24" s="62"/>
      <c r="G24" s="62"/>
      <c r="H24" s="64"/>
      <c r="I24" s="62"/>
      <c r="J24" s="62"/>
      <c r="K24" s="62"/>
      <c r="L24" s="66"/>
      <c r="M24" s="67"/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265</v>
      </c>
      <c r="T24" s="65" t="s">
        <v>143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3100</v>
      </c>
      <c r="AB24" s="67"/>
      <c r="AC24" s="66">
        <f t="shared" ref="AC24:AC27" si="3">AA24-AB24</f>
        <v>3100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1"/>
        <v>0</v>
      </c>
    </row>
    <row r="25" spans="1:40" s="76" customFormat="1" ht="100.05" customHeight="1" x14ac:dyDescent="0.3">
      <c r="A25" s="62"/>
      <c r="B25" s="62"/>
      <c r="C25" s="64"/>
      <c r="D25" s="62"/>
      <c r="E25" s="65"/>
      <c r="F25" s="62"/>
      <c r="G25" s="62"/>
      <c r="H25" s="64"/>
      <c r="I25" s="62"/>
      <c r="J25" s="62"/>
      <c r="K25" s="62"/>
      <c r="L25" s="66"/>
      <c r="M25" s="67"/>
      <c r="N25" s="66">
        <f>L25-M25</f>
        <v>0</v>
      </c>
      <c r="P25" s="62">
        <v>10925</v>
      </c>
      <c r="Q25" s="62">
        <v>430</v>
      </c>
      <c r="R25" s="64">
        <v>0.8</v>
      </c>
      <c r="S25" s="62">
        <v>365</v>
      </c>
      <c r="T25" s="65" t="s">
        <v>144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3300</v>
      </c>
      <c r="AB25" s="67"/>
      <c r="AC25" s="66">
        <f t="shared" si="3"/>
        <v>3300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1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 t="shared" ref="N26:N28" si="4">L26-M26</f>
        <v>0</v>
      </c>
      <c r="P26" s="62" t="s">
        <v>145</v>
      </c>
      <c r="Q26" s="62">
        <v>304</v>
      </c>
      <c r="R26" s="64">
        <v>0.9</v>
      </c>
      <c r="S26" s="62">
        <v>300</v>
      </c>
      <c r="T26" s="65" t="s">
        <v>146</v>
      </c>
      <c r="U26" s="62" t="s">
        <v>24</v>
      </c>
      <c r="V26" s="62" t="s">
        <v>24</v>
      </c>
      <c r="W26" s="64" t="s">
        <v>24</v>
      </c>
      <c r="X26" s="62" t="s">
        <v>24</v>
      </c>
      <c r="Y26" s="62" t="s">
        <v>24</v>
      </c>
      <c r="Z26" s="62" t="s">
        <v>24</v>
      </c>
      <c r="AA26" s="66">
        <v>3200</v>
      </c>
      <c r="AB26" s="67"/>
      <c r="AC26" s="66">
        <f t="shared" si="3"/>
        <v>3200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1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 t="shared" si="4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1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4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SUM(AA24:AA27)</f>
        <v>9600</v>
      </c>
      <c r="AB28" s="71">
        <f>SUM(AB24:AB27)</f>
        <v>0</v>
      </c>
      <c r="AC28" s="66">
        <f>SUM(AC24:AC27)</f>
        <v>9600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1"/>
        <v>0</v>
      </c>
      <c r="AN28" s="75"/>
    </row>
    <row r="29" spans="1:40" s="76" customFormat="1" ht="100.05" customHeight="1" x14ac:dyDescent="0.3">
      <c r="A29" s="68"/>
      <c r="B29" s="6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SUM(L24:L28)</f>
        <v>0</v>
      </c>
      <c r="M29" s="71">
        <f>SUM(M24:M28)</f>
        <v>0</v>
      </c>
      <c r="N29" s="66">
        <f>SUM(N24:N28)</f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33300</v>
      </c>
      <c r="AL29" s="71">
        <f>SUM(AL4:AL28)</f>
        <v>2900</v>
      </c>
      <c r="AM29" s="66">
        <f>SUM(AM4:AM28)</f>
        <v>30400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6"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topLeftCell="L16" zoomScale="25" zoomScaleNormal="25" workbookViewId="0">
      <selection activeCell="AB25" sqref="AB25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45925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250043</v>
      </c>
      <c r="B4" s="62">
        <v>304</v>
      </c>
      <c r="C4" s="64">
        <v>0.6</v>
      </c>
      <c r="D4" s="62">
        <v>543</v>
      </c>
      <c r="E4" s="65" t="s">
        <v>131</v>
      </c>
      <c r="F4" s="62" t="s">
        <v>121</v>
      </c>
      <c r="G4" s="62">
        <v>304</v>
      </c>
      <c r="H4" s="64">
        <v>0.6</v>
      </c>
      <c r="I4" s="62">
        <v>173</v>
      </c>
      <c r="J4" s="62">
        <v>3.6</v>
      </c>
      <c r="K4" s="62" t="s">
        <v>74</v>
      </c>
      <c r="L4" s="66">
        <v>690</v>
      </c>
      <c r="M4" s="67">
        <f>480+215</f>
        <v>695</v>
      </c>
      <c r="N4" s="66">
        <f t="shared" ref="N4:N19" si="0">L4-M4</f>
        <v>-5</v>
      </c>
      <c r="P4" s="62">
        <v>100925</v>
      </c>
      <c r="Q4" s="62">
        <v>304</v>
      </c>
      <c r="R4" s="64">
        <v>0.9</v>
      </c>
      <c r="S4" s="87">
        <v>395</v>
      </c>
      <c r="T4" s="65" t="s">
        <v>148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1500</v>
      </c>
      <c r="AB4" s="67">
        <f>200+1350</f>
        <v>1550</v>
      </c>
      <c r="AC4" s="66">
        <f>AA4-AB4</f>
        <v>-50</v>
      </c>
      <c r="AE4" s="62">
        <v>10925</v>
      </c>
      <c r="AF4" s="62">
        <v>430</v>
      </c>
      <c r="AG4" s="64">
        <v>0.6</v>
      </c>
      <c r="AH4" s="77">
        <v>160</v>
      </c>
      <c r="AI4" s="65" t="s">
        <v>152</v>
      </c>
      <c r="AJ4" s="78" t="s">
        <v>119</v>
      </c>
      <c r="AK4" s="66">
        <v>3300</v>
      </c>
      <c r="AL4" s="67">
        <f>2350</f>
        <v>2350</v>
      </c>
      <c r="AM4" s="66">
        <f t="shared" ref="AM4:AM28" si="1">AK4-AL4</f>
        <v>950</v>
      </c>
    </row>
    <row r="5" spans="1:39" s="76" customFormat="1" ht="100.05" customHeight="1" x14ac:dyDescent="0.3">
      <c r="A5" s="62">
        <v>250043</v>
      </c>
      <c r="B5" s="62">
        <v>304</v>
      </c>
      <c r="C5" s="64"/>
      <c r="D5" s="62">
        <v>543</v>
      </c>
      <c r="E5" s="65" t="s">
        <v>129</v>
      </c>
      <c r="F5" s="62" t="s">
        <v>121</v>
      </c>
      <c r="G5" s="62">
        <v>304</v>
      </c>
      <c r="H5" s="64">
        <v>0.6</v>
      </c>
      <c r="I5" s="62">
        <v>173</v>
      </c>
      <c r="J5" s="62">
        <v>3.6</v>
      </c>
      <c r="K5" s="62" t="s">
        <v>74</v>
      </c>
      <c r="L5" s="66">
        <v>60</v>
      </c>
      <c r="M5" s="67"/>
      <c r="N5" s="66">
        <f t="shared" si="0"/>
        <v>60</v>
      </c>
      <c r="P5" s="62">
        <v>100925</v>
      </c>
      <c r="Q5" s="62">
        <v>304</v>
      </c>
      <c r="R5" s="64">
        <v>0.9</v>
      </c>
      <c r="S5" s="87">
        <v>395</v>
      </c>
      <c r="T5" s="65" t="s">
        <v>149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</v>
      </c>
      <c r="AB5" s="67">
        <f>350</f>
        <v>350</v>
      </c>
      <c r="AC5" s="66">
        <f t="shared" ref="AC5:AC19" si="2">AA5-AB5</f>
        <v>250</v>
      </c>
      <c r="AE5" s="62">
        <v>10925</v>
      </c>
      <c r="AF5" s="62">
        <v>304</v>
      </c>
      <c r="AG5" s="64">
        <v>0.6</v>
      </c>
      <c r="AH5" s="77">
        <v>160</v>
      </c>
      <c r="AI5" s="65" t="s">
        <v>153</v>
      </c>
      <c r="AJ5" s="78" t="s">
        <v>119</v>
      </c>
      <c r="AK5" s="66">
        <v>3200</v>
      </c>
      <c r="AL5" s="67">
        <v>2850</v>
      </c>
      <c r="AM5" s="66">
        <f t="shared" si="1"/>
        <v>350</v>
      </c>
    </row>
    <row r="6" spans="1:39" s="76" customFormat="1" ht="100.05" customHeight="1" x14ac:dyDescent="0.3">
      <c r="A6" s="62">
        <v>250043</v>
      </c>
      <c r="B6" s="62">
        <v>304</v>
      </c>
      <c r="C6" s="64">
        <v>0.6</v>
      </c>
      <c r="D6" s="62">
        <v>543</v>
      </c>
      <c r="E6" s="65" t="s">
        <v>130</v>
      </c>
      <c r="F6" s="62" t="s">
        <v>121</v>
      </c>
      <c r="G6" s="62">
        <v>304</v>
      </c>
      <c r="H6" s="64">
        <v>0.6</v>
      </c>
      <c r="I6" s="62">
        <v>173</v>
      </c>
      <c r="J6" s="62">
        <v>3.6</v>
      </c>
      <c r="K6" s="62" t="s">
        <v>74</v>
      </c>
      <c r="L6" s="66">
        <v>240</v>
      </c>
      <c r="M6" s="67">
        <f>85</f>
        <v>85</v>
      </c>
      <c r="N6" s="66">
        <f t="shared" si="0"/>
        <v>155</v>
      </c>
      <c r="P6" s="62" t="s">
        <v>126</v>
      </c>
      <c r="Q6" s="62">
        <v>304</v>
      </c>
      <c r="R6" s="64">
        <v>0.9</v>
      </c>
      <c r="S6" s="62">
        <v>402</v>
      </c>
      <c r="T6" s="65" t="s">
        <v>142</v>
      </c>
      <c r="U6" s="62" t="s">
        <v>42</v>
      </c>
      <c r="V6" s="62">
        <v>430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1500</v>
      </c>
      <c r="AB6" s="67"/>
      <c r="AC6" s="66">
        <f t="shared" si="2"/>
        <v>1500</v>
      </c>
      <c r="AE6" s="62">
        <v>10925</v>
      </c>
      <c r="AF6" s="62">
        <v>430</v>
      </c>
      <c r="AG6" s="64">
        <v>0.6</v>
      </c>
      <c r="AH6" s="77">
        <v>160</v>
      </c>
      <c r="AI6" s="65" t="s">
        <v>105</v>
      </c>
      <c r="AJ6" s="78" t="s">
        <v>119</v>
      </c>
      <c r="AK6" s="66">
        <v>3300</v>
      </c>
      <c r="AL6" s="67"/>
      <c r="AM6" s="66">
        <f t="shared" si="1"/>
        <v>3300</v>
      </c>
    </row>
    <row r="7" spans="1:39" s="76" customFormat="1" ht="100.05" customHeight="1" x14ac:dyDescent="0.3">
      <c r="A7" s="62">
        <v>250043</v>
      </c>
      <c r="B7" s="62">
        <v>304</v>
      </c>
      <c r="C7" s="64"/>
      <c r="D7" s="62">
        <v>543</v>
      </c>
      <c r="E7" s="65" t="s">
        <v>128</v>
      </c>
      <c r="F7" s="62" t="s">
        <v>121</v>
      </c>
      <c r="G7" s="62">
        <v>304</v>
      </c>
      <c r="H7" s="64">
        <v>0.6</v>
      </c>
      <c r="I7" s="62">
        <v>173</v>
      </c>
      <c r="J7" s="62">
        <v>3.6</v>
      </c>
      <c r="K7" s="62" t="s">
        <v>74</v>
      </c>
      <c r="L7" s="66">
        <v>60</v>
      </c>
      <c r="M7" s="67"/>
      <c r="N7" s="66">
        <f t="shared" si="0"/>
        <v>60</v>
      </c>
      <c r="P7" s="62">
        <v>160925</v>
      </c>
      <c r="Q7" s="62">
        <v>304</v>
      </c>
      <c r="R7" s="64">
        <v>0.9</v>
      </c>
      <c r="S7" s="62"/>
      <c r="T7" s="65" t="s">
        <v>150</v>
      </c>
      <c r="U7" s="62" t="s">
        <v>42</v>
      </c>
      <c r="V7" s="62" t="s">
        <v>24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1100</v>
      </c>
      <c r="AB7" s="67"/>
      <c r="AC7" s="66">
        <f t="shared" si="2"/>
        <v>1100</v>
      </c>
      <c r="AE7" s="62" t="s">
        <v>89</v>
      </c>
      <c r="AF7" s="62">
        <v>304</v>
      </c>
      <c r="AG7" s="64">
        <v>0.6</v>
      </c>
      <c r="AH7" s="77">
        <v>160</v>
      </c>
      <c r="AI7" s="65" t="s">
        <v>154</v>
      </c>
      <c r="AJ7" s="78" t="s">
        <v>119</v>
      </c>
      <c r="AK7" s="66">
        <v>3200</v>
      </c>
      <c r="AL7" s="67"/>
      <c r="AM7" s="66">
        <f t="shared" si="1"/>
        <v>3200</v>
      </c>
    </row>
    <row r="8" spans="1:39" s="76" customFormat="1" ht="100.05" customHeight="1" x14ac:dyDescent="0.3">
      <c r="A8" s="62">
        <v>250043</v>
      </c>
      <c r="B8" s="62">
        <v>304</v>
      </c>
      <c r="C8" s="64">
        <v>0.6</v>
      </c>
      <c r="D8" s="62">
        <v>510</v>
      </c>
      <c r="E8" s="65" t="s">
        <v>132</v>
      </c>
      <c r="F8" s="62" t="s">
        <v>121</v>
      </c>
      <c r="G8" s="62">
        <v>304</v>
      </c>
      <c r="H8" s="64">
        <v>0.6</v>
      </c>
      <c r="I8" s="62">
        <v>173</v>
      </c>
      <c r="J8" s="62">
        <v>3.6</v>
      </c>
      <c r="K8" s="62" t="s">
        <v>74</v>
      </c>
      <c r="L8" s="66">
        <v>690</v>
      </c>
      <c r="M8" s="67">
        <f>200+495</f>
        <v>695</v>
      </c>
      <c r="N8" s="66">
        <f t="shared" si="0"/>
        <v>-5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100925</v>
      </c>
      <c r="AF8" s="62">
        <v>304</v>
      </c>
      <c r="AG8" s="64">
        <v>0.9</v>
      </c>
      <c r="AH8" s="67"/>
      <c r="AI8" s="65" t="s">
        <v>155</v>
      </c>
      <c r="AJ8" s="78"/>
      <c r="AK8" s="66">
        <v>1200</v>
      </c>
      <c r="AL8" s="67"/>
      <c r="AM8" s="66">
        <f t="shared" si="1"/>
        <v>1200</v>
      </c>
    </row>
    <row r="9" spans="1:39" s="76" customFormat="1" ht="100.05" customHeight="1" x14ac:dyDescent="0.3">
      <c r="A9" s="62">
        <v>250043</v>
      </c>
      <c r="B9" s="62">
        <v>304</v>
      </c>
      <c r="C9" s="64"/>
      <c r="D9" s="62">
        <v>510</v>
      </c>
      <c r="E9" s="65" t="s">
        <v>133</v>
      </c>
      <c r="F9" s="62" t="s">
        <v>121</v>
      </c>
      <c r="G9" s="62">
        <v>304</v>
      </c>
      <c r="H9" s="64">
        <v>0.6</v>
      </c>
      <c r="I9" s="62">
        <v>173</v>
      </c>
      <c r="J9" s="62">
        <v>3.6</v>
      </c>
      <c r="K9" s="62" t="s">
        <v>74</v>
      </c>
      <c r="L9" s="66">
        <v>60</v>
      </c>
      <c r="M9" s="67">
        <v>65</v>
      </c>
      <c r="N9" s="66">
        <f t="shared" si="0"/>
        <v>-5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>
        <v>100925</v>
      </c>
      <c r="AF9" s="62">
        <v>304</v>
      </c>
      <c r="AG9" s="64">
        <v>0.9</v>
      </c>
      <c r="AH9" s="67"/>
      <c r="AI9" s="65" t="s">
        <v>156</v>
      </c>
      <c r="AJ9" s="78"/>
      <c r="AK9" s="66">
        <v>1200</v>
      </c>
      <c r="AL9" s="67"/>
      <c r="AM9" s="66">
        <f t="shared" si="1"/>
        <v>1200</v>
      </c>
    </row>
    <row r="10" spans="1:39" s="76" customFormat="1" ht="100.05" customHeight="1" x14ac:dyDescent="0.3">
      <c r="A10" s="62">
        <v>250043</v>
      </c>
      <c r="B10" s="62">
        <v>304</v>
      </c>
      <c r="C10" s="64">
        <v>0.6</v>
      </c>
      <c r="D10" s="62">
        <v>510</v>
      </c>
      <c r="E10" s="65" t="s">
        <v>134</v>
      </c>
      <c r="F10" s="62" t="s">
        <v>121</v>
      </c>
      <c r="G10" s="62">
        <v>304</v>
      </c>
      <c r="H10" s="64">
        <v>0.6</v>
      </c>
      <c r="I10" s="62">
        <v>173</v>
      </c>
      <c r="J10" s="62">
        <v>3.6</v>
      </c>
      <c r="K10" s="62" t="s">
        <v>74</v>
      </c>
      <c r="L10" s="66">
        <v>240</v>
      </c>
      <c r="M10" s="67">
        <v>255</v>
      </c>
      <c r="N10" s="66">
        <f t="shared" si="0"/>
        <v>-15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100925</v>
      </c>
      <c r="AF10" s="62">
        <v>304</v>
      </c>
      <c r="AG10" s="64">
        <v>0.9</v>
      </c>
      <c r="AH10" s="67"/>
      <c r="AI10" s="65" t="s">
        <v>157</v>
      </c>
      <c r="AJ10" s="78"/>
      <c r="AK10" s="66">
        <v>1500</v>
      </c>
      <c r="AL10" s="67"/>
      <c r="AM10" s="66">
        <f t="shared" si="1"/>
        <v>1500</v>
      </c>
    </row>
    <row r="11" spans="1:39" s="76" customFormat="1" ht="100.05" customHeight="1" x14ac:dyDescent="0.3">
      <c r="A11" s="62">
        <v>250043</v>
      </c>
      <c r="B11" s="62">
        <v>304</v>
      </c>
      <c r="C11" s="64"/>
      <c r="D11" s="62">
        <v>510</v>
      </c>
      <c r="E11" s="65" t="s">
        <v>135</v>
      </c>
      <c r="F11" s="62" t="s">
        <v>121</v>
      </c>
      <c r="G11" s="62">
        <v>304</v>
      </c>
      <c r="H11" s="64">
        <v>0.6</v>
      </c>
      <c r="I11" s="62">
        <v>173</v>
      </c>
      <c r="J11" s="62">
        <v>3.6</v>
      </c>
      <c r="K11" s="62" t="s">
        <v>74</v>
      </c>
      <c r="L11" s="66">
        <v>60</v>
      </c>
      <c r="M11" s="67">
        <v>65</v>
      </c>
      <c r="N11" s="66">
        <f t="shared" si="0"/>
        <v>-5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>
        <v>100925</v>
      </c>
      <c r="AF11" s="62">
        <v>304</v>
      </c>
      <c r="AG11" s="64">
        <v>0.9</v>
      </c>
      <c r="AH11" s="67"/>
      <c r="AI11" s="65" t="s">
        <v>166</v>
      </c>
      <c r="AJ11" s="78"/>
      <c r="AK11" s="66">
        <v>1500</v>
      </c>
      <c r="AL11" s="67"/>
      <c r="AM11" s="66">
        <f t="shared" si="1"/>
        <v>1500</v>
      </c>
    </row>
    <row r="12" spans="1:39" s="76" customFormat="1" ht="100.05" customHeight="1" x14ac:dyDescent="0.3">
      <c r="A12" s="62">
        <v>250043</v>
      </c>
      <c r="B12" s="62">
        <v>304</v>
      </c>
      <c r="C12" s="64">
        <v>0.6</v>
      </c>
      <c r="D12" s="62">
        <v>562</v>
      </c>
      <c r="E12" s="86" t="s">
        <v>137</v>
      </c>
      <c r="F12" s="62" t="s">
        <v>121</v>
      </c>
      <c r="G12" s="62">
        <v>304</v>
      </c>
      <c r="H12" s="64">
        <v>0.6</v>
      </c>
      <c r="I12" s="62">
        <v>173</v>
      </c>
      <c r="J12" s="62">
        <v>3.6</v>
      </c>
      <c r="K12" s="62" t="s">
        <v>74</v>
      </c>
      <c r="L12" s="66">
        <v>690</v>
      </c>
      <c r="M12" s="67"/>
      <c r="N12" s="66">
        <f t="shared" si="0"/>
        <v>690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>
        <v>100925</v>
      </c>
      <c r="AF12" s="62">
        <v>304</v>
      </c>
      <c r="AG12" s="64">
        <v>0.9</v>
      </c>
      <c r="AH12" s="67"/>
      <c r="AI12" s="65" t="s">
        <v>158</v>
      </c>
      <c r="AJ12" s="78"/>
      <c r="AK12" s="66">
        <v>600</v>
      </c>
      <c r="AL12" s="67"/>
      <c r="AM12" s="66">
        <f t="shared" si="1"/>
        <v>600</v>
      </c>
    </row>
    <row r="13" spans="1:39" s="76" customFormat="1" ht="99.6" customHeight="1" x14ac:dyDescent="0.3">
      <c r="A13" s="62">
        <v>250043</v>
      </c>
      <c r="B13" s="62">
        <v>304</v>
      </c>
      <c r="C13" s="64"/>
      <c r="D13" s="62">
        <v>562</v>
      </c>
      <c r="E13" s="86" t="s">
        <v>138</v>
      </c>
      <c r="F13" s="62" t="s">
        <v>121</v>
      </c>
      <c r="G13" s="62">
        <v>304</v>
      </c>
      <c r="H13" s="64">
        <v>0.6</v>
      </c>
      <c r="I13" s="62">
        <v>173</v>
      </c>
      <c r="J13" s="62">
        <v>3.6</v>
      </c>
      <c r="K13" s="62" t="s">
        <v>74</v>
      </c>
      <c r="L13" s="66">
        <v>60</v>
      </c>
      <c r="M13" s="67"/>
      <c r="N13" s="66">
        <f t="shared" si="0"/>
        <v>60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>
        <v>100925</v>
      </c>
      <c r="AF13" s="62">
        <v>304</v>
      </c>
      <c r="AG13" s="64">
        <v>0.9</v>
      </c>
      <c r="AH13" s="77"/>
      <c r="AI13" s="65" t="s">
        <v>159</v>
      </c>
      <c r="AJ13" s="78"/>
      <c r="AK13" s="66">
        <v>600</v>
      </c>
      <c r="AL13" s="67"/>
      <c r="AM13" s="66">
        <f t="shared" si="1"/>
        <v>600</v>
      </c>
    </row>
    <row r="14" spans="1:39" s="76" customFormat="1" ht="99.6" customHeight="1" x14ac:dyDescent="0.3">
      <c r="A14" s="62">
        <v>250043</v>
      </c>
      <c r="B14" s="62">
        <v>304</v>
      </c>
      <c r="C14" s="64">
        <v>0.6</v>
      </c>
      <c r="D14" s="62">
        <v>562</v>
      </c>
      <c r="E14" s="86" t="s">
        <v>139</v>
      </c>
      <c r="F14" s="62" t="s">
        <v>121</v>
      </c>
      <c r="G14" s="62">
        <v>304</v>
      </c>
      <c r="H14" s="64">
        <v>0.6</v>
      </c>
      <c r="I14" s="62">
        <v>173</v>
      </c>
      <c r="J14" s="62">
        <v>3.6</v>
      </c>
      <c r="K14" s="62" t="s">
        <v>74</v>
      </c>
      <c r="L14" s="66">
        <v>240</v>
      </c>
      <c r="M14" s="67"/>
      <c r="N14" s="66">
        <f t="shared" si="0"/>
        <v>240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 t="s">
        <v>126</v>
      </c>
      <c r="AF14" s="62">
        <v>304</v>
      </c>
      <c r="AG14" s="64">
        <v>0.9</v>
      </c>
      <c r="AH14" s="77"/>
      <c r="AI14" s="65" t="s">
        <v>160</v>
      </c>
      <c r="AJ14" s="78"/>
      <c r="AK14" s="66">
        <v>1200</v>
      </c>
      <c r="AL14" s="67"/>
      <c r="AM14" s="66">
        <f t="shared" si="1"/>
        <v>1200</v>
      </c>
    </row>
    <row r="15" spans="1:39" s="76" customFormat="1" ht="99.6" customHeight="1" x14ac:dyDescent="0.3">
      <c r="A15" s="62">
        <v>250043</v>
      </c>
      <c r="B15" s="62">
        <v>304</v>
      </c>
      <c r="C15" s="64"/>
      <c r="D15" s="62">
        <v>562</v>
      </c>
      <c r="E15" s="86" t="s">
        <v>140</v>
      </c>
      <c r="F15" s="62" t="s">
        <v>121</v>
      </c>
      <c r="G15" s="62">
        <v>304</v>
      </c>
      <c r="H15" s="64">
        <v>0.6</v>
      </c>
      <c r="I15" s="62">
        <v>173</v>
      </c>
      <c r="J15" s="62">
        <v>3.6</v>
      </c>
      <c r="K15" s="62" t="s">
        <v>74</v>
      </c>
      <c r="L15" s="66">
        <v>60</v>
      </c>
      <c r="M15" s="67"/>
      <c r="N15" s="66">
        <f t="shared" si="0"/>
        <v>60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 t="s">
        <v>126</v>
      </c>
      <c r="AF15" s="62">
        <v>304</v>
      </c>
      <c r="AG15" s="64">
        <v>0.9</v>
      </c>
      <c r="AH15" s="77"/>
      <c r="AI15" s="65" t="s">
        <v>165</v>
      </c>
      <c r="AJ15" s="78"/>
      <c r="AK15" s="66">
        <v>1200</v>
      </c>
      <c r="AL15" s="67"/>
      <c r="AM15" s="66">
        <f t="shared" si="1"/>
        <v>1200</v>
      </c>
    </row>
    <row r="16" spans="1:39" s="76" customFormat="1" ht="100.05" customHeight="1" x14ac:dyDescent="0.3">
      <c r="A16" s="62"/>
      <c r="B16" s="62"/>
      <c r="C16" s="64"/>
      <c r="D16" s="62"/>
      <c r="E16" s="86" t="s">
        <v>136</v>
      </c>
      <c r="F16" s="62"/>
      <c r="G16" s="62"/>
      <c r="H16" s="64"/>
      <c r="I16" s="62"/>
      <c r="J16" s="62"/>
      <c r="K16" s="62"/>
      <c r="L16" s="66"/>
      <c r="M16" s="67"/>
      <c r="N16" s="66">
        <f t="shared" si="0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 t="s">
        <v>126</v>
      </c>
      <c r="AF16" s="62">
        <v>304</v>
      </c>
      <c r="AG16" s="64">
        <v>0.9</v>
      </c>
      <c r="AH16" s="77"/>
      <c r="AI16" s="65" t="s">
        <v>161</v>
      </c>
      <c r="AJ16" s="78"/>
      <c r="AK16" s="66">
        <v>1500</v>
      </c>
      <c r="AL16" s="67"/>
      <c r="AM16" s="66">
        <f t="shared" si="1"/>
        <v>1500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0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 t="s">
        <v>126</v>
      </c>
      <c r="AF17" s="62">
        <v>304</v>
      </c>
      <c r="AG17" s="64">
        <v>0.9</v>
      </c>
      <c r="AH17" s="77"/>
      <c r="AI17" s="65" t="s">
        <v>164</v>
      </c>
      <c r="AJ17" s="78"/>
      <c r="AK17" s="66">
        <v>1500</v>
      </c>
      <c r="AL17" s="67"/>
      <c r="AM17" s="66">
        <f t="shared" si="1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0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 t="s">
        <v>126</v>
      </c>
      <c r="AF18" s="62">
        <v>304</v>
      </c>
      <c r="AG18" s="64">
        <v>0.9</v>
      </c>
      <c r="AH18" s="77"/>
      <c r="AI18" s="65" t="s">
        <v>162</v>
      </c>
      <c r="AJ18" s="78"/>
      <c r="AK18" s="66">
        <v>1500</v>
      </c>
      <c r="AL18" s="67"/>
      <c r="AM18" s="66">
        <f t="shared" si="1"/>
        <v>1500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0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2"/>
        <v>0</v>
      </c>
      <c r="AE19" s="62" t="s">
        <v>126</v>
      </c>
      <c r="AF19" s="62">
        <v>304</v>
      </c>
      <c r="AG19" s="64">
        <v>0.9</v>
      </c>
      <c r="AH19" s="67"/>
      <c r="AI19" s="65" t="s">
        <v>163</v>
      </c>
      <c r="AJ19" s="78"/>
      <c r="AK19" s="66">
        <v>1500</v>
      </c>
      <c r="AL19" s="67"/>
      <c r="AM19" s="66">
        <f t="shared" si="1"/>
        <v>1500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3150</v>
      </c>
      <c r="M20" s="71">
        <f>SUM(M4:M19)</f>
        <v>1860</v>
      </c>
      <c r="N20" s="66">
        <f>SUM(N4:N19)</f>
        <v>1290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4700</v>
      </c>
      <c r="AB20" s="71">
        <f>SUM(AB4:AB19)</f>
        <v>1900</v>
      </c>
      <c r="AC20" s="66">
        <f>SUM(AC4:AC19)</f>
        <v>2800</v>
      </c>
      <c r="AE20" s="62">
        <v>160925</v>
      </c>
      <c r="AF20" s="62">
        <v>304</v>
      </c>
      <c r="AG20" s="64">
        <v>0.9</v>
      </c>
      <c r="AH20" s="67"/>
      <c r="AI20" s="65" t="s">
        <v>167</v>
      </c>
      <c r="AJ20" s="78"/>
      <c r="AK20" s="66">
        <v>1100</v>
      </c>
      <c r="AL20" s="67"/>
      <c r="AM20" s="66">
        <f t="shared" si="1"/>
        <v>1100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>
        <v>160925</v>
      </c>
      <c r="AF21" s="62">
        <v>304</v>
      </c>
      <c r="AG21" s="64">
        <v>0.9</v>
      </c>
      <c r="AH21" s="67"/>
      <c r="AI21" s="65" t="s">
        <v>168</v>
      </c>
      <c r="AJ21" s="78"/>
      <c r="AK21" s="66">
        <v>1100</v>
      </c>
      <c r="AL21" s="67"/>
      <c r="AM21" s="66">
        <f t="shared" si="1"/>
        <v>1100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1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1"/>
        <v>0</v>
      </c>
      <c r="AN23" s="76"/>
    </row>
    <row r="24" spans="1:40" s="76" customFormat="1" ht="100.05" customHeight="1" x14ac:dyDescent="0.3">
      <c r="A24" s="62"/>
      <c r="B24" s="62"/>
      <c r="C24" s="64"/>
      <c r="D24" s="62"/>
      <c r="E24" s="65"/>
      <c r="F24" s="62"/>
      <c r="G24" s="62"/>
      <c r="H24" s="64"/>
      <c r="I24" s="62"/>
      <c r="J24" s="62"/>
      <c r="K24" s="62"/>
      <c r="L24" s="66"/>
      <c r="M24" s="67"/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265</v>
      </c>
      <c r="T24" s="65" t="s">
        <v>143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3100</v>
      </c>
      <c r="AB24" s="67">
        <v>3100</v>
      </c>
      <c r="AC24" s="66">
        <f t="shared" ref="AC24:AC27" si="3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1"/>
        <v>0</v>
      </c>
    </row>
    <row r="25" spans="1:40" s="76" customFormat="1" ht="100.05" customHeight="1" x14ac:dyDescent="0.3">
      <c r="A25" s="62"/>
      <c r="B25" s="62"/>
      <c r="C25" s="64"/>
      <c r="D25" s="62"/>
      <c r="E25" s="65"/>
      <c r="F25" s="62"/>
      <c r="G25" s="62"/>
      <c r="H25" s="64"/>
      <c r="I25" s="62"/>
      <c r="J25" s="62"/>
      <c r="K25" s="62"/>
      <c r="L25" s="66"/>
      <c r="M25" s="67"/>
      <c r="N25" s="66">
        <f>L25-M25</f>
        <v>0</v>
      </c>
      <c r="P25" s="62">
        <v>10925</v>
      </c>
      <c r="Q25" s="62">
        <v>430</v>
      </c>
      <c r="R25" s="64">
        <v>0.8</v>
      </c>
      <c r="S25" s="62">
        <v>365</v>
      </c>
      <c r="T25" s="65" t="s">
        <v>144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3300</v>
      </c>
      <c r="AB25" s="67"/>
      <c r="AC25" s="66">
        <f t="shared" si="3"/>
        <v>3300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1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 t="shared" ref="N26:N28" si="4">L26-M26</f>
        <v>0</v>
      </c>
      <c r="P26" s="62" t="s">
        <v>145</v>
      </c>
      <c r="Q26" s="62">
        <v>304</v>
      </c>
      <c r="R26" s="64">
        <v>0.9</v>
      </c>
      <c r="S26" s="62">
        <v>300</v>
      </c>
      <c r="T26" s="65" t="s">
        <v>146</v>
      </c>
      <c r="U26" s="62" t="s">
        <v>24</v>
      </c>
      <c r="V26" s="62" t="s">
        <v>24</v>
      </c>
      <c r="W26" s="64" t="s">
        <v>24</v>
      </c>
      <c r="X26" s="62" t="s">
        <v>24</v>
      </c>
      <c r="Y26" s="62" t="s">
        <v>24</v>
      </c>
      <c r="Z26" s="62" t="s">
        <v>24</v>
      </c>
      <c r="AA26" s="66">
        <v>3200</v>
      </c>
      <c r="AB26" s="67"/>
      <c r="AC26" s="66">
        <f t="shared" si="3"/>
        <v>3200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1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 t="shared" si="4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1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4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SUM(AA24:AA27)</f>
        <v>9600</v>
      </c>
      <c r="AB28" s="71">
        <f>SUM(AB24:AB27)</f>
        <v>3100</v>
      </c>
      <c r="AC28" s="66">
        <f>SUM(AC24:AC27)</f>
        <v>6500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1"/>
        <v>0</v>
      </c>
      <c r="AN28" s="75"/>
    </row>
    <row r="29" spans="1:40" s="76" customFormat="1" ht="100.05" customHeight="1" x14ac:dyDescent="0.3">
      <c r="A29" s="68"/>
      <c r="B29" s="6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SUM(L24:L28)</f>
        <v>0</v>
      </c>
      <c r="M29" s="71">
        <f>SUM(M24:M28)</f>
        <v>0</v>
      </c>
      <c r="N29" s="66">
        <f>SUM(N24:N28)</f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30200</v>
      </c>
      <c r="AL29" s="71">
        <f>SUM(AL4:AL28)</f>
        <v>5200</v>
      </c>
      <c r="AM29" s="66">
        <f>SUM(AM4:AM28)</f>
        <v>25000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6" orientation="landscape" horizontalDpi="1200" verticalDpi="1200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topLeftCell="Y1" zoomScale="25" zoomScaleNormal="25" workbookViewId="0">
      <selection activeCell="AL4" sqref="AL4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31.33203125" style="2" bestFit="1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45926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45926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250043</v>
      </c>
      <c r="B4" s="62">
        <v>304</v>
      </c>
      <c r="C4" s="64"/>
      <c r="D4" s="62">
        <v>543</v>
      </c>
      <c r="E4" s="65" t="s">
        <v>129</v>
      </c>
      <c r="F4" s="62" t="s">
        <v>121</v>
      </c>
      <c r="G4" s="62">
        <v>304</v>
      </c>
      <c r="H4" s="64">
        <v>0.6</v>
      </c>
      <c r="I4" s="62">
        <v>173</v>
      </c>
      <c r="J4" s="62">
        <v>3.6</v>
      </c>
      <c r="K4" s="62" t="s">
        <v>74</v>
      </c>
      <c r="L4" s="66">
        <v>60</v>
      </c>
      <c r="M4" s="67">
        <v>60</v>
      </c>
      <c r="N4" s="66">
        <f t="shared" ref="N4:N19" si="0">L4-M4</f>
        <v>0</v>
      </c>
      <c r="P4" s="62">
        <v>100925</v>
      </c>
      <c r="Q4" s="62">
        <v>304</v>
      </c>
      <c r="R4" s="64">
        <v>0.9</v>
      </c>
      <c r="S4" s="87">
        <v>395</v>
      </c>
      <c r="T4" s="65" t="s">
        <v>149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</v>
      </c>
      <c r="AB4" s="67">
        <f>350+400</f>
        <v>750</v>
      </c>
      <c r="AC4" s="66">
        <f>AA4-AB4</f>
        <v>-150</v>
      </c>
      <c r="AE4" s="62">
        <v>10925</v>
      </c>
      <c r="AF4" s="62">
        <v>304</v>
      </c>
      <c r="AG4" s="64">
        <v>0.6</v>
      </c>
      <c r="AH4" s="77">
        <v>160</v>
      </c>
      <c r="AI4" s="65" t="s">
        <v>153</v>
      </c>
      <c r="AJ4" s="78" t="s">
        <v>119</v>
      </c>
      <c r="AK4" s="66">
        <v>3200</v>
      </c>
      <c r="AL4" s="67">
        <f>2850+400</f>
        <v>3250</v>
      </c>
      <c r="AM4" s="66">
        <f t="shared" ref="AM4:AM28" si="1">AK4-AL4</f>
        <v>-50</v>
      </c>
    </row>
    <row r="5" spans="1:39" s="76" customFormat="1" ht="100.05" customHeight="1" x14ac:dyDescent="0.3">
      <c r="A5" s="62">
        <v>250043</v>
      </c>
      <c r="B5" s="62">
        <v>304</v>
      </c>
      <c r="C5" s="64">
        <v>0.6</v>
      </c>
      <c r="D5" s="62">
        <v>543</v>
      </c>
      <c r="E5" s="65" t="s">
        <v>130</v>
      </c>
      <c r="F5" s="62" t="s">
        <v>121</v>
      </c>
      <c r="G5" s="62">
        <v>304</v>
      </c>
      <c r="H5" s="64">
        <v>0.6</v>
      </c>
      <c r="I5" s="62">
        <v>173</v>
      </c>
      <c r="J5" s="62">
        <v>3.6</v>
      </c>
      <c r="K5" s="62" t="s">
        <v>74</v>
      </c>
      <c r="L5" s="66">
        <v>240</v>
      </c>
      <c r="M5" s="67">
        <f>85+340</f>
        <v>425</v>
      </c>
      <c r="N5" s="66">
        <f t="shared" si="0"/>
        <v>-185</v>
      </c>
      <c r="P5" s="62" t="s">
        <v>126</v>
      </c>
      <c r="Q5" s="62">
        <v>304</v>
      </c>
      <c r="R5" s="64">
        <v>0.9</v>
      </c>
      <c r="S5" s="62">
        <v>402</v>
      </c>
      <c r="T5" s="65" t="s">
        <v>142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1500</v>
      </c>
      <c r="AB5" s="67">
        <f>1150+400</f>
        <v>1550</v>
      </c>
      <c r="AC5" s="66">
        <f t="shared" ref="AC5:AC19" si="2">AA5-AB5</f>
        <v>-50</v>
      </c>
      <c r="AE5" s="62">
        <v>10925</v>
      </c>
      <c r="AF5" s="62">
        <v>430</v>
      </c>
      <c r="AG5" s="64">
        <v>0.6</v>
      </c>
      <c r="AH5" s="77">
        <v>160</v>
      </c>
      <c r="AI5" s="65" t="s">
        <v>105</v>
      </c>
      <c r="AJ5" s="78" t="s">
        <v>119</v>
      </c>
      <c r="AK5" s="66">
        <v>3300</v>
      </c>
      <c r="AL5" s="67"/>
      <c r="AM5" s="66">
        <f t="shared" si="1"/>
        <v>3300</v>
      </c>
    </row>
    <row r="6" spans="1:39" s="76" customFormat="1" ht="100.05" customHeight="1" x14ac:dyDescent="0.3">
      <c r="A6" s="62">
        <v>250043</v>
      </c>
      <c r="B6" s="62">
        <v>304</v>
      </c>
      <c r="C6" s="64"/>
      <c r="D6" s="62">
        <v>543</v>
      </c>
      <c r="E6" s="65" t="s">
        <v>128</v>
      </c>
      <c r="F6" s="62" t="s">
        <v>121</v>
      </c>
      <c r="G6" s="62">
        <v>304</v>
      </c>
      <c r="H6" s="64">
        <v>0.6</v>
      </c>
      <c r="I6" s="62">
        <v>173</v>
      </c>
      <c r="J6" s="62">
        <v>3.6</v>
      </c>
      <c r="K6" s="62" t="s">
        <v>74</v>
      </c>
      <c r="L6" s="66">
        <v>60</v>
      </c>
      <c r="M6" s="67">
        <v>60</v>
      </c>
      <c r="N6" s="66">
        <f t="shared" si="0"/>
        <v>0</v>
      </c>
      <c r="P6" s="62">
        <v>160925</v>
      </c>
      <c r="Q6" s="62">
        <v>304</v>
      </c>
      <c r="R6" s="64">
        <v>0.9</v>
      </c>
      <c r="S6" s="62"/>
      <c r="T6" s="65" t="s">
        <v>150</v>
      </c>
      <c r="U6" s="62" t="s">
        <v>42</v>
      </c>
      <c r="V6" s="62" t="s">
        <v>24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1100</v>
      </c>
      <c r="AB6" s="67"/>
      <c r="AC6" s="66">
        <f t="shared" si="2"/>
        <v>1100</v>
      </c>
      <c r="AE6" s="62" t="s">
        <v>89</v>
      </c>
      <c r="AF6" s="62">
        <v>304</v>
      </c>
      <c r="AG6" s="64">
        <v>0.6</v>
      </c>
      <c r="AH6" s="77">
        <v>160</v>
      </c>
      <c r="AI6" s="65" t="s">
        <v>154</v>
      </c>
      <c r="AJ6" s="78" t="s">
        <v>119</v>
      </c>
      <c r="AK6" s="66">
        <v>3200</v>
      </c>
      <c r="AL6" s="67"/>
      <c r="AM6" s="66">
        <f t="shared" si="1"/>
        <v>3200</v>
      </c>
    </row>
    <row r="7" spans="1:39" s="76" customFormat="1" ht="100.05" customHeight="1" x14ac:dyDescent="0.3">
      <c r="A7" s="62">
        <v>250043</v>
      </c>
      <c r="B7" s="62">
        <v>304</v>
      </c>
      <c r="C7" s="64">
        <v>0.6</v>
      </c>
      <c r="D7" s="62">
        <v>562</v>
      </c>
      <c r="E7" s="86" t="s">
        <v>137</v>
      </c>
      <c r="F7" s="62" t="s">
        <v>121</v>
      </c>
      <c r="G7" s="62">
        <v>304</v>
      </c>
      <c r="H7" s="64">
        <v>0.6</v>
      </c>
      <c r="I7" s="62">
        <v>173</v>
      </c>
      <c r="J7" s="62">
        <v>3.6</v>
      </c>
      <c r="K7" s="62" t="s">
        <v>74</v>
      </c>
      <c r="L7" s="66">
        <v>690</v>
      </c>
      <c r="M7" s="67">
        <v>500</v>
      </c>
      <c r="N7" s="66">
        <f t="shared" si="0"/>
        <v>190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100925</v>
      </c>
      <c r="AF7" s="62">
        <v>304</v>
      </c>
      <c r="AG7" s="64">
        <v>0.9</v>
      </c>
      <c r="AH7" s="67"/>
      <c r="AI7" s="65" t="s">
        <v>155</v>
      </c>
      <c r="AJ7" s="78"/>
      <c r="AK7" s="66">
        <v>1200</v>
      </c>
      <c r="AL7" s="67"/>
      <c r="AM7" s="66">
        <f t="shared" si="1"/>
        <v>1200</v>
      </c>
    </row>
    <row r="8" spans="1:39" s="76" customFormat="1" ht="100.05" customHeight="1" x14ac:dyDescent="0.3">
      <c r="A8" s="62">
        <v>250043</v>
      </c>
      <c r="B8" s="62">
        <v>304</v>
      </c>
      <c r="C8" s="64"/>
      <c r="D8" s="62">
        <v>562</v>
      </c>
      <c r="E8" s="86" t="s">
        <v>138</v>
      </c>
      <c r="F8" s="62" t="s">
        <v>121</v>
      </c>
      <c r="G8" s="62">
        <v>304</v>
      </c>
      <c r="H8" s="64">
        <v>0.6</v>
      </c>
      <c r="I8" s="62">
        <v>173</v>
      </c>
      <c r="J8" s="62">
        <v>3.6</v>
      </c>
      <c r="K8" s="62" t="s">
        <v>74</v>
      </c>
      <c r="L8" s="66">
        <v>60</v>
      </c>
      <c r="M8" s="67"/>
      <c r="N8" s="66">
        <f t="shared" si="0"/>
        <v>60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100925</v>
      </c>
      <c r="AF8" s="62">
        <v>304</v>
      </c>
      <c r="AG8" s="64">
        <v>0.9</v>
      </c>
      <c r="AH8" s="67"/>
      <c r="AI8" s="65" t="s">
        <v>156</v>
      </c>
      <c r="AJ8" s="78"/>
      <c r="AK8" s="66">
        <v>1200</v>
      </c>
      <c r="AL8" s="67"/>
      <c r="AM8" s="66">
        <f t="shared" si="1"/>
        <v>1200</v>
      </c>
    </row>
    <row r="9" spans="1:39" s="76" customFormat="1" ht="100.05" customHeight="1" x14ac:dyDescent="0.3">
      <c r="A9" s="62">
        <v>250043</v>
      </c>
      <c r="B9" s="62">
        <v>304</v>
      </c>
      <c r="C9" s="64">
        <v>0.6</v>
      </c>
      <c r="D9" s="62">
        <v>562</v>
      </c>
      <c r="E9" s="86" t="s">
        <v>139</v>
      </c>
      <c r="F9" s="62" t="s">
        <v>121</v>
      </c>
      <c r="G9" s="62">
        <v>304</v>
      </c>
      <c r="H9" s="64">
        <v>0.6</v>
      </c>
      <c r="I9" s="62">
        <v>173</v>
      </c>
      <c r="J9" s="62">
        <v>3.6</v>
      </c>
      <c r="K9" s="62" t="s">
        <v>74</v>
      </c>
      <c r="L9" s="66">
        <v>240</v>
      </c>
      <c r="M9" s="67"/>
      <c r="N9" s="66">
        <f t="shared" si="0"/>
        <v>240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>
        <v>100925</v>
      </c>
      <c r="AF9" s="62">
        <v>304</v>
      </c>
      <c r="AG9" s="64">
        <v>0.9</v>
      </c>
      <c r="AH9" s="67"/>
      <c r="AI9" s="65" t="s">
        <v>157</v>
      </c>
      <c r="AJ9" s="78"/>
      <c r="AK9" s="66">
        <v>1500</v>
      </c>
      <c r="AL9" s="67"/>
      <c r="AM9" s="66">
        <f t="shared" si="1"/>
        <v>1500</v>
      </c>
    </row>
    <row r="10" spans="1:39" s="76" customFormat="1" ht="100.05" customHeight="1" x14ac:dyDescent="0.3">
      <c r="A10" s="62">
        <v>250043</v>
      </c>
      <c r="B10" s="62">
        <v>304</v>
      </c>
      <c r="C10" s="64"/>
      <c r="D10" s="62">
        <v>562</v>
      </c>
      <c r="E10" s="86" t="s">
        <v>140</v>
      </c>
      <c r="F10" s="62" t="s">
        <v>121</v>
      </c>
      <c r="G10" s="62">
        <v>304</v>
      </c>
      <c r="H10" s="64">
        <v>0.6</v>
      </c>
      <c r="I10" s="62">
        <v>173</v>
      </c>
      <c r="J10" s="62">
        <v>3.6</v>
      </c>
      <c r="K10" s="62" t="s">
        <v>74</v>
      </c>
      <c r="L10" s="66">
        <v>60</v>
      </c>
      <c r="M10" s="67"/>
      <c r="N10" s="66">
        <f t="shared" si="0"/>
        <v>60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100925</v>
      </c>
      <c r="AF10" s="62">
        <v>304</v>
      </c>
      <c r="AG10" s="64">
        <v>0.9</v>
      </c>
      <c r="AH10" s="67"/>
      <c r="AI10" s="65" t="s">
        <v>166</v>
      </c>
      <c r="AJ10" s="78"/>
      <c r="AK10" s="66">
        <v>1500</v>
      </c>
      <c r="AL10" s="67"/>
      <c r="AM10" s="66">
        <f t="shared" si="1"/>
        <v>1500</v>
      </c>
    </row>
    <row r="11" spans="1:39" s="76" customFormat="1" ht="100.05" customHeight="1" x14ac:dyDescent="0.3">
      <c r="A11" s="62"/>
      <c r="B11" s="62"/>
      <c r="C11" s="64"/>
      <c r="D11" s="62"/>
      <c r="E11" s="86" t="s">
        <v>136</v>
      </c>
      <c r="F11" s="62"/>
      <c r="G11" s="62"/>
      <c r="H11" s="64"/>
      <c r="I11" s="62"/>
      <c r="J11" s="62"/>
      <c r="K11" s="62"/>
      <c r="L11" s="66"/>
      <c r="M11" s="67"/>
      <c r="N11" s="66">
        <f t="shared" si="0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>
        <v>100925</v>
      </c>
      <c r="AF11" s="62">
        <v>304</v>
      </c>
      <c r="AG11" s="64">
        <v>0.9</v>
      </c>
      <c r="AH11" s="67"/>
      <c r="AI11" s="65" t="s">
        <v>158</v>
      </c>
      <c r="AJ11" s="78"/>
      <c r="AK11" s="66">
        <v>600</v>
      </c>
      <c r="AL11" s="67"/>
      <c r="AM11" s="66">
        <f t="shared" si="1"/>
        <v>600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0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>
        <v>100925</v>
      </c>
      <c r="AF12" s="62">
        <v>304</v>
      </c>
      <c r="AG12" s="64">
        <v>0.9</v>
      </c>
      <c r="AH12" s="77"/>
      <c r="AI12" s="65" t="s">
        <v>159</v>
      </c>
      <c r="AJ12" s="78"/>
      <c r="AK12" s="66">
        <v>600</v>
      </c>
      <c r="AL12" s="67"/>
      <c r="AM12" s="66">
        <f t="shared" si="1"/>
        <v>600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0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 t="s">
        <v>126</v>
      </c>
      <c r="AF13" s="62">
        <v>304</v>
      </c>
      <c r="AG13" s="64">
        <v>0.9</v>
      </c>
      <c r="AH13" s="77"/>
      <c r="AI13" s="65" t="s">
        <v>160</v>
      </c>
      <c r="AJ13" s="78"/>
      <c r="AK13" s="66">
        <v>1200</v>
      </c>
      <c r="AL13" s="67"/>
      <c r="AM13" s="66">
        <f t="shared" si="1"/>
        <v>1200</v>
      </c>
    </row>
    <row r="14" spans="1:39" s="76" customFormat="1" ht="99.6" customHeight="1" x14ac:dyDescent="0.3">
      <c r="A14" s="62">
        <v>250066</v>
      </c>
      <c r="B14" s="62">
        <v>430</v>
      </c>
      <c r="C14" s="64">
        <v>0.5</v>
      </c>
      <c r="D14" s="62">
        <v>323</v>
      </c>
      <c r="E14" s="86" t="s">
        <v>64</v>
      </c>
      <c r="F14" s="62" t="s">
        <v>181</v>
      </c>
      <c r="G14" s="62">
        <v>430</v>
      </c>
      <c r="H14" s="64">
        <v>0.5</v>
      </c>
      <c r="I14" s="62"/>
      <c r="J14" s="62"/>
      <c r="K14" s="62"/>
      <c r="L14" s="66">
        <v>80</v>
      </c>
      <c r="M14" s="67">
        <v>85</v>
      </c>
      <c r="N14" s="66">
        <f t="shared" si="0"/>
        <v>-5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 t="s">
        <v>126</v>
      </c>
      <c r="AF14" s="62">
        <v>304</v>
      </c>
      <c r="AG14" s="64">
        <v>0.9</v>
      </c>
      <c r="AH14" s="77"/>
      <c r="AI14" s="65" t="s">
        <v>165</v>
      </c>
      <c r="AJ14" s="78"/>
      <c r="AK14" s="66">
        <v>1200</v>
      </c>
      <c r="AL14" s="67"/>
      <c r="AM14" s="66">
        <f t="shared" si="1"/>
        <v>1200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0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 t="s">
        <v>126</v>
      </c>
      <c r="AF15" s="62">
        <v>304</v>
      </c>
      <c r="AG15" s="64">
        <v>0.9</v>
      </c>
      <c r="AH15" s="77"/>
      <c r="AI15" s="65" t="s">
        <v>161</v>
      </c>
      <c r="AJ15" s="78"/>
      <c r="AK15" s="66">
        <v>1500</v>
      </c>
      <c r="AL15" s="67"/>
      <c r="AM15" s="66">
        <f t="shared" si="1"/>
        <v>1500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0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 t="s">
        <v>126</v>
      </c>
      <c r="AF16" s="62">
        <v>304</v>
      </c>
      <c r="AG16" s="64">
        <v>0.9</v>
      </c>
      <c r="AH16" s="77"/>
      <c r="AI16" s="65" t="s">
        <v>164</v>
      </c>
      <c r="AJ16" s="78"/>
      <c r="AK16" s="66">
        <v>1500</v>
      </c>
      <c r="AL16" s="67"/>
      <c r="AM16" s="66">
        <f t="shared" si="1"/>
        <v>1500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0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 t="s">
        <v>126</v>
      </c>
      <c r="AF17" s="62">
        <v>304</v>
      </c>
      <c r="AG17" s="64">
        <v>0.9</v>
      </c>
      <c r="AH17" s="77"/>
      <c r="AI17" s="65" t="s">
        <v>162</v>
      </c>
      <c r="AJ17" s="78"/>
      <c r="AK17" s="66">
        <v>1500</v>
      </c>
      <c r="AL17" s="67"/>
      <c r="AM17" s="66">
        <f t="shared" si="1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0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 t="s">
        <v>126</v>
      </c>
      <c r="AF18" s="62">
        <v>304</v>
      </c>
      <c r="AG18" s="64">
        <v>0.9</v>
      </c>
      <c r="AH18" s="67"/>
      <c r="AI18" s="65" t="s">
        <v>163</v>
      </c>
      <c r="AJ18" s="78"/>
      <c r="AK18" s="66">
        <v>1500</v>
      </c>
      <c r="AL18" s="67"/>
      <c r="AM18" s="66">
        <f t="shared" si="1"/>
        <v>1500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0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2"/>
        <v>0</v>
      </c>
      <c r="AE19" s="62">
        <v>160925</v>
      </c>
      <c r="AF19" s="62">
        <v>304</v>
      </c>
      <c r="AG19" s="64">
        <v>0.9</v>
      </c>
      <c r="AH19" s="67"/>
      <c r="AI19" s="65" t="s">
        <v>167</v>
      </c>
      <c r="AJ19" s="78"/>
      <c r="AK19" s="66">
        <v>1100</v>
      </c>
      <c r="AL19" s="67"/>
      <c r="AM19" s="66">
        <f t="shared" si="1"/>
        <v>1100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1490</v>
      </c>
      <c r="M20" s="71">
        <f>SUM(M4:M19)</f>
        <v>1130</v>
      </c>
      <c r="N20" s="66">
        <f>SUM(N4:N19)</f>
        <v>360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3200</v>
      </c>
      <c r="AB20" s="71">
        <f>SUM(AB4:AB19)</f>
        <v>2300</v>
      </c>
      <c r="AC20" s="66">
        <f>SUM(AC4:AC19)</f>
        <v>900</v>
      </c>
      <c r="AE20" s="62">
        <v>160925</v>
      </c>
      <c r="AF20" s="62">
        <v>304</v>
      </c>
      <c r="AG20" s="64">
        <v>0.9</v>
      </c>
      <c r="AH20" s="67"/>
      <c r="AI20" s="65" t="s">
        <v>168</v>
      </c>
      <c r="AJ20" s="78"/>
      <c r="AK20" s="66">
        <v>1100</v>
      </c>
      <c r="AL20" s="67"/>
      <c r="AM20" s="66">
        <f t="shared" si="1"/>
        <v>1100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 t="s">
        <v>182</v>
      </c>
      <c r="AF21" s="62" t="s">
        <v>24</v>
      </c>
      <c r="AG21" s="64" t="s">
        <v>24</v>
      </c>
      <c r="AH21" s="67" t="s">
        <v>24</v>
      </c>
      <c r="AI21" s="65" t="s">
        <v>183</v>
      </c>
      <c r="AJ21" s="78"/>
      <c r="AK21" s="66">
        <v>900</v>
      </c>
      <c r="AL21" s="67">
        <v>900</v>
      </c>
      <c r="AM21" s="66">
        <f t="shared" si="1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1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1"/>
        <v>0</v>
      </c>
      <c r="AN23" s="76"/>
    </row>
    <row r="24" spans="1:40" s="76" customFormat="1" ht="100.05" customHeight="1" x14ac:dyDescent="0.3">
      <c r="A24" s="62"/>
      <c r="B24" s="62"/>
      <c r="C24" s="64"/>
      <c r="D24" s="62"/>
      <c r="E24" s="65"/>
      <c r="F24" s="62"/>
      <c r="G24" s="62"/>
      <c r="H24" s="64"/>
      <c r="I24" s="62"/>
      <c r="J24" s="62"/>
      <c r="K24" s="62"/>
      <c r="L24" s="66"/>
      <c r="M24" s="67"/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365</v>
      </c>
      <c r="T24" s="65" t="s">
        <v>144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3300</v>
      </c>
      <c r="AB24" s="67"/>
      <c r="AC24" s="66">
        <f t="shared" ref="AC24:AC27" si="3">AA24-AB24</f>
        <v>3300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1"/>
        <v>0</v>
      </c>
    </row>
    <row r="25" spans="1:40" s="76" customFormat="1" ht="100.05" customHeight="1" x14ac:dyDescent="0.3">
      <c r="A25" s="62"/>
      <c r="B25" s="62"/>
      <c r="C25" s="64"/>
      <c r="D25" s="62"/>
      <c r="E25" s="65"/>
      <c r="F25" s="62"/>
      <c r="G25" s="62"/>
      <c r="H25" s="64"/>
      <c r="I25" s="62"/>
      <c r="J25" s="62"/>
      <c r="K25" s="62"/>
      <c r="L25" s="66"/>
      <c r="M25" s="67"/>
      <c r="N25" s="66">
        <f>L25-M25</f>
        <v>0</v>
      </c>
      <c r="P25" s="62" t="s">
        <v>145</v>
      </c>
      <c r="Q25" s="62">
        <v>304</v>
      </c>
      <c r="R25" s="64">
        <v>0.9</v>
      </c>
      <c r="S25" s="62">
        <v>300</v>
      </c>
      <c r="T25" s="65" t="s">
        <v>146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3200</v>
      </c>
      <c r="AB25" s="67"/>
      <c r="AC25" s="66">
        <f t="shared" si="3"/>
        <v>3200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1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 t="shared" ref="N26:N28" si="4">L26-M26</f>
        <v>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1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 t="shared" si="4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1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4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SUM(AA24:AA27)</f>
        <v>6500</v>
      </c>
      <c r="AB28" s="71">
        <f>SUM(AB24:AB27)</f>
        <v>0</v>
      </c>
      <c r="AC28" s="66">
        <f>SUM(AC24:AC27)</f>
        <v>6500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1"/>
        <v>0</v>
      </c>
      <c r="AN28" s="75"/>
    </row>
    <row r="29" spans="1:40" s="76" customFormat="1" ht="100.05" customHeight="1" x14ac:dyDescent="0.3">
      <c r="A29" s="68"/>
      <c r="B29" s="6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SUM(L24:L28)</f>
        <v>0</v>
      </c>
      <c r="M29" s="71">
        <f>SUM(M24:M28)</f>
        <v>0</v>
      </c>
      <c r="N29" s="66">
        <f>SUM(N24:N28)</f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27800</v>
      </c>
      <c r="AL29" s="71">
        <f>SUM(AL4:AL28)</f>
        <v>4150</v>
      </c>
      <c r="AM29" s="66">
        <f>SUM(AM4:AM28)</f>
        <v>23650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6" orientation="landscape" horizontalDpi="1200" verticalDpi="12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zoomScale="25" zoomScaleNormal="25" workbookViewId="0">
      <selection activeCell="AJ10" sqref="AJ10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45926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45926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250043</v>
      </c>
      <c r="B4" s="62">
        <v>304</v>
      </c>
      <c r="C4" s="64">
        <v>0.6</v>
      </c>
      <c r="D4" s="62">
        <v>562</v>
      </c>
      <c r="E4" s="86" t="s">
        <v>137</v>
      </c>
      <c r="F4" s="62" t="s">
        <v>121</v>
      </c>
      <c r="G4" s="62">
        <v>304</v>
      </c>
      <c r="H4" s="64">
        <v>0.6</v>
      </c>
      <c r="I4" s="62">
        <v>173</v>
      </c>
      <c r="J4" s="62">
        <v>3.6</v>
      </c>
      <c r="K4" s="62" t="s">
        <v>74</v>
      </c>
      <c r="L4" s="66">
        <v>690</v>
      </c>
      <c r="M4" s="67">
        <f>500+190</f>
        <v>690</v>
      </c>
      <c r="N4" s="66">
        <f t="shared" ref="N4:N19" si="0">L4-M4</f>
        <v>0</v>
      </c>
      <c r="P4" s="62">
        <v>160925</v>
      </c>
      <c r="Q4" s="62">
        <v>304</v>
      </c>
      <c r="R4" s="64">
        <v>0.9</v>
      </c>
      <c r="S4" s="62"/>
      <c r="T4" s="65" t="s">
        <v>150</v>
      </c>
      <c r="U4" s="62" t="s">
        <v>42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1100</v>
      </c>
      <c r="AB4" s="67"/>
      <c r="AC4" s="66">
        <f>AA4-AB4</f>
        <v>1100</v>
      </c>
      <c r="AE4" s="62">
        <v>10925</v>
      </c>
      <c r="AF4" s="62">
        <v>430</v>
      </c>
      <c r="AG4" s="64">
        <v>0.6</v>
      </c>
      <c r="AH4" s="77">
        <v>160</v>
      </c>
      <c r="AI4" s="65" t="s">
        <v>105</v>
      </c>
      <c r="AJ4" s="78" t="s">
        <v>119</v>
      </c>
      <c r="AK4" s="66">
        <v>3300</v>
      </c>
      <c r="AL4" s="67"/>
      <c r="AM4" s="66">
        <f t="shared" ref="AM4:AM28" si="1">AK4-AL4</f>
        <v>3300</v>
      </c>
    </row>
    <row r="5" spans="1:39" s="76" customFormat="1" ht="100.05" customHeight="1" x14ac:dyDescent="0.3">
      <c r="A5" s="62">
        <v>250043</v>
      </c>
      <c r="B5" s="62">
        <v>304</v>
      </c>
      <c r="C5" s="64"/>
      <c r="D5" s="62">
        <v>562</v>
      </c>
      <c r="E5" s="86" t="s">
        <v>138</v>
      </c>
      <c r="F5" s="62" t="s">
        <v>121</v>
      </c>
      <c r="G5" s="62">
        <v>304</v>
      </c>
      <c r="H5" s="64">
        <v>0.6</v>
      </c>
      <c r="I5" s="62">
        <v>173</v>
      </c>
      <c r="J5" s="62">
        <v>3.6</v>
      </c>
      <c r="K5" s="62" t="s">
        <v>74</v>
      </c>
      <c r="L5" s="66">
        <v>60</v>
      </c>
      <c r="M5" s="67">
        <v>60</v>
      </c>
      <c r="N5" s="66">
        <f t="shared" si="0"/>
        <v>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 t="shared" ref="AC5:AC19" si="2">AA5-AB5</f>
        <v>0</v>
      </c>
      <c r="AE5" s="62" t="s">
        <v>89</v>
      </c>
      <c r="AF5" s="62">
        <v>304</v>
      </c>
      <c r="AG5" s="64">
        <v>0.6</v>
      </c>
      <c r="AH5" s="77">
        <v>160</v>
      </c>
      <c r="AI5" s="65" t="s">
        <v>154</v>
      </c>
      <c r="AJ5" s="78" t="s">
        <v>119</v>
      </c>
      <c r="AK5" s="66">
        <v>3200</v>
      </c>
      <c r="AL5" s="67"/>
      <c r="AM5" s="66">
        <f t="shared" si="1"/>
        <v>3200</v>
      </c>
    </row>
    <row r="6" spans="1:39" s="76" customFormat="1" ht="100.05" customHeight="1" x14ac:dyDescent="0.3">
      <c r="A6" s="62">
        <v>250043</v>
      </c>
      <c r="B6" s="62">
        <v>304</v>
      </c>
      <c r="C6" s="64">
        <v>0.6</v>
      </c>
      <c r="D6" s="62">
        <v>562</v>
      </c>
      <c r="E6" s="86" t="s">
        <v>139</v>
      </c>
      <c r="F6" s="62" t="s">
        <v>121</v>
      </c>
      <c r="G6" s="62">
        <v>304</v>
      </c>
      <c r="H6" s="64">
        <v>0.6</v>
      </c>
      <c r="I6" s="62">
        <v>173</v>
      </c>
      <c r="J6" s="62">
        <v>3.6</v>
      </c>
      <c r="K6" s="62" t="s">
        <v>74</v>
      </c>
      <c r="L6" s="66">
        <v>240</v>
      </c>
      <c r="M6" s="67">
        <v>240</v>
      </c>
      <c r="N6" s="66">
        <f t="shared" si="0"/>
        <v>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2"/>
        <v>0</v>
      </c>
      <c r="AE6" s="62">
        <v>100925</v>
      </c>
      <c r="AF6" s="62">
        <v>304</v>
      </c>
      <c r="AG6" s="64">
        <v>0.9</v>
      </c>
      <c r="AH6" s="67"/>
      <c r="AI6" s="65" t="s">
        <v>155</v>
      </c>
      <c r="AJ6" s="78"/>
      <c r="AK6" s="66">
        <v>1200</v>
      </c>
      <c r="AL6" s="67"/>
      <c r="AM6" s="66">
        <f t="shared" si="1"/>
        <v>1200</v>
      </c>
    </row>
    <row r="7" spans="1:39" s="76" customFormat="1" ht="100.05" customHeight="1" x14ac:dyDescent="0.3">
      <c r="A7" s="62">
        <v>250043</v>
      </c>
      <c r="B7" s="62">
        <v>304</v>
      </c>
      <c r="C7" s="64"/>
      <c r="D7" s="62">
        <v>562</v>
      </c>
      <c r="E7" s="86" t="s">
        <v>140</v>
      </c>
      <c r="F7" s="62" t="s">
        <v>121</v>
      </c>
      <c r="G7" s="62">
        <v>304</v>
      </c>
      <c r="H7" s="64">
        <v>0.6</v>
      </c>
      <c r="I7" s="62">
        <v>173</v>
      </c>
      <c r="J7" s="62">
        <v>3.6</v>
      </c>
      <c r="K7" s="62" t="s">
        <v>74</v>
      </c>
      <c r="L7" s="66">
        <v>60</v>
      </c>
      <c r="M7" s="67">
        <v>60</v>
      </c>
      <c r="N7" s="66">
        <f t="shared" si="0"/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100925</v>
      </c>
      <c r="AF7" s="62">
        <v>304</v>
      </c>
      <c r="AG7" s="64">
        <v>0.9</v>
      </c>
      <c r="AH7" s="67"/>
      <c r="AI7" s="65" t="s">
        <v>156</v>
      </c>
      <c r="AJ7" s="78"/>
      <c r="AK7" s="66">
        <v>1200</v>
      </c>
      <c r="AL7" s="67"/>
      <c r="AM7" s="66">
        <f t="shared" si="1"/>
        <v>1200</v>
      </c>
    </row>
    <row r="8" spans="1:39" s="76" customFormat="1" ht="100.05" customHeight="1" x14ac:dyDescent="0.3">
      <c r="A8" s="62"/>
      <c r="B8" s="62"/>
      <c r="C8" s="64"/>
      <c r="D8" s="62"/>
      <c r="E8" s="86" t="s">
        <v>136</v>
      </c>
      <c r="F8" s="62"/>
      <c r="G8" s="62"/>
      <c r="H8" s="64"/>
      <c r="I8" s="62"/>
      <c r="J8" s="62"/>
      <c r="K8" s="62"/>
      <c r="L8" s="66"/>
      <c r="M8" s="67"/>
      <c r="N8" s="66">
        <f t="shared" si="0"/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100925</v>
      </c>
      <c r="AF8" s="62">
        <v>304</v>
      </c>
      <c r="AG8" s="64">
        <v>0.9</v>
      </c>
      <c r="AH8" s="67"/>
      <c r="AI8" s="65" t="s">
        <v>157</v>
      </c>
      <c r="AJ8" s="78"/>
      <c r="AK8" s="66">
        <v>1500</v>
      </c>
      <c r="AL8" s="67"/>
      <c r="AM8" s="66">
        <f t="shared" si="1"/>
        <v>1500</v>
      </c>
    </row>
    <row r="9" spans="1:39" s="76" customFormat="1" ht="100.05" customHeight="1" x14ac:dyDescent="0.3">
      <c r="A9" s="62"/>
      <c r="B9" s="62"/>
      <c r="C9" s="64"/>
      <c r="D9" s="62"/>
      <c r="E9" s="86"/>
      <c r="F9" s="62"/>
      <c r="G9" s="62"/>
      <c r="H9" s="64"/>
      <c r="I9" s="62"/>
      <c r="J9" s="62"/>
      <c r="K9" s="62"/>
      <c r="L9" s="66"/>
      <c r="M9" s="67"/>
      <c r="N9" s="66">
        <f t="shared" si="0"/>
        <v>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>
        <v>100925</v>
      </c>
      <c r="AF9" s="62">
        <v>304</v>
      </c>
      <c r="AG9" s="64">
        <v>0.9</v>
      </c>
      <c r="AH9" s="67"/>
      <c r="AI9" s="65" t="s">
        <v>166</v>
      </c>
      <c r="AJ9" s="78"/>
      <c r="AK9" s="66">
        <v>1500</v>
      </c>
      <c r="AL9" s="67"/>
      <c r="AM9" s="66">
        <f t="shared" si="1"/>
        <v>1500</v>
      </c>
    </row>
    <row r="10" spans="1:39" s="76" customFormat="1" ht="100.05" customHeight="1" x14ac:dyDescent="0.3">
      <c r="A10" s="62"/>
      <c r="B10" s="62"/>
      <c r="C10" s="64"/>
      <c r="D10" s="62"/>
      <c r="E10" s="86"/>
      <c r="F10" s="62"/>
      <c r="G10" s="62"/>
      <c r="H10" s="64"/>
      <c r="I10" s="62"/>
      <c r="J10" s="62"/>
      <c r="K10" s="62"/>
      <c r="L10" s="66"/>
      <c r="M10" s="67"/>
      <c r="N10" s="66">
        <f t="shared" si="0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100925</v>
      </c>
      <c r="AF10" s="62">
        <v>304</v>
      </c>
      <c r="AG10" s="64">
        <v>0.9</v>
      </c>
      <c r="AH10" s="67"/>
      <c r="AI10" s="65" t="s">
        <v>158</v>
      </c>
      <c r="AJ10" s="78"/>
      <c r="AK10" s="66">
        <v>600</v>
      </c>
      <c r="AL10" s="67"/>
      <c r="AM10" s="66">
        <f t="shared" si="1"/>
        <v>600</v>
      </c>
    </row>
    <row r="11" spans="1:39" s="76" customFormat="1" ht="100.05" customHeight="1" x14ac:dyDescent="0.3">
      <c r="A11" s="62"/>
      <c r="B11" s="62"/>
      <c r="C11" s="64"/>
      <c r="D11" s="62"/>
      <c r="E11" s="86"/>
      <c r="F11" s="62"/>
      <c r="G11" s="62"/>
      <c r="H11" s="64"/>
      <c r="I11" s="62"/>
      <c r="J11" s="62"/>
      <c r="K11" s="62"/>
      <c r="L11" s="66"/>
      <c r="M11" s="67"/>
      <c r="N11" s="66">
        <f t="shared" si="0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>
        <v>100925</v>
      </c>
      <c r="AF11" s="62">
        <v>304</v>
      </c>
      <c r="AG11" s="64">
        <v>0.9</v>
      </c>
      <c r="AH11" s="77"/>
      <c r="AI11" s="65" t="s">
        <v>159</v>
      </c>
      <c r="AJ11" s="78"/>
      <c r="AK11" s="66">
        <v>600</v>
      </c>
      <c r="AL11" s="67"/>
      <c r="AM11" s="66">
        <f t="shared" si="1"/>
        <v>600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0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 t="s">
        <v>126</v>
      </c>
      <c r="AF12" s="62">
        <v>304</v>
      </c>
      <c r="AG12" s="64">
        <v>0.9</v>
      </c>
      <c r="AH12" s="77"/>
      <c r="AI12" s="65" t="s">
        <v>160</v>
      </c>
      <c r="AJ12" s="78"/>
      <c r="AK12" s="66">
        <v>1200</v>
      </c>
      <c r="AL12" s="67"/>
      <c r="AM12" s="66">
        <f t="shared" si="1"/>
        <v>1200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0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 t="s">
        <v>126</v>
      </c>
      <c r="AF13" s="62">
        <v>304</v>
      </c>
      <c r="AG13" s="64">
        <v>0.9</v>
      </c>
      <c r="AH13" s="77"/>
      <c r="AI13" s="65" t="s">
        <v>165</v>
      </c>
      <c r="AJ13" s="78"/>
      <c r="AK13" s="66">
        <v>1200</v>
      </c>
      <c r="AL13" s="67"/>
      <c r="AM13" s="66">
        <f t="shared" si="1"/>
        <v>1200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0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 t="s">
        <v>126</v>
      </c>
      <c r="AF14" s="62">
        <v>304</v>
      </c>
      <c r="AG14" s="64">
        <v>0.9</v>
      </c>
      <c r="AH14" s="77"/>
      <c r="AI14" s="65" t="s">
        <v>161</v>
      </c>
      <c r="AJ14" s="78"/>
      <c r="AK14" s="66">
        <v>1500</v>
      </c>
      <c r="AL14" s="67"/>
      <c r="AM14" s="66">
        <f t="shared" si="1"/>
        <v>1500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0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 t="s">
        <v>126</v>
      </c>
      <c r="AF15" s="62">
        <v>304</v>
      </c>
      <c r="AG15" s="64">
        <v>0.9</v>
      </c>
      <c r="AH15" s="77"/>
      <c r="AI15" s="65" t="s">
        <v>164</v>
      </c>
      <c r="AJ15" s="78"/>
      <c r="AK15" s="66">
        <v>1500</v>
      </c>
      <c r="AL15" s="67"/>
      <c r="AM15" s="66">
        <f t="shared" si="1"/>
        <v>1500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0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 t="s">
        <v>126</v>
      </c>
      <c r="AF16" s="62">
        <v>304</v>
      </c>
      <c r="AG16" s="64">
        <v>0.9</v>
      </c>
      <c r="AH16" s="77"/>
      <c r="AI16" s="65" t="s">
        <v>162</v>
      </c>
      <c r="AJ16" s="78"/>
      <c r="AK16" s="66">
        <v>1500</v>
      </c>
      <c r="AL16" s="67"/>
      <c r="AM16" s="66">
        <f t="shared" si="1"/>
        <v>1500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0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 t="s">
        <v>126</v>
      </c>
      <c r="AF17" s="62">
        <v>304</v>
      </c>
      <c r="AG17" s="64">
        <v>0.9</v>
      </c>
      <c r="AH17" s="67"/>
      <c r="AI17" s="65" t="s">
        <v>163</v>
      </c>
      <c r="AJ17" s="78"/>
      <c r="AK17" s="66">
        <v>1500</v>
      </c>
      <c r="AL17" s="67"/>
      <c r="AM17" s="66">
        <f t="shared" si="1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0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>
        <v>160925</v>
      </c>
      <c r="AF18" s="62">
        <v>304</v>
      </c>
      <c r="AG18" s="64">
        <v>0.9</v>
      </c>
      <c r="AH18" s="67"/>
      <c r="AI18" s="65" t="s">
        <v>167</v>
      </c>
      <c r="AJ18" s="78"/>
      <c r="AK18" s="66">
        <v>1100</v>
      </c>
      <c r="AL18" s="67"/>
      <c r="AM18" s="66">
        <f t="shared" si="1"/>
        <v>1100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0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2"/>
        <v>0</v>
      </c>
      <c r="AE19" s="62">
        <v>160925</v>
      </c>
      <c r="AF19" s="62">
        <v>304</v>
      </c>
      <c r="AG19" s="64">
        <v>0.9</v>
      </c>
      <c r="AH19" s="67"/>
      <c r="AI19" s="65" t="s">
        <v>168</v>
      </c>
      <c r="AJ19" s="78"/>
      <c r="AK19" s="66">
        <v>1100</v>
      </c>
      <c r="AL19" s="67"/>
      <c r="AM19" s="66">
        <f t="shared" si="1"/>
        <v>1100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1050</v>
      </c>
      <c r="M20" s="71">
        <f>SUM(M4:M19)</f>
        <v>1050</v>
      </c>
      <c r="N20" s="66">
        <f>SUM(N4:N19)</f>
        <v>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1100</v>
      </c>
      <c r="AB20" s="71">
        <f>SUM(AB4:AB19)</f>
        <v>0</v>
      </c>
      <c r="AC20" s="66">
        <f>SUM(AC4:AC19)</f>
        <v>1100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1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1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1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1"/>
        <v>0</v>
      </c>
      <c r="AN23" s="76"/>
    </row>
    <row r="24" spans="1:40" s="76" customFormat="1" ht="100.05" customHeight="1" x14ac:dyDescent="0.3">
      <c r="A24" s="62"/>
      <c r="B24" s="62"/>
      <c r="C24" s="64"/>
      <c r="D24" s="62"/>
      <c r="E24" s="65"/>
      <c r="F24" s="62"/>
      <c r="G24" s="62"/>
      <c r="H24" s="64"/>
      <c r="I24" s="62"/>
      <c r="J24" s="62"/>
      <c r="K24" s="62"/>
      <c r="L24" s="66"/>
      <c r="M24" s="67"/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365</v>
      </c>
      <c r="T24" s="65" t="s">
        <v>144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3300</v>
      </c>
      <c r="AB24" s="67"/>
      <c r="AC24" s="66">
        <f t="shared" ref="AC24:AC27" si="3">AA24-AB24</f>
        <v>3300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1"/>
        <v>0</v>
      </c>
    </row>
    <row r="25" spans="1:40" s="76" customFormat="1" ht="100.05" customHeight="1" x14ac:dyDescent="0.3">
      <c r="A25" s="62"/>
      <c r="B25" s="62"/>
      <c r="C25" s="64"/>
      <c r="D25" s="62"/>
      <c r="E25" s="65"/>
      <c r="F25" s="62"/>
      <c r="G25" s="62"/>
      <c r="H25" s="64"/>
      <c r="I25" s="62"/>
      <c r="J25" s="62"/>
      <c r="K25" s="62"/>
      <c r="L25" s="66"/>
      <c r="M25" s="67"/>
      <c r="N25" s="66">
        <f>L25-M25</f>
        <v>0</v>
      </c>
      <c r="P25" s="62" t="s">
        <v>145</v>
      </c>
      <c r="Q25" s="62">
        <v>304</v>
      </c>
      <c r="R25" s="64">
        <v>0.9</v>
      </c>
      <c r="S25" s="62">
        <v>300</v>
      </c>
      <c r="T25" s="65" t="s">
        <v>146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3200</v>
      </c>
      <c r="AB25" s="67"/>
      <c r="AC25" s="66">
        <f t="shared" si="3"/>
        <v>3200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1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 t="shared" ref="N26:N28" si="4">L26-M26</f>
        <v>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1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 t="shared" si="4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1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4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SUM(AA24:AA27)</f>
        <v>6500</v>
      </c>
      <c r="AB28" s="71">
        <f>SUM(AB24:AB27)</f>
        <v>0</v>
      </c>
      <c r="AC28" s="66">
        <f>SUM(AC24:AC27)</f>
        <v>6500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1"/>
        <v>0</v>
      </c>
      <c r="AN28" s="75"/>
    </row>
    <row r="29" spans="1:40" s="76" customFormat="1" ht="100.05" customHeight="1" x14ac:dyDescent="0.3">
      <c r="A29" s="68"/>
      <c r="B29" s="6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SUM(L24:L28)</f>
        <v>0</v>
      </c>
      <c r="M29" s="71">
        <f>SUM(M24:M28)</f>
        <v>0</v>
      </c>
      <c r="N29" s="66">
        <f>SUM(N24:N28)</f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23700</v>
      </c>
      <c r="AL29" s="71">
        <f>SUM(AL4:AL28)</f>
        <v>0</v>
      </c>
      <c r="AM29" s="66">
        <f>SUM(AM4:AM28)</f>
        <v>23700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6" orientation="landscape" horizontalDpi="1200" verticalDpi="12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topLeftCell="U13" zoomScale="25" zoomScaleNormal="25" workbookViewId="0">
      <selection activeCell="AE21" sqref="AE21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45929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45929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65" t="s">
        <v>176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79</v>
      </c>
      <c r="L4" s="66">
        <v>1400</v>
      </c>
      <c r="M4" s="67">
        <v>630</v>
      </c>
      <c r="N4" s="66">
        <f>L4-M4</f>
        <v>770</v>
      </c>
      <c r="P4" s="62">
        <v>160925</v>
      </c>
      <c r="Q4" s="62">
        <v>304</v>
      </c>
      <c r="R4" s="64">
        <v>0.9</v>
      </c>
      <c r="S4" s="62"/>
      <c r="T4" s="65" t="s">
        <v>150</v>
      </c>
      <c r="U4" s="62" t="s">
        <v>42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1100</v>
      </c>
      <c r="AB4" s="67"/>
      <c r="AC4" s="66">
        <f>AA4-AB4</f>
        <v>1100</v>
      </c>
      <c r="AE4" s="62">
        <v>10925</v>
      </c>
      <c r="AF4" s="62">
        <v>430</v>
      </c>
      <c r="AG4" s="64">
        <v>0.6</v>
      </c>
      <c r="AH4" s="77">
        <v>160</v>
      </c>
      <c r="AI4" s="65" t="s">
        <v>105</v>
      </c>
      <c r="AJ4" s="78" t="s">
        <v>119</v>
      </c>
      <c r="AK4" s="66">
        <v>3300</v>
      </c>
      <c r="AL4" s="67">
        <f>2850+400</f>
        <v>3250</v>
      </c>
      <c r="AM4" s="66">
        <f t="shared" ref="AM4:AM32" si="0">AK4-AL4</f>
        <v>50</v>
      </c>
    </row>
    <row r="5" spans="1:39" s="76" customFormat="1" ht="100.05" customHeight="1" x14ac:dyDescent="0.3">
      <c r="A5" s="62">
        <v>180925</v>
      </c>
      <c r="B5" s="62">
        <v>430</v>
      </c>
      <c r="C5" s="64">
        <v>0.5</v>
      </c>
      <c r="D5" s="62"/>
      <c r="E5" s="65" t="s">
        <v>177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86</v>
      </c>
      <c r="L5" s="66">
        <v>1400</v>
      </c>
      <c r="M5" s="67"/>
      <c r="N5" s="66">
        <f>L5-M5</f>
        <v>1400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 t="shared" ref="AC5:AC19" si="1">AA5-AB5</f>
        <v>0</v>
      </c>
      <c r="AE5" s="62" t="s">
        <v>89</v>
      </c>
      <c r="AF5" s="62">
        <v>304</v>
      </c>
      <c r="AG5" s="64">
        <v>0.6</v>
      </c>
      <c r="AH5" s="77">
        <v>160</v>
      </c>
      <c r="AI5" s="65" t="s">
        <v>154</v>
      </c>
      <c r="AJ5" s="78" t="s">
        <v>119</v>
      </c>
      <c r="AK5" s="66">
        <v>3200</v>
      </c>
      <c r="AL5" s="67"/>
      <c r="AM5" s="66">
        <f t="shared" si="0"/>
        <v>3200</v>
      </c>
    </row>
    <row r="6" spans="1:39" s="76" customFormat="1" ht="100.05" customHeight="1" x14ac:dyDescent="0.3">
      <c r="A6" s="62">
        <v>180925</v>
      </c>
      <c r="B6" s="62">
        <v>430</v>
      </c>
      <c r="C6" s="64">
        <v>0.5</v>
      </c>
      <c r="D6" s="62"/>
      <c r="E6" s="65" t="s">
        <v>178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79</v>
      </c>
      <c r="L6" s="66">
        <v>1400</v>
      </c>
      <c r="M6" s="67"/>
      <c r="N6" s="66">
        <f>L6-M6</f>
        <v>1400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>
        <v>100925</v>
      </c>
      <c r="AF6" s="62">
        <v>304</v>
      </c>
      <c r="AG6" s="64">
        <v>0.9</v>
      </c>
      <c r="AH6" s="67"/>
      <c r="AI6" s="65" t="s">
        <v>155</v>
      </c>
      <c r="AJ6" s="78"/>
      <c r="AK6" s="66">
        <v>1200</v>
      </c>
      <c r="AL6" s="67"/>
      <c r="AM6" s="66">
        <f t="shared" si="0"/>
        <v>1200</v>
      </c>
    </row>
    <row r="7" spans="1:39" s="76" customFormat="1" ht="100.05" customHeight="1" x14ac:dyDescent="0.3">
      <c r="A7" s="62">
        <v>180925</v>
      </c>
      <c r="B7" s="62">
        <v>430</v>
      </c>
      <c r="C7" s="64">
        <v>0.5</v>
      </c>
      <c r="D7" s="62"/>
      <c r="E7" s="65" t="s">
        <v>179</v>
      </c>
      <c r="F7" s="62" t="s">
        <v>24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79</v>
      </c>
      <c r="L7" s="66">
        <v>1120</v>
      </c>
      <c r="M7" s="67"/>
      <c r="N7" s="66">
        <f>L7-M7</f>
        <v>1120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100925</v>
      </c>
      <c r="AF7" s="62">
        <v>304</v>
      </c>
      <c r="AG7" s="64">
        <v>0.9</v>
      </c>
      <c r="AH7" s="67"/>
      <c r="AI7" s="65" t="s">
        <v>156</v>
      </c>
      <c r="AJ7" s="78"/>
      <c r="AK7" s="66">
        <v>1200</v>
      </c>
      <c r="AL7" s="67"/>
      <c r="AM7" s="66">
        <f t="shared" si="0"/>
        <v>1200</v>
      </c>
    </row>
    <row r="8" spans="1:39" s="76" customFormat="1" ht="100.05" customHeight="1" x14ac:dyDescent="0.3">
      <c r="A8" s="62">
        <v>180925</v>
      </c>
      <c r="B8" s="62">
        <v>430</v>
      </c>
      <c r="C8" s="64">
        <v>0.5</v>
      </c>
      <c r="D8" s="62"/>
      <c r="E8" s="86" t="s">
        <v>180</v>
      </c>
      <c r="F8" s="62" t="s">
        <v>24</v>
      </c>
      <c r="G8" s="62" t="s">
        <v>24</v>
      </c>
      <c r="H8" s="64" t="s">
        <v>24</v>
      </c>
      <c r="I8" s="62" t="s">
        <v>24</v>
      </c>
      <c r="J8" s="62" t="s">
        <v>24</v>
      </c>
      <c r="K8" s="62" t="s">
        <v>86</v>
      </c>
      <c r="L8" s="66">
        <v>1400</v>
      </c>
      <c r="M8" s="67"/>
      <c r="N8" s="66">
        <f t="shared" ref="N8:N19" si="2">L8-M8</f>
        <v>1400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100925</v>
      </c>
      <c r="AF8" s="62">
        <v>304</v>
      </c>
      <c r="AG8" s="64">
        <v>0.9</v>
      </c>
      <c r="AH8" s="67"/>
      <c r="AI8" s="65" t="s">
        <v>157</v>
      </c>
      <c r="AJ8" s="78"/>
      <c r="AK8" s="66">
        <v>1500</v>
      </c>
      <c r="AL8" s="67"/>
      <c r="AM8" s="66">
        <f t="shared" si="0"/>
        <v>1500</v>
      </c>
    </row>
    <row r="9" spans="1:39" s="76" customFormat="1" ht="100.05" customHeight="1" x14ac:dyDescent="0.3">
      <c r="A9" s="62"/>
      <c r="B9" s="62"/>
      <c r="C9" s="64"/>
      <c r="D9" s="62"/>
      <c r="E9" s="86"/>
      <c r="F9" s="62"/>
      <c r="G9" s="62"/>
      <c r="H9" s="64"/>
      <c r="I9" s="62"/>
      <c r="J9" s="62"/>
      <c r="K9" s="62"/>
      <c r="L9" s="66"/>
      <c r="M9" s="67"/>
      <c r="N9" s="66">
        <f t="shared" si="2"/>
        <v>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100925</v>
      </c>
      <c r="AF9" s="62">
        <v>304</v>
      </c>
      <c r="AG9" s="64">
        <v>0.9</v>
      </c>
      <c r="AH9" s="67"/>
      <c r="AI9" s="65" t="s">
        <v>166</v>
      </c>
      <c r="AJ9" s="78"/>
      <c r="AK9" s="66">
        <v>1500</v>
      </c>
      <c r="AL9" s="67"/>
      <c r="AM9" s="66">
        <f t="shared" si="0"/>
        <v>1500</v>
      </c>
    </row>
    <row r="10" spans="1:39" s="76" customFormat="1" ht="100.05" customHeight="1" x14ac:dyDescent="0.3">
      <c r="A10" s="62"/>
      <c r="B10" s="62"/>
      <c r="C10" s="64"/>
      <c r="D10" s="62"/>
      <c r="E10" s="86"/>
      <c r="F10" s="62"/>
      <c r="G10" s="62"/>
      <c r="H10" s="64"/>
      <c r="I10" s="62"/>
      <c r="J10" s="62"/>
      <c r="K10" s="62"/>
      <c r="L10" s="66"/>
      <c r="M10" s="67"/>
      <c r="N10" s="66">
        <f t="shared" si="2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100925</v>
      </c>
      <c r="AF10" s="62">
        <v>304</v>
      </c>
      <c r="AG10" s="64">
        <v>0.9</v>
      </c>
      <c r="AH10" s="67"/>
      <c r="AI10" s="65" t="s">
        <v>158</v>
      </c>
      <c r="AJ10" s="78"/>
      <c r="AK10" s="66">
        <v>600</v>
      </c>
      <c r="AL10" s="67"/>
      <c r="AM10" s="66">
        <f t="shared" si="0"/>
        <v>600</v>
      </c>
    </row>
    <row r="11" spans="1:39" s="76" customFormat="1" ht="100.05" customHeight="1" x14ac:dyDescent="0.3">
      <c r="A11" s="62"/>
      <c r="B11" s="62"/>
      <c r="C11" s="64"/>
      <c r="D11" s="62"/>
      <c r="E11" s="86"/>
      <c r="F11" s="62"/>
      <c r="G11" s="62"/>
      <c r="H11" s="64"/>
      <c r="I11" s="62"/>
      <c r="J11" s="62"/>
      <c r="K11" s="62"/>
      <c r="L11" s="66"/>
      <c r="M11" s="67"/>
      <c r="N11" s="66">
        <f t="shared" si="2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100925</v>
      </c>
      <c r="AF11" s="62">
        <v>304</v>
      </c>
      <c r="AG11" s="64">
        <v>0.9</v>
      </c>
      <c r="AH11" s="77"/>
      <c r="AI11" s="65" t="s">
        <v>159</v>
      </c>
      <c r="AJ11" s="78"/>
      <c r="AK11" s="66">
        <v>600</v>
      </c>
      <c r="AL11" s="67"/>
      <c r="AM11" s="66">
        <f t="shared" si="0"/>
        <v>600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77"/>
      <c r="AI12" s="65" t="s">
        <v>160</v>
      </c>
      <c r="AJ12" s="78"/>
      <c r="AK12" s="66">
        <v>1200</v>
      </c>
      <c r="AL12" s="67"/>
      <c r="AM12" s="66">
        <f t="shared" si="0"/>
        <v>1200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 t="s">
        <v>126</v>
      </c>
      <c r="AF13" s="62">
        <v>304</v>
      </c>
      <c r="AG13" s="64">
        <v>0.9</v>
      </c>
      <c r="AH13" s="77"/>
      <c r="AI13" s="65" t="s">
        <v>165</v>
      </c>
      <c r="AJ13" s="78"/>
      <c r="AK13" s="66">
        <v>1200</v>
      </c>
      <c r="AL13" s="67"/>
      <c r="AM13" s="66">
        <f t="shared" si="0"/>
        <v>1200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 t="s">
        <v>126</v>
      </c>
      <c r="AF14" s="62">
        <v>304</v>
      </c>
      <c r="AG14" s="64">
        <v>0.9</v>
      </c>
      <c r="AH14" s="77"/>
      <c r="AI14" s="65" t="s">
        <v>161</v>
      </c>
      <c r="AJ14" s="78"/>
      <c r="AK14" s="66">
        <v>1500</v>
      </c>
      <c r="AL14" s="67"/>
      <c r="AM14" s="66">
        <f t="shared" si="0"/>
        <v>1500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 t="s">
        <v>126</v>
      </c>
      <c r="AF15" s="62">
        <v>304</v>
      </c>
      <c r="AG15" s="64">
        <v>0.9</v>
      </c>
      <c r="AH15" s="77"/>
      <c r="AI15" s="65" t="s">
        <v>164</v>
      </c>
      <c r="AJ15" s="78"/>
      <c r="AK15" s="66">
        <v>1500</v>
      </c>
      <c r="AL15" s="67"/>
      <c r="AM15" s="66">
        <f t="shared" si="0"/>
        <v>1500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 t="s">
        <v>126</v>
      </c>
      <c r="AF16" s="62">
        <v>304</v>
      </c>
      <c r="AG16" s="64">
        <v>0.9</v>
      </c>
      <c r="AH16" s="77"/>
      <c r="AI16" s="65" t="s">
        <v>162</v>
      </c>
      <c r="AJ16" s="78"/>
      <c r="AK16" s="66">
        <v>1500</v>
      </c>
      <c r="AL16" s="67"/>
      <c r="AM16" s="66">
        <f t="shared" si="0"/>
        <v>1500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 t="s">
        <v>126</v>
      </c>
      <c r="AF17" s="62">
        <v>304</v>
      </c>
      <c r="AG17" s="64">
        <v>0.9</v>
      </c>
      <c r="AH17" s="67"/>
      <c r="AI17" s="65" t="s">
        <v>163</v>
      </c>
      <c r="AJ17" s="78"/>
      <c r="AK17" s="66">
        <v>1500</v>
      </c>
      <c r="AL17" s="67"/>
      <c r="AM17" s="66">
        <f t="shared" si="0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160925</v>
      </c>
      <c r="AF18" s="62">
        <v>304</v>
      </c>
      <c r="AG18" s="64">
        <v>0.9</v>
      </c>
      <c r="AH18" s="67"/>
      <c r="AI18" s="65" t="s">
        <v>167</v>
      </c>
      <c r="AJ18" s="78"/>
      <c r="AK18" s="66">
        <v>1100</v>
      </c>
      <c r="AL18" s="67"/>
      <c r="AM18" s="66">
        <f t="shared" si="0"/>
        <v>1100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>
        <v>160925</v>
      </c>
      <c r="AF19" s="62">
        <v>304</v>
      </c>
      <c r="AG19" s="64">
        <v>0.9</v>
      </c>
      <c r="AH19" s="67"/>
      <c r="AI19" s="65" t="s">
        <v>168</v>
      </c>
      <c r="AJ19" s="78"/>
      <c r="AK19" s="66">
        <v>1100</v>
      </c>
      <c r="AL19" s="67"/>
      <c r="AM19" s="66">
        <f t="shared" si="0"/>
        <v>1100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6720</v>
      </c>
      <c r="M20" s="71">
        <f>SUM(M4:M19)</f>
        <v>630</v>
      </c>
      <c r="N20" s="66">
        <f>SUM(N4:N19)</f>
        <v>6090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1100</v>
      </c>
      <c r="AB20" s="71">
        <f>SUM(AB4:AB19)</f>
        <v>0</v>
      </c>
      <c r="AC20" s="66">
        <f>SUM(AC4:AC19)</f>
        <v>1100</v>
      </c>
      <c r="AE20" s="62" t="s">
        <v>182</v>
      </c>
      <c r="AF20" s="62"/>
      <c r="AG20" s="64"/>
      <c r="AH20" s="67"/>
      <c r="AI20" s="65" t="s">
        <v>184</v>
      </c>
      <c r="AJ20" s="78"/>
      <c r="AK20" s="66">
        <v>900</v>
      </c>
      <c r="AL20" s="67">
        <v>200</v>
      </c>
      <c r="AM20" s="66">
        <f t="shared" si="0"/>
        <v>700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250072</v>
      </c>
      <c r="B24" s="62">
        <v>304</v>
      </c>
      <c r="C24" s="64">
        <v>0.7</v>
      </c>
      <c r="D24" s="62">
        <v>467</v>
      </c>
      <c r="E24" s="65" t="s">
        <v>170</v>
      </c>
      <c r="F24" s="62" t="s">
        <v>23</v>
      </c>
      <c r="G24" s="62">
        <v>430</v>
      </c>
      <c r="H24" s="64">
        <v>0.6</v>
      </c>
      <c r="I24" s="62"/>
      <c r="J24" s="62"/>
      <c r="K24" s="62" t="s">
        <v>86</v>
      </c>
      <c r="L24" s="66">
        <v>750</v>
      </c>
      <c r="M24" s="67">
        <v>750</v>
      </c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365</v>
      </c>
      <c r="T24" s="65" t="s">
        <v>144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3300</v>
      </c>
      <c r="AB24" s="67"/>
      <c r="AC24" s="66">
        <f t="shared" ref="AC24:AC27" si="3">AA24-AB24</f>
        <v>3300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250071</v>
      </c>
      <c r="B25" s="62">
        <v>304</v>
      </c>
      <c r="C25" s="64">
        <v>0.7</v>
      </c>
      <c r="D25" s="62">
        <v>467</v>
      </c>
      <c r="E25" s="65" t="s">
        <v>171</v>
      </c>
      <c r="F25" s="62" t="s">
        <v>23</v>
      </c>
      <c r="G25" s="62">
        <v>430</v>
      </c>
      <c r="H25" s="64">
        <v>0.6</v>
      </c>
      <c r="I25" s="62"/>
      <c r="J25" s="62"/>
      <c r="K25" s="62" t="s">
        <v>86</v>
      </c>
      <c r="L25" s="66">
        <v>750</v>
      </c>
      <c r="M25" s="67">
        <v>680</v>
      </c>
      <c r="N25" s="66">
        <f>L25-M25</f>
        <v>70</v>
      </c>
      <c r="P25" s="62" t="s">
        <v>145</v>
      </c>
      <c r="Q25" s="62">
        <v>304</v>
      </c>
      <c r="R25" s="64">
        <v>0.9</v>
      </c>
      <c r="S25" s="62">
        <v>300</v>
      </c>
      <c r="T25" s="65" t="s">
        <v>146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3200</v>
      </c>
      <c r="AB25" s="67"/>
      <c r="AC25" s="66">
        <f t="shared" si="3"/>
        <v>3200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250073</v>
      </c>
      <c r="B26" s="62">
        <v>304</v>
      </c>
      <c r="C26" s="64">
        <v>0.6</v>
      </c>
      <c r="D26" s="62">
        <v>467</v>
      </c>
      <c r="E26" s="65" t="s">
        <v>170</v>
      </c>
      <c r="F26" s="62" t="s">
        <v>23</v>
      </c>
      <c r="G26" s="62">
        <v>430</v>
      </c>
      <c r="H26" s="64">
        <v>0.6</v>
      </c>
      <c r="I26" s="62"/>
      <c r="J26" s="62"/>
      <c r="K26" s="62" t="s">
        <v>86</v>
      </c>
      <c r="L26" s="66">
        <v>750</v>
      </c>
      <c r="M26" s="67"/>
      <c r="N26" s="66">
        <f>L26-M26</f>
        <v>750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250070</v>
      </c>
      <c r="B27" s="62">
        <v>304</v>
      </c>
      <c r="C27" s="64">
        <v>0.6</v>
      </c>
      <c r="D27" s="62">
        <v>467</v>
      </c>
      <c r="E27" s="65" t="s">
        <v>172</v>
      </c>
      <c r="F27" s="62" t="s">
        <v>23</v>
      </c>
      <c r="G27" s="62">
        <v>430</v>
      </c>
      <c r="H27" s="64">
        <v>0.6</v>
      </c>
      <c r="I27" s="62"/>
      <c r="J27" s="62"/>
      <c r="K27" s="62" t="s">
        <v>86</v>
      </c>
      <c r="L27" s="66">
        <v>750</v>
      </c>
      <c r="M27" s="67"/>
      <c r="N27" s="66">
        <f>L27-M27</f>
        <v>750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250072</v>
      </c>
      <c r="B28" s="62">
        <v>304</v>
      </c>
      <c r="C28" s="64">
        <v>0.7</v>
      </c>
      <c r="D28" s="62">
        <v>427</v>
      </c>
      <c r="E28" s="65" t="s">
        <v>173</v>
      </c>
      <c r="F28" s="62" t="s">
        <v>23</v>
      </c>
      <c r="G28" s="62">
        <v>430</v>
      </c>
      <c r="H28" s="64">
        <v>0.6</v>
      </c>
      <c r="I28" s="62"/>
      <c r="J28" s="62"/>
      <c r="K28" s="62" t="s">
        <v>86</v>
      </c>
      <c r="L28" s="66">
        <v>750</v>
      </c>
      <c r="M28" s="67"/>
      <c r="N28" s="66">
        <f t="shared" ref="N28:N31" si="4">L28-M28</f>
        <v>750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ref="AC28:AC31" si="5">AA28-AB28</f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250071</v>
      </c>
      <c r="B29" s="62">
        <v>304</v>
      </c>
      <c r="C29" s="64">
        <v>0.7</v>
      </c>
      <c r="D29" s="62">
        <v>427</v>
      </c>
      <c r="E29" s="65" t="s">
        <v>174</v>
      </c>
      <c r="F29" s="62" t="s">
        <v>23</v>
      </c>
      <c r="G29" s="62">
        <v>430</v>
      </c>
      <c r="H29" s="64">
        <v>0.6</v>
      </c>
      <c r="I29" s="62"/>
      <c r="J29" s="62"/>
      <c r="K29" s="62" t="s">
        <v>86</v>
      </c>
      <c r="L29" s="66">
        <v>750</v>
      </c>
      <c r="M29" s="67"/>
      <c r="N29" s="66">
        <f t="shared" si="4"/>
        <v>750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5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250073</v>
      </c>
      <c r="B30" s="62">
        <v>304</v>
      </c>
      <c r="C30" s="64">
        <v>0.6</v>
      </c>
      <c r="D30" s="62">
        <v>427</v>
      </c>
      <c r="E30" s="65" t="s">
        <v>173</v>
      </c>
      <c r="F30" s="62" t="s">
        <v>23</v>
      </c>
      <c r="G30" s="62">
        <v>430</v>
      </c>
      <c r="H30" s="64">
        <v>0.6</v>
      </c>
      <c r="I30" s="62"/>
      <c r="J30" s="62"/>
      <c r="K30" s="62" t="s">
        <v>86</v>
      </c>
      <c r="L30" s="66">
        <v>750</v>
      </c>
      <c r="M30" s="67"/>
      <c r="N30" s="66">
        <f t="shared" si="4"/>
        <v>750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5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250070</v>
      </c>
      <c r="B31" s="62">
        <v>304</v>
      </c>
      <c r="C31" s="64">
        <v>0.6</v>
      </c>
      <c r="D31" s="62">
        <v>427</v>
      </c>
      <c r="E31" s="65" t="s">
        <v>175</v>
      </c>
      <c r="F31" s="62" t="s">
        <v>23</v>
      </c>
      <c r="G31" s="62">
        <v>430</v>
      </c>
      <c r="H31" s="64">
        <v>0.6</v>
      </c>
      <c r="I31" s="62"/>
      <c r="J31" s="62"/>
      <c r="K31" s="62" t="s">
        <v>86</v>
      </c>
      <c r="L31" s="66">
        <v>750</v>
      </c>
      <c r="M31" s="67"/>
      <c r="N31" s="66">
        <f t="shared" si="4"/>
        <v>750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5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ref="N32" si="6">L32-M32</f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6500</v>
      </c>
      <c r="AB32" s="71">
        <f>SUM(AB24:AB27)</f>
        <v>0</v>
      </c>
      <c r="AC32" s="66">
        <f>SUM(AC24:AC27)</f>
        <v>6500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6000</v>
      </c>
      <c r="M33" s="71">
        <f>SUM(M24:M32)</f>
        <v>1430</v>
      </c>
      <c r="N33" s="66">
        <f>SUM(N24:N32)</f>
        <v>4570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24600</v>
      </c>
      <c r="AL33" s="71">
        <f>SUM(AL4:AL32)</f>
        <v>3450</v>
      </c>
      <c r="AM33" s="66">
        <f>SUM(AM4:AM32)</f>
        <v>21150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4" orientation="landscape" horizontalDpi="1200" verticalDpi="12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zoomScale="10" zoomScaleNormal="10" workbookViewId="0">
      <selection activeCell="AK21" sqref="AK21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45930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45930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65" t="s">
        <v>176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79</v>
      </c>
      <c r="L4" s="66">
        <v>1400</v>
      </c>
      <c r="M4" s="67">
        <f>630+800</f>
        <v>1430</v>
      </c>
      <c r="N4" s="66">
        <f>L4-M4</f>
        <v>-30</v>
      </c>
      <c r="P4" s="62">
        <v>160925</v>
      </c>
      <c r="Q4" s="62">
        <v>304</v>
      </c>
      <c r="R4" s="64">
        <v>0.9</v>
      </c>
      <c r="S4" s="62"/>
      <c r="T4" s="65" t="s">
        <v>150</v>
      </c>
      <c r="U4" s="62" t="s">
        <v>42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1100</v>
      </c>
      <c r="AB4" s="67"/>
      <c r="AC4" s="66">
        <f>AA4-AB4</f>
        <v>1100</v>
      </c>
      <c r="AE4" s="62">
        <v>10925</v>
      </c>
      <c r="AF4" s="62">
        <v>430</v>
      </c>
      <c r="AG4" s="64">
        <v>0.6</v>
      </c>
      <c r="AH4" s="77">
        <v>160</v>
      </c>
      <c r="AI4" s="65" t="s">
        <v>105</v>
      </c>
      <c r="AJ4" s="78" t="s">
        <v>119</v>
      </c>
      <c r="AK4" s="66">
        <v>3300</v>
      </c>
      <c r="AL4" s="67">
        <f>2850+400</f>
        <v>3250</v>
      </c>
      <c r="AM4" s="66">
        <f t="shared" ref="AM4:AM32" si="0">AK4-AL4</f>
        <v>50</v>
      </c>
    </row>
    <row r="5" spans="1:39" s="76" customFormat="1" ht="100.05" customHeight="1" x14ac:dyDescent="0.3">
      <c r="A5" s="62">
        <v>180925</v>
      </c>
      <c r="B5" s="62">
        <v>430</v>
      </c>
      <c r="C5" s="64">
        <v>0.5</v>
      </c>
      <c r="D5" s="62"/>
      <c r="E5" s="65" t="s">
        <v>177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86</v>
      </c>
      <c r="L5" s="66">
        <v>1400</v>
      </c>
      <c r="M5" s="67">
        <v>1000</v>
      </c>
      <c r="N5" s="66">
        <f>L5-M5</f>
        <v>400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 t="shared" ref="AC5:AC19" si="1">AA5-AB5</f>
        <v>0</v>
      </c>
      <c r="AE5" s="62" t="s">
        <v>89</v>
      </c>
      <c r="AF5" s="62">
        <v>304</v>
      </c>
      <c r="AG5" s="64">
        <v>0.6</v>
      </c>
      <c r="AH5" s="77">
        <v>160</v>
      </c>
      <c r="AI5" s="65" t="s">
        <v>154</v>
      </c>
      <c r="AJ5" s="78" t="s">
        <v>119</v>
      </c>
      <c r="AK5" s="66">
        <v>3200</v>
      </c>
      <c r="AL5" s="67"/>
      <c r="AM5" s="66">
        <f t="shared" si="0"/>
        <v>3200</v>
      </c>
    </row>
    <row r="6" spans="1:39" s="76" customFormat="1" ht="100.05" customHeight="1" x14ac:dyDescent="0.3">
      <c r="A6" s="62">
        <v>180925</v>
      </c>
      <c r="B6" s="62">
        <v>430</v>
      </c>
      <c r="C6" s="64">
        <v>0.5</v>
      </c>
      <c r="D6" s="62"/>
      <c r="E6" s="65" t="s">
        <v>178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79</v>
      </c>
      <c r="L6" s="66">
        <v>1400</v>
      </c>
      <c r="M6" s="67"/>
      <c r="N6" s="66">
        <f>L6-M6</f>
        <v>1400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>
        <v>100925</v>
      </c>
      <c r="AF6" s="62">
        <v>304</v>
      </c>
      <c r="AG6" s="64">
        <v>0.9</v>
      </c>
      <c r="AH6" s="67"/>
      <c r="AI6" s="65" t="s">
        <v>155</v>
      </c>
      <c r="AJ6" s="78"/>
      <c r="AK6" s="66">
        <v>1200</v>
      </c>
      <c r="AL6" s="67"/>
      <c r="AM6" s="66">
        <f t="shared" si="0"/>
        <v>1200</v>
      </c>
    </row>
    <row r="7" spans="1:39" s="76" customFormat="1" ht="100.05" customHeight="1" x14ac:dyDescent="0.3">
      <c r="A7" s="62">
        <v>180925</v>
      </c>
      <c r="B7" s="62">
        <v>430</v>
      </c>
      <c r="C7" s="64">
        <v>0.5</v>
      </c>
      <c r="D7" s="62"/>
      <c r="E7" s="65" t="s">
        <v>179</v>
      </c>
      <c r="F7" s="62" t="s">
        <v>24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79</v>
      </c>
      <c r="L7" s="66">
        <v>1120</v>
      </c>
      <c r="M7" s="67"/>
      <c r="N7" s="66">
        <f>L7-M7</f>
        <v>1120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100925</v>
      </c>
      <c r="AF7" s="62">
        <v>304</v>
      </c>
      <c r="AG7" s="64">
        <v>0.9</v>
      </c>
      <c r="AH7" s="67"/>
      <c r="AI7" s="65" t="s">
        <v>156</v>
      </c>
      <c r="AJ7" s="78"/>
      <c r="AK7" s="66">
        <v>1200</v>
      </c>
      <c r="AL7" s="67"/>
      <c r="AM7" s="66">
        <f t="shared" si="0"/>
        <v>1200</v>
      </c>
    </row>
    <row r="8" spans="1:39" s="76" customFormat="1" ht="100.05" customHeight="1" x14ac:dyDescent="0.3">
      <c r="A8" s="62">
        <v>180925</v>
      </c>
      <c r="B8" s="62">
        <v>430</v>
      </c>
      <c r="C8" s="64">
        <v>0.5</v>
      </c>
      <c r="D8" s="62"/>
      <c r="E8" s="86" t="s">
        <v>180</v>
      </c>
      <c r="F8" s="62" t="s">
        <v>24</v>
      </c>
      <c r="G8" s="62" t="s">
        <v>24</v>
      </c>
      <c r="H8" s="64" t="s">
        <v>24</v>
      </c>
      <c r="I8" s="62" t="s">
        <v>24</v>
      </c>
      <c r="J8" s="62" t="s">
        <v>24</v>
      </c>
      <c r="K8" s="62" t="s">
        <v>86</v>
      </c>
      <c r="L8" s="66">
        <v>1400</v>
      </c>
      <c r="M8" s="67"/>
      <c r="N8" s="66">
        <f t="shared" ref="N8:N19" si="2">L8-M8</f>
        <v>1400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100925</v>
      </c>
      <c r="AF8" s="62">
        <v>304</v>
      </c>
      <c r="AG8" s="64">
        <v>0.9</v>
      </c>
      <c r="AH8" s="67"/>
      <c r="AI8" s="65" t="s">
        <v>157</v>
      </c>
      <c r="AJ8" s="78"/>
      <c r="AK8" s="66">
        <v>1500</v>
      </c>
      <c r="AL8" s="67"/>
      <c r="AM8" s="66">
        <f t="shared" si="0"/>
        <v>1500</v>
      </c>
    </row>
    <row r="9" spans="1:39" s="76" customFormat="1" ht="100.05" customHeight="1" x14ac:dyDescent="0.3">
      <c r="A9" s="62"/>
      <c r="B9" s="62"/>
      <c r="C9" s="64"/>
      <c r="D9" s="62"/>
      <c r="E9" s="86"/>
      <c r="F9" s="62"/>
      <c r="G9" s="62"/>
      <c r="H9" s="64"/>
      <c r="I9" s="62"/>
      <c r="J9" s="62"/>
      <c r="K9" s="62"/>
      <c r="L9" s="66"/>
      <c r="M9" s="67"/>
      <c r="N9" s="66">
        <f t="shared" si="2"/>
        <v>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100925</v>
      </c>
      <c r="AF9" s="62">
        <v>304</v>
      </c>
      <c r="AG9" s="64">
        <v>0.9</v>
      </c>
      <c r="AH9" s="67"/>
      <c r="AI9" s="65" t="s">
        <v>166</v>
      </c>
      <c r="AJ9" s="78"/>
      <c r="AK9" s="66">
        <v>1500</v>
      </c>
      <c r="AL9" s="67"/>
      <c r="AM9" s="66">
        <f t="shared" si="0"/>
        <v>1500</v>
      </c>
    </row>
    <row r="10" spans="1:39" s="76" customFormat="1" ht="100.05" customHeight="1" x14ac:dyDescent="0.3">
      <c r="A10" s="62"/>
      <c r="B10" s="62"/>
      <c r="C10" s="64"/>
      <c r="D10" s="62"/>
      <c r="E10" s="86"/>
      <c r="F10" s="62"/>
      <c r="G10" s="62"/>
      <c r="H10" s="64"/>
      <c r="I10" s="62"/>
      <c r="J10" s="62"/>
      <c r="K10" s="62"/>
      <c r="L10" s="66"/>
      <c r="M10" s="67"/>
      <c r="N10" s="66">
        <f t="shared" si="2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100925</v>
      </c>
      <c r="AF10" s="62">
        <v>304</v>
      </c>
      <c r="AG10" s="64">
        <v>0.9</v>
      </c>
      <c r="AH10" s="67"/>
      <c r="AI10" s="65" t="s">
        <v>158</v>
      </c>
      <c r="AJ10" s="78"/>
      <c r="AK10" s="66">
        <v>600</v>
      </c>
      <c r="AL10" s="67"/>
      <c r="AM10" s="66">
        <f t="shared" si="0"/>
        <v>600</v>
      </c>
    </row>
    <row r="11" spans="1:39" s="76" customFormat="1" ht="100.05" customHeight="1" x14ac:dyDescent="0.3">
      <c r="A11" s="62"/>
      <c r="B11" s="62"/>
      <c r="C11" s="64"/>
      <c r="D11" s="62"/>
      <c r="E11" s="86"/>
      <c r="F11" s="62"/>
      <c r="G11" s="62"/>
      <c r="H11" s="64"/>
      <c r="I11" s="62"/>
      <c r="J11" s="62"/>
      <c r="K11" s="62"/>
      <c r="L11" s="66"/>
      <c r="M11" s="67"/>
      <c r="N11" s="66">
        <f t="shared" si="2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100925</v>
      </c>
      <c r="AF11" s="62">
        <v>304</v>
      </c>
      <c r="AG11" s="64">
        <v>0.9</v>
      </c>
      <c r="AH11" s="77"/>
      <c r="AI11" s="65" t="s">
        <v>159</v>
      </c>
      <c r="AJ11" s="78"/>
      <c r="AK11" s="66">
        <v>600</v>
      </c>
      <c r="AL11" s="67"/>
      <c r="AM11" s="66">
        <f t="shared" si="0"/>
        <v>600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77"/>
      <c r="AI12" s="65" t="s">
        <v>160</v>
      </c>
      <c r="AJ12" s="78"/>
      <c r="AK12" s="66">
        <v>1200</v>
      </c>
      <c r="AL12" s="67"/>
      <c r="AM12" s="66">
        <f t="shared" si="0"/>
        <v>1200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 t="s">
        <v>126</v>
      </c>
      <c r="AF13" s="62">
        <v>304</v>
      </c>
      <c r="AG13" s="64">
        <v>0.9</v>
      </c>
      <c r="AH13" s="77"/>
      <c r="AI13" s="65" t="s">
        <v>165</v>
      </c>
      <c r="AJ13" s="78"/>
      <c r="AK13" s="66">
        <v>1200</v>
      </c>
      <c r="AL13" s="67"/>
      <c r="AM13" s="66">
        <f t="shared" si="0"/>
        <v>1200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 t="s">
        <v>126</v>
      </c>
      <c r="AF14" s="62">
        <v>304</v>
      </c>
      <c r="AG14" s="64">
        <v>0.9</v>
      </c>
      <c r="AH14" s="77"/>
      <c r="AI14" s="65" t="s">
        <v>161</v>
      </c>
      <c r="AJ14" s="78"/>
      <c r="AK14" s="66">
        <v>1500</v>
      </c>
      <c r="AL14" s="67"/>
      <c r="AM14" s="66">
        <f t="shared" si="0"/>
        <v>1500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 t="s">
        <v>126</v>
      </c>
      <c r="AF15" s="62">
        <v>304</v>
      </c>
      <c r="AG15" s="64">
        <v>0.9</v>
      </c>
      <c r="AH15" s="77"/>
      <c r="AI15" s="65" t="s">
        <v>164</v>
      </c>
      <c r="AJ15" s="78"/>
      <c r="AK15" s="66">
        <v>1500</v>
      </c>
      <c r="AL15" s="67"/>
      <c r="AM15" s="66">
        <f t="shared" si="0"/>
        <v>1500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 t="s">
        <v>126</v>
      </c>
      <c r="AF16" s="62">
        <v>304</v>
      </c>
      <c r="AG16" s="64">
        <v>0.9</v>
      </c>
      <c r="AH16" s="77"/>
      <c r="AI16" s="65" t="s">
        <v>162</v>
      </c>
      <c r="AJ16" s="78"/>
      <c r="AK16" s="66">
        <v>1500</v>
      </c>
      <c r="AL16" s="67"/>
      <c r="AM16" s="66">
        <f t="shared" si="0"/>
        <v>1500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 t="s">
        <v>126</v>
      </c>
      <c r="AF17" s="62">
        <v>304</v>
      </c>
      <c r="AG17" s="64">
        <v>0.9</v>
      </c>
      <c r="AH17" s="67"/>
      <c r="AI17" s="65" t="s">
        <v>163</v>
      </c>
      <c r="AJ17" s="78"/>
      <c r="AK17" s="66">
        <v>1500</v>
      </c>
      <c r="AL17" s="67"/>
      <c r="AM17" s="66">
        <f t="shared" si="0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160925</v>
      </c>
      <c r="AF18" s="62">
        <v>304</v>
      </c>
      <c r="AG18" s="64">
        <v>0.9</v>
      </c>
      <c r="AH18" s="67"/>
      <c r="AI18" s="65" t="s">
        <v>167</v>
      </c>
      <c r="AJ18" s="78"/>
      <c r="AK18" s="66">
        <v>1100</v>
      </c>
      <c r="AL18" s="67"/>
      <c r="AM18" s="66">
        <f t="shared" si="0"/>
        <v>1100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>
        <v>160925</v>
      </c>
      <c r="AF19" s="62">
        <v>304</v>
      </c>
      <c r="AG19" s="64">
        <v>0.9</v>
      </c>
      <c r="AH19" s="67"/>
      <c r="AI19" s="65" t="s">
        <v>168</v>
      </c>
      <c r="AJ19" s="78"/>
      <c r="AK19" s="66">
        <v>1100</v>
      </c>
      <c r="AL19" s="67"/>
      <c r="AM19" s="66">
        <f t="shared" si="0"/>
        <v>1100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6720</v>
      </c>
      <c r="M20" s="71">
        <f>SUM(M4:M19)</f>
        <v>2430</v>
      </c>
      <c r="N20" s="66">
        <f>SUM(N4:N19)</f>
        <v>4290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1100</v>
      </c>
      <c r="AB20" s="71">
        <f>SUM(AB4:AB19)</f>
        <v>0</v>
      </c>
      <c r="AC20" s="66">
        <f>SUM(AC4:AC19)</f>
        <v>1100</v>
      </c>
      <c r="AE20" s="62" t="s">
        <v>182</v>
      </c>
      <c r="AF20" s="62"/>
      <c r="AG20" s="64"/>
      <c r="AH20" s="67"/>
      <c r="AI20" s="65" t="s">
        <v>184</v>
      </c>
      <c r="AJ20" s="78"/>
      <c r="AK20" s="66">
        <v>600</v>
      </c>
      <c r="AL20" s="67">
        <v>200</v>
      </c>
      <c r="AM20" s="66">
        <f t="shared" si="0"/>
        <v>400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250072</v>
      </c>
      <c r="B24" s="62">
        <v>304</v>
      </c>
      <c r="C24" s="64">
        <v>0.7</v>
      </c>
      <c r="D24" s="62">
        <v>467</v>
      </c>
      <c r="E24" s="65" t="s">
        <v>170</v>
      </c>
      <c r="F24" s="62" t="s">
        <v>23</v>
      </c>
      <c r="G24" s="62">
        <v>430</v>
      </c>
      <c r="H24" s="64">
        <v>0.6</v>
      </c>
      <c r="I24" s="62"/>
      <c r="J24" s="62"/>
      <c r="K24" s="62" t="s">
        <v>86</v>
      </c>
      <c r="L24" s="66">
        <v>750</v>
      </c>
      <c r="M24" s="67">
        <v>750</v>
      </c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365</v>
      </c>
      <c r="T24" s="65" t="s">
        <v>144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3300</v>
      </c>
      <c r="AB24" s="67"/>
      <c r="AC24" s="66">
        <f t="shared" ref="AC24:AC31" si="3">AA24-AB24</f>
        <v>3300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250071</v>
      </c>
      <c r="B25" s="62">
        <v>304</v>
      </c>
      <c r="C25" s="64">
        <v>0.7</v>
      </c>
      <c r="D25" s="62">
        <v>467</v>
      </c>
      <c r="E25" s="65" t="s">
        <v>171</v>
      </c>
      <c r="F25" s="62" t="s">
        <v>23</v>
      </c>
      <c r="G25" s="62">
        <v>430</v>
      </c>
      <c r="H25" s="64">
        <v>0.6</v>
      </c>
      <c r="I25" s="62"/>
      <c r="J25" s="62"/>
      <c r="K25" s="62" t="s">
        <v>86</v>
      </c>
      <c r="L25" s="66">
        <v>750</v>
      </c>
      <c r="M25" s="67">
        <v>680</v>
      </c>
      <c r="N25" s="66">
        <f>L25-M25</f>
        <v>70</v>
      </c>
      <c r="P25" s="62" t="s">
        <v>145</v>
      </c>
      <c r="Q25" s="62">
        <v>304</v>
      </c>
      <c r="R25" s="64">
        <v>0.9</v>
      </c>
      <c r="S25" s="62">
        <v>300</v>
      </c>
      <c r="T25" s="65" t="s">
        <v>146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3200</v>
      </c>
      <c r="AB25" s="67"/>
      <c r="AC25" s="66">
        <f t="shared" si="3"/>
        <v>3200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250073</v>
      </c>
      <c r="B26" s="62">
        <v>304</v>
      </c>
      <c r="C26" s="64">
        <v>0.6</v>
      </c>
      <c r="D26" s="62">
        <v>467</v>
      </c>
      <c r="E26" s="65" t="s">
        <v>170</v>
      </c>
      <c r="F26" s="62" t="s">
        <v>23</v>
      </c>
      <c r="G26" s="62">
        <v>430</v>
      </c>
      <c r="H26" s="64">
        <v>0.6</v>
      </c>
      <c r="I26" s="62"/>
      <c r="J26" s="62"/>
      <c r="K26" s="62" t="s">
        <v>86</v>
      </c>
      <c r="L26" s="66">
        <v>750</v>
      </c>
      <c r="M26" s="67">
        <v>750</v>
      </c>
      <c r="N26" s="66">
        <f>L26-M26</f>
        <v>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250070</v>
      </c>
      <c r="B27" s="62">
        <v>304</v>
      </c>
      <c r="C27" s="64">
        <v>0.6</v>
      </c>
      <c r="D27" s="62">
        <v>467</v>
      </c>
      <c r="E27" s="65" t="s">
        <v>172</v>
      </c>
      <c r="F27" s="62" t="s">
        <v>23</v>
      </c>
      <c r="G27" s="62">
        <v>430</v>
      </c>
      <c r="H27" s="64">
        <v>0.6</v>
      </c>
      <c r="I27" s="62"/>
      <c r="J27" s="62"/>
      <c r="K27" s="62" t="s">
        <v>86</v>
      </c>
      <c r="L27" s="66">
        <v>750</v>
      </c>
      <c r="M27" s="67">
        <v>750</v>
      </c>
      <c r="N27" s="66">
        <f>L27-M27</f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250072</v>
      </c>
      <c r="B28" s="62">
        <v>304</v>
      </c>
      <c r="C28" s="64">
        <v>0.7</v>
      </c>
      <c r="D28" s="62">
        <v>427</v>
      </c>
      <c r="E28" s="65" t="s">
        <v>173</v>
      </c>
      <c r="F28" s="62" t="s">
        <v>23</v>
      </c>
      <c r="G28" s="62">
        <v>430</v>
      </c>
      <c r="H28" s="64">
        <v>0.6</v>
      </c>
      <c r="I28" s="62"/>
      <c r="J28" s="62"/>
      <c r="K28" s="62" t="s">
        <v>86</v>
      </c>
      <c r="L28" s="66">
        <v>750</v>
      </c>
      <c r="M28" s="67"/>
      <c r="N28" s="66">
        <f t="shared" ref="N28:N32" si="4">L28-M28</f>
        <v>750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3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250071</v>
      </c>
      <c r="B29" s="62">
        <v>304</v>
      </c>
      <c r="C29" s="64">
        <v>0.7</v>
      </c>
      <c r="D29" s="62">
        <v>427</v>
      </c>
      <c r="E29" s="65" t="s">
        <v>174</v>
      </c>
      <c r="F29" s="62" t="s">
        <v>23</v>
      </c>
      <c r="G29" s="62">
        <v>430</v>
      </c>
      <c r="H29" s="64">
        <v>0.6</v>
      </c>
      <c r="I29" s="62"/>
      <c r="J29" s="62"/>
      <c r="K29" s="62" t="s">
        <v>86</v>
      </c>
      <c r="L29" s="66">
        <v>750</v>
      </c>
      <c r="M29" s="67"/>
      <c r="N29" s="66">
        <f t="shared" si="4"/>
        <v>750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3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250073</v>
      </c>
      <c r="B30" s="62">
        <v>304</v>
      </c>
      <c r="C30" s="64">
        <v>0.6</v>
      </c>
      <c r="D30" s="62">
        <v>427</v>
      </c>
      <c r="E30" s="65" t="s">
        <v>173</v>
      </c>
      <c r="F30" s="62" t="s">
        <v>23</v>
      </c>
      <c r="G30" s="62">
        <v>430</v>
      </c>
      <c r="H30" s="64">
        <v>0.6</v>
      </c>
      <c r="I30" s="62"/>
      <c r="J30" s="62"/>
      <c r="K30" s="62" t="s">
        <v>86</v>
      </c>
      <c r="L30" s="66">
        <v>750</v>
      </c>
      <c r="M30" s="67"/>
      <c r="N30" s="66">
        <f t="shared" si="4"/>
        <v>750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3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250070</v>
      </c>
      <c r="B31" s="62">
        <v>304</v>
      </c>
      <c r="C31" s="64">
        <v>0.6</v>
      </c>
      <c r="D31" s="62">
        <v>427</v>
      </c>
      <c r="E31" s="65" t="s">
        <v>175</v>
      </c>
      <c r="F31" s="62" t="s">
        <v>23</v>
      </c>
      <c r="G31" s="62">
        <v>430</v>
      </c>
      <c r="H31" s="64">
        <v>0.6</v>
      </c>
      <c r="I31" s="62"/>
      <c r="J31" s="62"/>
      <c r="K31" s="62" t="s">
        <v>86</v>
      </c>
      <c r="L31" s="66">
        <v>750</v>
      </c>
      <c r="M31" s="67"/>
      <c r="N31" s="66">
        <f t="shared" si="4"/>
        <v>750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3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4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6500</v>
      </c>
      <c r="AB32" s="71">
        <f>SUM(AB24:AB27)</f>
        <v>0</v>
      </c>
      <c r="AC32" s="66">
        <f>SUM(AC24:AC27)</f>
        <v>6500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6000</v>
      </c>
      <c r="M33" s="71">
        <f>SUM(M24:M32)</f>
        <v>2930</v>
      </c>
      <c r="N33" s="66">
        <f>SUM(N24:N32)</f>
        <v>3070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24300</v>
      </c>
      <c r="AL33" s="71">
        <f>SUM(AL4:AL32)</f>
        <v>3450</v>
      </c>
      <c r="AM33" s="66">
        <f>SUM(AM4:AM32)</f>
        <v>20850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4" orientation="landscape" horizontalDpi="1200" verticalDpi="120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zoomScale="25" zoomScaleNormal="25" workbookViewId="0">
      <selection activeCell="M10" sqref="M10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45.6640625" style="2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45931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45931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65" t="s">
        <v>177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1400</v>
      </c>
      <c r="M4" s="67">
        <f>1000+300</f>
        <v>1300</v>
      </c>
      <c r="N4" s="66">
        <f>L4-M4</f>
        <v>100</v>
      </c>
      <c r="P4" s="62">
        <v>160925</v>
      </c>
      <c r="Q4" s="62">
        <v>304</v>
      </c>
      <c r="R4" s="64">
        <v>0.9</v>
      </c>
      <c r="S4" s="62"/>
      <c r="T4" s="65" t="s">
        <v>150</v>
      </c>
      <c r="U4" s="62" t="s">
        <v>42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1100</v>
      </c>
      <c r="AB4" s="67"/>
      <c r="AC4" s="66">
        <f>AA4-AB4</f>
        <v>1100</v>
      </c>
      <c r="AE4" s="62">
        <v>10925</v>
      </c>
      <c r="AF4" s="62">
        <v>430</v>
      </c>
      <c r="AG4" s="64">
        <v>0.6</v>
      </c>
      <c r="AH4" s="77">
        <v>160</v>
      </c>
      <c r="AI4" s="65" t="s">
        <v>105</v>
      </c>
      <c r="AJ4" s="78" t="s">
        <v>119</v>
      </c>
      <c r="AK4" s="66">
        <v>3300</v>
      </c>
      <c r="AL4" s="67">
        <f>2850+400</f>
        <v>3250</v>
      </c>
      <c r="AM4" s="66">
        <f t="shared" ref="AM4:AM32" si="0">AK4-AL4</f>
        <v>50</v>
      </c>
    </row>
    <row r="5" spans="1:39" s="76" customFormat="1" ht="100.05" customHeight="1" x14ac:dyDescent="0.3">
      <c r="A5" s="62">
        <v>180925</v>
      </c>
      <c r="B5" s="62">
        <v>430</v>
      </c>
      <c r="C5" s="64">
        <v>0.5</v>
      </c>
      <c r="D5" s="62"/>
      <c r="E5" s="65" t="s">
        <v>178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79</v>
      </c>
      <c r="L5" s="66">
        <v>1400</v>
      </c>
      <c r="M5" s="67"/>
      <c r="N5" s="66">
        <f>L5-M5</f>
        <v>1400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 t="shared" ref="AC5:AC19" si="1">AA5-AB5</f>
        <v>0</v>
      </c>
      <c r="AE5" s="62" t="s">
        <v>89</v>
      </c>
      <c r="AF5" s="62">
        <v>304</v>
      </c>
      <c r="AG5" s="64">
        <v>0.6</v>
      </c>
      <c r="AH5" s="77">
        <v>160</v>
      </c>
      <c r="AI5" s="65" t="s">
        <v>154</v>
      </c>
      <c r="AJ5" s="78" t="s">
        <v>119</v>
      </c>
      <c r="AK5" s="66">
        <v>3200</v>
      </c>
      <c r="AL5" s="67"/>
      <c r="AM5" s="66">
        <f t="shared" si="0"/>
        <v>3200</v>
      </c>
    </row>
    <row r="6" spans="1:39" s="76" customFormat="1" ht="100.05" customHeight="1" x14ac:dyDescent="0.3">
      <c r="A6" s="62">
        <v>180925</v>
      </c>
      <c r="B6" s="62">
        <v>430</v>
      </c>
      <c r="C6" s="64">
        <v>0.5</v>
      </c>
      <c r="D6" s="62"/>
      <c r="E6" s="65" t="s">
        <v>179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79</v>
      </c>
      <c r="L6" s="66">
        <v>1120</v>
      </c>
      <c r="M6" s="67"/>
      <c r="N6" s="66">
        <f>L6-M6</f>
        <v>1120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>
        <v>100925</v>
      </c>
      <c r="AF6" s="62">
        <v>304</v>
      </c>
      <c r="AG6" s="64">
        <v>0.9</v>
      </c>
      <c r="AH6" s="67"/>
      <c r="AI6" s="65" t="s">
        <v>155</v>
      </c>
      <c r="AJ6" s="78"/>
      <c r="AK6" s="66">
        <v>1200</v>
      </c>
      <c r="AL6" s="67"/>
      <c r="AM6" s="66">
        <f t="shared" si="0"/>
        <v>1200</v>
      </c>
    </row>
    <row r="7" spans="1:39" s="76" customFormat="1" ht="100.05" customHeight="1" x14ac:dyDescent="0.3">
      <c r="A7" s="62">
        <v>180925</v>
      </c>
      <c r="B7" s="62">
        <v>430</v>
      </c>
      <c r="C7" s="64">
        <v>0.5</v>
      </c>
      <c r="D7" s="62"/>
      <c r="E7" s="86" t="s">
        <v>180</v>
      </c>
      <c r="F7" s="62" t="s">
        <v>24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86</v>
      </c>
      <c r="L7" s="66">
        <v>1400</v>
      </c>
      <c r="M7" s="67">
        <f>350</f>
        <v>350</v>
      </c>
      <c r="N7" s="66">
        <f>L7-M7</f>
        <v>1050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100925</v>
      </c>
      <c r="AF7" s="62">
        <v>304</v>
      </c>
      <c r="AG7" s="64">
        <v>0.9</v>
      </c>
      <c r="AH7" s="67"/>
      <c r="AI7" s="65" t="s">
        <v>156</v>
      </c>
      <c r="AJ7" s="78"/>
      <c r="AK7" s="66">
        <v>1200</v>
      </c>
      <c r="AL7" s="67">
        <v>1200</v>
      </c>
      <c r="AM7" s="66">
        <f t="shared" si="0"/>
        <v>0</v>
      </c>
    </row>
    <row r="8" spans="1:39" s="76" customFormat="1" ht="100.05" customHeight="1" x14ac:dyDescent="0.3">
      <c r="A8" s="62">
        <v>250073</v>
      </c>
      <c r="B8" s="62">
        <v>304</v>
      </c>
      <c r="C8" s="64">
        <v>0.6</v>
      </c>
      <c r="D8" s="62"/>
      <c r="E8" s="86" t="s">
        <v>185</v>
      </c>
      <c r="F8" s="62" t="s">
        <v>23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186</v>
      </c>
      <c r="L8" s="66">
        <v>750</v>
      </c>
      <c r="M8" s="67">
        <v>750</v>
      </c>
      <c r="N8" s="66">
        <f t="shared" ref="N8:N19" si="2">L8-M8</f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100925</v>
      </c>
      <c r="AF8" s="62">
        <v>304</v>
      </c>
      <c r="AG8" s="64">
        <v>0.9</v>
      </c>
      <c r="AH8" s="67"/>
      <c r="AI8" s="65" t="s">
        <v>157</v>
      </c>
      <c r="AJ8" s="78"/>
      <c r="AK8" s="66">
        <v>1500</v>
      </c>
      <c r="AL8" s="67"/>
      <c r="AM8" s="66">
        <f t="shared" si="0"/>
        <v>1500</v>
      </c>
    </row>
    <row r="9" spans="1:39" s="76" customFormat="1" ht="100.05" customHeight="1" x14ac:dyDescent="0.3">
      <c r="A9" s="62">
        <v>250070</v>
      </c>
      <c r="B9" s="62">
        <v>304</v>
      </c>
      <c r="C9" s="64">
        <v>0.6</v>
      </c>
      <c r="D9" s="62"/>
      <c r="E9" s="86" t="s">
        <v>187</v>
      </c>
      <c r="F9" s="62" t="s">
        <v>23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186</v>
      </c>
      <c r="L9" s="66">
        <v>750</v>
      </c>
      <c r="M9" s="67">
        <v>750</v>
      </c>
      <c r="N9" s="66">
        <f t="shared" si="2"/>
        <v>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100925</v>
      </c>
      <c r="AF9" s="62">
        <v>304</v>
      </c>
      <c r="AG9" s="64">
        <v>0.9</v>
      </c>
      <c r="AH9" s="67"/>
      <c r="AI9" s="65" t="s">
        <v>166</v>
      </c>
      <c r="AJ9" s="78"/>
      <c r="AK9" s="66">
        <v>1500</v>
      </c>
      <c r="AL9" s="67">
        <f>700</f>
        <v>700</v>
      </c>
      <c r="AM9" s="66">
        <f t="shared" si="0"/>
        <v>800</v>
      </c>
    </row>
    <row r="10" spans="1:39" s="76" customFormat="1" ht="100.05" customHeight="1" x14ac:dyDescent="0.3">
      <c r="A10" s="62">
        <v>250071</v>
      </c>
      <c r="B10" s="62">
        <v>304</v>
      </c>
      <c r="C10" s="64">
        <v>0.7</v>
      </c>
      <c r="D10" s="62"/>
      <c r="E10" s="86" t="s">
        <v>188</v>
      </c>
      <c r="F10" s="62" t="s">
        <v>23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186</v>
      </c>
      <c r="L10" s="66">
        <v>750</v>
      </c>
      <c r="M10" s="67"/>
      <c r="N10" s="66">
        <f t="shared" si="2"/>
        <v>750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100925</v>
      </c>
      <c r="AF10" s="62">
        <v>304</v>
      </c>
      <c r="AG10" s="64">
        <v>0.9</v>
      </c>
      <c r="AH10" s="67"/>
      <c r="AI10" s="65" t="s">
        <v>158</v>
      </c>
      <c r="AJ10" s="78"/>
      <c r="AK10" s="66">
        <v>600</v>
      </c>
      <c r="AL10" s="67"/>
      <c r="AM10" s="66">
        <f t="shared" si="0"/>
        <v>600</v>
      </c>
    </row>
    <row r="11" spans="1:39" s="76" customFormat="1" ht="100.05" customHeight="1" x14ac:dyDescent="0.3">
      <c r="A11" s="62">
        <v>250072</v>
      </c>
      <c r="B11" s="62">
        <v>304</v>
      </c>
      <c r="C11" s="64">
        <v>0.7</v>
      </c>
      <c r="D11" s="62"/>
      <c r="E11" s="86" t="s">
        <v>189</v>
      </c>
      <c r="F11" s="62" t="s">
        <v>23</v>
      </c>
      <c r="G11" s="62">
        <v>430</v>
      </c>
      <c r="H11" s="64">
        <v>0.6</v>
      </c>
      <c r="I11" s="62" t="s">
        <v>24</v>
      </c>
      <c r="J11" s="62" t="s">
        <v>24</v>
      </c>
      <c r="K11" s="62" t="s">
        <v>186</v>
      </c>
      <c r="L11" s="66">
        <v>750</v>
      </c>
      <c r="M11" s="67"/>
      <c r="N11" s="66">
        <f t="shared" si="2"/>
        <v>750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100925</v>
      </c>
      <c r="AF11" s="62">
        <v>304</v>
      </c>
      <c r="AG11" s="64">
        <v>0.9</v>
      </c>
      <c r="AH11" s="77"/>
      <c r="AI11" s="65" t="s">
        <v>159</v>
      </c>
      <c r="AJ11" s="78"/>
      <c r="AK11" s="66">
        <v>600</v>
      </c>
      <c r="AL11" s="67"/>
      <c r="AM11" s="66">
        <f t="shared" si="0"/>
        <v>600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77"/>
      <c r="AI12" s="65" t="s">
        <v>160</v>
      </c>
      <c r="AJ12" s="78"/>
      <c r="AK12" s="66">
        <v>1200</v>
      </c>
      <c r="AL12" s="67"/>
      <c r="AM12" s="66">
        <f t="shared" si="0"/>
        <v>1200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 t="s">
        <v>126</v>
      </c>
      <c r="AF13" s="62">
        <v>304</v>
      </c>
      <c r="AG13" s="64">
        <v>0.9</v>
      </c>
      <c r="AH13" s="77"/>
      <c r="AI13" s="65" t="s">
        <v>165</v>
      </c>
      <c r="AJ13" s="78"/>
      <c r="AK13" s="66">
        <v>1200</v>
      </c>
      <c r="AL13" s="67"/>
      <c r="AM13" s="66">
        <f t="shared" si="0"/>
        <v>1200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 t="s">
        <v>126</v>
      </c>
      <c r="AF14" s="62">
        <v>304</v>
      </c>
      <c r="AG14" s="64">
        <v>0.9</v>
      </c>
      <c r="AH14" s="77"/>
      <c r="AI14" s="65" t="s">
        <v>161</v>
      </c>
      <c r="AJ14" s="78"/>
      <c r="AK14" s="66">
        <v>1500</v>
      </c>
      <c r="AL14" s="67"/>
      <c r="AM14" s="66">
        <f t="shared" si="0"/>
        <v>1500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 t="s">
        <v>126</v>
      </c>
      <c r="AF15" s="62">
        <v>304</v>
      </c>
      <c r="AG15" s="64">
        <v>0.9</v>
      </c>
      <c r="AH15" s="77"/>
      <c r="AI15" s="65" t="s">
        <v>164</v>
      </c>
      <c r="AJ15" s="78"/>
      <c r="AK15" s="66">
        <v>1500</v>
      </c>
      <c r="AL15" s="67"/>
      <c r="AM15" s="66">
        <f t="shared" si="0"/>
        <v>1500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 t="s">
        <v>126</v>
      </c>
      <c r="AF16" s="62">
        <v>304</v>
      </c>
      <c r="AG16" s="64">
        <v>0.9</v>
      </c>
      <c r="AH16" s="77"/>
      <c r="AI16" s="65" t="s">
        <v>162</v>
      </c>
      <c r="AJ16" s="78"/>
      <c r="AK16" s="66">
        <v>1500</v>
      </c>
      <c r="AL16" s="67"/>
      <c r="AM16" s="66">
        <f t="shared" si="0"/>
        <v>1500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 t="s">
        <v>126</v>
      </c>
      <c r="AF17" s="62">
        <v>304</v>
      </c>
      <c r="AG17" s="64">
        <v>0.9</v>
      </c>
      <c r="AH17" s="67"/>
      <c r="AI17" s="65" t="s">
        <v>163</v>
      </c>
      <c r="AJ17" s="78"/>
      <c r="AK17" s="66">
        <v>1500</v>
      </c>
      <c r="AL17" s="67"/>
      <c r="AM17" s="66">
        <f t="shared" si="0"/>
        <v>1500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160925</v>
      </c>
      <c r="AF18" s="62">
        <v>304</v>
      </c>
      <c r="AG18" s="64">
        <v>0.9</v>
      </c>
      <c r="AH18" s="67"/>
      <c r="AI18" s="65" t="s">
        <v>167</v>
      </c>
      <c r="AJ18" s="78"/>
      <c r="AK18" s="66">
        <v>1100</v>
      </c>
      <c r="AL18" s="67"/>
      <c r="AM18" s="66">
        <f t="shared" si="0"/>
        <v>1100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>
        <v>160925</v>
      </c>
      <c r="AF19" s="62">
        <v>304</v>
      </c>
      <c r="AG19" s="64">
        <v>0.9</v>
      </c>
      <c r="AH19" s="67"/>
      <c r="AI19" s="65" t="s">
        <v>168</v>
      </c>
      <c r="AJ19" s="78"/>
      <c r="AK19" s="66">
        <v>1100</v>
      </c>
      <c r="AL19" s="67"/>
      <c r="AM19" s="66">
        <f t="shared" si="0"/>
        <v>1100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8320</v>
      </c>
      <c r="M20" s="71">
        <f>SUM(M4:M19)</f>
        <v>3150</v>
      </c>
      <c r="N20" s="66">
        <f>SUM(N4:N19)</f>
        <v>5170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1100</v>
      </c>
      <c r="AB20" s="71">
        <f>SUM(AB4:AB19)</f>
        <v>0</v>
      </c>
      <c r="AC20" s="66">
        <f>SUM(AC4:AC19)</f>
        <v>1100</v>
      </c>
      <c r="AE20" s="62" t="s">
        <v>182</v>
      </c>
      <c r="AF20" s="62"/>
      <c r="AG20" s="64"/>
      <c r="AH20" s="67"/>
      <c r="AI20" s="65" t="s">
        <v>184</v>
      </c>
      <c r="AJ20" s="78"/>
      <c r="AK20" s="66">
        <v>600</v>
      </c>
      <c r="AL20" s="67">
        <f>200+400</f>
        <v>600</v>
      </c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250072</v>
      </c>
      <c r="B24" s="62">
        <v>304</v>
      </c>
      <c r="C24" s="64">
        <v>0.7</v>
      </c>
      <c r="D24" s="62">
        <v>427</v>
      </c>
      <c r="E24" s="65" t="s">
        <v>173</v>
      </c>
      <c r="F24" s="62" t="s">
        <v>23</v>
      </c>
      <c r="G24" s="62">
        <v>430</v>
      </c>
      <c r="H24" s="64">
        <v>0.6</v>
      </c>
      <c r="I24" s="62"/>
      <c r="J24" s="62"/>
      <c r="K24" s="62" t="s">
        <v>86</v>
      </c>
      <c r="L24" s="66">
        <v>750</v>
      </c>
      <c r="M24" s="67">
        <v>750</v>
      </c>
      <c r="N24" s="66">
        <f>L24-M24</f>
        <v>0</v>
      </c>
      <c r="P24" s="62">
        <v>10925</v>
      </c>
      <c r="Q24" s="62">
        <v>430</v>
      </c>
      <c r="R24" s="64">
        <v>0.8</v>
      </c>
      <c r="S24" s="62">
        <v>365</v>
      </c>
      <c r="T24" s="65" t="s">
        <v>144</v>
      </c>
      <c r="U24" s="62" t="s">
        <v>24</v>
      </c>
      <c r="V24" s="62" t="s">
        <v>24</v>
      </c>
      <c r="W24" s="64" t="s">
        <v>24</v>
      </c>
      <c r="X24" s="62" t="s">
        <v>24</v>
      </c>
      <c r="Y24" s="62" t="s">
        <v>24</v>
      </c>
      <c r="Z24" s="62" t="s">
        <v>24</v>
      </c>
      <c r="AA24" s="66">
        <v>3300</v>
      </c>
      <c r="AB24" s="67"/>
      <c r="AC24" s="66">
        <f t="shared" ref="AC24:AC31" si="3">AA24-AB24</f>
        <v>3300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250071</v>
      </c>
      <c r="B25" s="62">
        <v>304</v>
      </c>
      <c r="C25" s="64">
        <v>0.7</v>
      </c>
      <c r="D25" s="62">
        <v>427</v>
      </c>
      <c r="E25" s="65" t="s">
        <v>174</v>
      </c>
      <c r="F25" s="62" t="s">
        <v>23</v>
      </c>
      <c r="G25" s="62">
        <v>430</v>
      </c>
      <c r="H25" s="64">
        <v>0.6</v>
      </c>
      <c r="I25" s="62"/>
      <c r="J25" s="62"/>
      <c r="K25" s="62" t="s">
        <v>86</v>
      </c>
      <c r="L25" s="66">
        <v>750</v>
      </c>
      <c r="M25" s="67">
        <v>750</v>
      </c>
      <c r="N25" s="66">
        <f>L25-M25</f>
        <v>0</v>
      </c>
      <c r="P25" s="62" t="s">
        <v>145</v>
      </c>
      <c r="Q25" s="62">
        <v>304</v>
      </c>
      <c r="R25" s="64">
        <v>0.9</v>
      </c>
      <c r="S25" s="62">
        <v>300</v>
      </c>
      <c r="T25" s="65" t="s">
        <v>146</v>
      </c>
      <c r="U25" s="62" t="s">
        <v>24</v>
      </c>
      <c r="V25" s="62" t="s">
        <v>24</v>
      </c>
      <c r="W25" s="64" t="s">
        <v>24</v>
      </c>
      <c r="X25" s="62" t="s">
        <v>24</v>
      </c>
      <c r="Y25" s="62" t="s">
        <v>24</v>
      </c>
      <c r="Z25" s="62" t="s">
        <v>24</v>
      </c>
      <c r="AA25" s="66">
        <v>3200</v>
      </c>
      <c r="AB25" s="67"/>
      <c r="AC25" s="66">
        <f t="shared" si="3"/>
        <v>3200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250073</v>
      </c>
      <c r="B26" s="62">
        <v>304</v>
      </c>
      <c r="C26" s="64">
        <v>0.6</v>
      </c>
      <c r="D26" s="62">
        <v>427</v>
      </c>
      <c r="E26" s="65" t="s">
        <v>173</v>
      </c>
      <c r="F26" s="62" t="s">
        <v>23</v>
      </c>
      <c r="G26" s="62">
        <v>430</v>
      </c>
      <c r="H26" s="64">
        <v>0.6</v>
      </c>
      <c r="I26" s="62"/>
      <c r="J26" s="62"/>
      <c r="K26" s="62" t="s">
        <v>86</v>
      </c>
      <c r="L26" s="66">
        <v>750</v>
      </c>
      <c r="M26" s="67">
        <v>300</v>
      </c>
      <c r="N26" s="66">
        <f>L26-M26</f>
        <v>450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250070</v>
      </c>
      <c r="B27" s="62">
        <v>304</v>
      </c>
      <c r="C27" s="64">
        <v>0.6</v>
      </c>
      <c r="D27" s="62">
        <v>427</v>
      </c>
      <c r="E27" s="65" t="s">
        <v>175</v>
      </c>
      <c r="F27" s="62" t="s">
        <v>23</v>
      </c>
      <c r="G27" s="62">
        <v>430</v>
      </c>
      <c r="H27" s="64">
        <v>0.6</v>
      </c>
      <c r="I27" s="62"/>
      <c r="J27" s="62"/>
      <c r="K27" s="62" t="s">
        <v>86</v>
      </c>
      <c r="L27" s="66">
        <v>750</v>
      </c>
      <c r="M27" s="67"/>
      <c r="N27" s="66">
        <f>L27-M27</f>
        <v>750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250072</v>
      </c>
      <c r="B28" s="62">
        <v>304</v>
      </c>
      <c r="C28" s="64">
        <v>0.7</v>
      </c>
      <c r="D28" s="62">
        <v>427</v>
      </c>
      <c r="E28" s="65" t="s">
        <v>190</v>
      </c>
      <c r="F28" s="62" t="s">
        <v>23</v>
      </c>
      <c r="G28" s="62">
        <v>430</v>
      </c>
      <c r="H28" s="64">
        <v>0.6</v>
      </c>
      <c r="I28" s="62"/>
      <c r="J28" s="62"/>
      <c r="K28" s="62" t="s">
        <v>86</v>
      </c>
      <c r="L28" s="66">
        <v>750</v>
      </c>
      <c r="M28" s="67"/>
      <c r="N28" s="66">
        <f t="shared" ref="N28:N32" si="4">L28-M28</f>
        <v>750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3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250071</v>
      </c>
      <c r="B29" s="62">
        <v>304</v>
      </c>
      <c r="C29" s="64">
        <v>0.7</v>
      </c>
      <c r="D29" s="62">
        <v>427</v>
      </c>
      <c r="E29" s="65" t="s">
        <v>191</v>
      </c>
      <c r="F29" s="62" t="s">
        <v>23</v>
      </c>
      <c r="G29" s="62">
        <v>430</v>
      </c>
      <c r="H29" s="64">
        <v>0.6</v>
      </c>
      <c r="I29" s="62"/>
      <c r="J29" s="62"/>
      <c r="K29" s="62" t="s">
        <v>86</v>
      </c>
      <c r="L29" s="66">
        <v>750</v>
      </c>
      <c r="M29" s="67"/>
      <c r="N29" s="66">
        <f t="shared" si="4"/>
        <v>750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3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250073</v>
      </c>
      <c r="B30" s="62">
        <v>304</v>
      </c>
      <c r="C30" s="64">
        <v>0.6</v>
      </c>
      <c r="D30" s="62">
        <v>427</v>
      </c>
      <c r="E30" s="65" t="s">
        <v>190</v>
      </c>
      <c r="F30" s="62" t="s">
        <v>23</v>
      </c>
      <c r="G30" s="62">
        <v>430</v>
      </c>
      <c r="H30" s="64">
        <v>0.6</v>
      </c>
      <c r="I30" s="62"/>
      <c r="J30" s="62"/>
      <c r="K30" s="62" t="s">
        <v>86</v>
      </c>
      <c r="L30" s="66">
        <v>750</v>
      </c>
      <c r="M30" s="67"/>
      <c r="N30" s="66">
        <f t="shared" si="4"/>
        <v>750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3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250070</v>
      </c>
      <c r="B31" s="62">
        <v>304</v>
      </c>
      <c r="C31" s="64">
        <v>0.6</v>
      </c>
      <c r="D31" s="62">
        <v>427</v>
      </c>
      <c r="E31" s="65" t="s">
        <v>192</v>
      </c>
      <c r="F31" s="62" t="s">
        <v>23</v>
      </c>
      <c r="G31" s="62">
        <v>430</v>
      </c>
      <c r="H31" s="64">
        <v>0.6</v>
      </c>
      <c r="I31" s="62"/>
      <c r="J31" s="62"/>
      <c r="K31" s="62" t="s">
        <v>86</v>
      </c>
      <c r="L31" s="66">
        <v>750</v>
      </c>
      <c r="M31" s="67"/>
      <c r="N31" s="66">
        <f t="shared" si="4"/>
        <v>750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3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4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6500</v>
      </c>
      <c r="AB32" s="71">
        <f>SUM(AB24:AB27)</f>
        <v>0</v>
      </c>
      <c r="AC32" s="66">
        <f>SUM(AC24:AC27)</f>
        <v>6500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6000</v>
      </c>
      <c r="M33" s="71">
        <f>SUM(M24:M32)</f>
        <v>1800</v>
      </c>
      <c r="N33" s="66">
        <f>SUM(N24:N32)</f>
        <v>4200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24300</v>
      </c>
      <c r="AL33" s="71">
        <f>SUM(AL4:AL32)</f>
        <v>5750</v>
      </c>
      <c r="AM33" s="66">
        <f>SUM(AM4:AM32)</f>
        <v>18550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7" orientation="portrait" horizontalDpi="1200" verticalDpi="1200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zoomScale="10" zoomScaleNormal="10" workbookViewId="0">
      <selection activeCell="AL10" sqref="AL10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45932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45932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65" t="s">
        <v>178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79</v>
      </c>
      <c r="L4" s="66">
        <v>1400</v>
      </c>
      <c r="M4" s="67">
        <f>400</f>
        <v>400</v>
      </c>
      <c r="N4" s="66">
        <f>L4-M4</f>
        <v>1000</v>
      </c>
      <c r="P4" s="62">
        <v>160925</v>
      </c>
      <c r="Q4" s="62">
        <v>304</v>
      </c>
      <c r="R4" s="64">
        <v>0.9</v>
      </c>
      <c r="S4" s="62"/>
      <c r="T4" s="65" t="s">
        <v>150</v>
      </c>
      <c r="U4" s="62" t="s">
        <v>42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1100</v>
      </c>
      <c r="AB4" s="67"/>
      <c r="AC4" s="66">
        <f>AA4-AB4</f>
        <v>1100</v>
      </c>
      <c r="AE4" s="62" t="s">
        <v>89</v>
      </c>
      <c r="AF4" s="62">
        <v>304</v>
      </c>
      <c r="AG4" s="64">
        <v>0.6</v>
      </c>
      <c r="AH4" s="77">
        <v>160</v>
      </c>
      <c r="AI4" s="65" t="s">
        <v>154</v>
      </c>
      <c r="AJ4" s="78" t="s">
        <v>119</v>
      </c>
      <c r="AK4" s="66">
        <v>3200</v>
      </c>
      <c r="AL4" s="67"/>
      <c r="AM4" s="66">
        <f t="shared" ref="AM4:AM32" si="0">AK4-AL4</f>
        <v>3200</v>
      </c>
    </row>
    <row r="5" spans="1:39" s="76" customFormat="1" ht="100.05" customHeight="1" x14ac:dyDescent="0.3">
      <c r="A5" s="62">
        <v>180925</v>
      </c>
      <c r="B5" s="62">
        <v>430</v>
      </c>
      <c r="C5" s="64">
        <v>0.5</v>
      </c>
      <c r="D5" s="62"/>
      <c r="E5" s="65" t="s">
        <v>179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79</v>
      </c>
      <c r="L5" s="66">
        <v>1120</v>
      </c>
      <c r="M5" s="67"/>
      <c r="N5" s="66">
        <f>L5-M5</f>
        <v>1120</v>
      </c>
      <c r="P5" s="62">
        <v>290925</v>
      </c>
      <c r="Q5" s="62">
        <v>304</v>
      </c>
      <c r="R5" s="64">
        <v>0.8</v>
      </c>
      <c r="S5" s="62">
        <v>369</v>
      </c>
      <c r="T5" s="65" t="s">
        <v>194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4000</v>
      </c>
      <c r="AB5" s="67"/>
      <c r="AC5" s="66">
        <f t="shared" ref="AC5:AC19" si="1">AA5-AB5</f>
        <v>4000</v>
      </c>
      <c r="AE5" s="62">
        <v>100925</v>
      </c>
      <c r="AF5" s="62">
        <v>304</v>
      </c>
      <c r="AG5" s="64">
        <v>0.9</v>
      </c>
      <c r="AH5" s="67"/>
      <c r="AI5" s="65" t="s">
        <v>155</v>
      </c>
      <c r="AJ5" s="78"/>
      <c r="AK5" s="66">
        <v>1200</v>
      </c>
      <c r="AL5" s="67"/>
      <c r="AM5" s="66">
        <f t="shared" si="0"/>
        <v>1200</v>
      </c>
    </row>
    <row r="6" spans="1:39" s="76" customFormat="1" ht="100.05" customHeight="1" x14ac:dyDescent="0.3">
      <c r="A6" s="62">
        <v>180925</v>
      </c>
      <c r="B6" s="62">
        <v>430</v>
      </c>
      <c r="C6" s="64">
        <v>0.5</v>
      </c>
      <c r="D6" s="62"/>
      <c r="E6" s="86" t="s">
        <v>180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86</v>
      </c>
      <c r="L6" s="66">
        <v>1400</v>
      </c>
      <c r="M6" s="67">
        <f>350+650</f>
        <v>1000</v>
      </c>
      <c r="N6" s="66">
        <f>L6-M6</f>
        <v>400</v>
      </c>
      <c r="P6" s="62">
        <v>290925</v>
      </c>
      <c r="Q6" s="62">
        <v>304</v>
      </c>
      <c r="R6" s="64">
        <v>0.8</v>
      </c>
      <c r="S6" s="62">
        <v>330</v>
      </c>
      <c r="T6" s="65" t="s">
        <v>195</v>
      </c>
      <c r="U6" s="62" t="s">
        <v>42</v>
      </c>
      <c r="V6" s="62">
        <v>430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3000</v>
      </c>
      <c r="AB6" s="67"/>
      <c r="AC6" s="66">
        <f t="shared" si="1"/>
        <v>3000</v>
      </c>
      <c r="AE6" s="62">
        <v>100925</v>
      </c>
      <c r="AF6" s="62">
        <v>304</v>
      </c>
      <c r="AG6" s="64">
        <v>0.9</v>
      </c>
      <c r="AH6" s="67"/>
      <c r="AI6" s="65" t="s">
        <v>157</v>
      </c>
      <c r="AJ6" s="78"/>
      <c r="AK6" s="66">
        <v>1500</v>
      </c>
      <c r="AL6" s="67"/>
      <c r="AM6" s="66">
        <f t="shared" si="0"/>
        <v>1500</v>
      </c>
    </row>
    <row r="7" spans="1:39" s="76" customFormat="1" ht="100.05" customHeight="1" x14ac:dyDescent="0.3">
      <c r="A7" s="62"/>
      <c r="B7" s="62"/>
      <c r="C7" s="64"/>
      <c r="D7" s="62"/>
      <c r="E7" s="86"/>
      <c r="F7" s="62"/>
      <c r="G7" s="62"/>
      <c r="H7" s="64"/>
      <c r="I7" s="62"/>
      <c r="J7" s="62"/>
      <c r="K7" s="62"/>
      <c r="L7" s="66"/>
      <c r="M7" s="67"/>
      <c r="N7" s="66">
        <f>L7-M7</f>
        <v>0</v>
      </c>
      <c r="P7" s="62">
        <v>250057</v>
      </c>
      <c r="Q7" s="62">
        <v>304</v>
      </c>
      <c r="R7" s="64">
        <v>0.7</v>
      </c>
      <c r="S7" s="62">
        <v>307</v>
      </c>
      <c r="T7" s="65" t="s">
        <v>196</v>
      </c>
      <c r="U7" s="62" t="s">
        <v>23</v>
      </c>
      <c r="V7" s="62">
        <v>304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395</v>
      </c>
      <c r="AB7" s="67"/>
      <c r="AC7" s="66">
        <f t="shared" si="1"/>
        <v>395</v>
      </c>
      <c r="AE7" s="62">
        <v>100925</v>
      </c>
      <c r="AF7" s="62">
        <v>304</v>
      </c>
      <c r="AG7" s="64">
        <v>0.9</v>
      </c>
      <c r="AH7" s="67"/>
      <c r="AI7" s="65" t="s">
        <v>200</v>
      </c>
      <c r="AJ7" s="78"/>
      <c r="AK7" s="66">
        <v>1500</v>
      </c>
      <c r="AL7" s="67">
        <f>700+800</f>
        <v>1500</v>
      </c>
      <c r="AM7" s="66">
        <f t="shared" si="0"/>
        <v>0</v>
      </c>
    </row>
    <row r="8" spans="1:39" s="76" customFormat="1" ht="100.05" customHeight="1" x14ac:dyDescent="0.3">
      <c r="A8" s="62"/>
      <c r="B8" s="62"/>
      <c r="C8" s="64"/>
      <c r="D8" s="62"/>
      <c r="E8" s="86"/>
      <c r="F8" s="62"/>
      <c r="G8" s="62"/>
      <c r="H8" s="64"/>
      <c r="I8" s="62"/>
      <c r="J8" s="62"/>
      <c r="K8" s="62"/>
      <c r="L8" s="66"/>
      <c r="M8" s="67"/>
      <c r="N8" s="66">
        <f t="shared" ref="N8:N19" si="2">L8-M8</f>
        <v>0</v>
      </c>
      <c r="P8" s="62">
        <v>250057</v>
      </c>
      <c r="Q8" s="62">
        <v>304</v>
      </c>
      <c r="R8" s="64">
        <v>0.9</v>
      </c>
      <c r="S8" s="62">
        <v>307</v>
      </c>
      <c r="T8" s="65" t="s">
        <v>197</v>
      </c>
      <c r="U8" s="62" t="s">
        <v>23</v>
      </c>
      <c r="V8" s="62">
        <v>304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15</v>
      </c>
      <c r="AB8" s="67"/>
      <c r="AC8" s="66">
        <f t="shared" si="1"/>
        <v>15</v>
      </c>
      <c r="AE8" s="62">
        <v>100925</v>
      </c>
      <c r="AF8" s="62">
        <v>304</v>
      </c>
      <c r="AG8" s="64">
        <v>0.9</v>
      </c>
      <c r="AH8" s="67"/>
      <c r="AI8" s="65" t="s">
        <v>158</v>
      </c>
      <c r="AJ8" s="78"/>
      <c r="AK8" s="66">
        <v>600</v>
      </c>
      <c r="AL8" s="67"/>
      <c r="AM8" s="66">
        <f t="shared" si="0"/>
        <v>600</v>
      </c>
    </row>
    <row r="9" spans="1:39" s="76" customFormat="1" ht="100.05" customHeight="1" x14ac:dyDescent="0.3">
      <c r="A9" s="62">
        <v>250071</v>
      </c>
      <c r="B9" s="62">
        <v>304</v>
      </c>
      <c r="C9" s="64">
        <v>0.7</v>
      </c>
      <c r="D9" s="62"/>
      <c r="E9" s="86" t="s">
        <v>188</v>
      </c>
      <c r="F9" s="62" t="s">
        <v>23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186</v>
      </c>
      <c r="L9" s="66">
        <v>750</v>
      </c>
      <c r="M9" s="67">
        <v>750</v>
      </c>
      <c r="N9" s="66">
        <f t="shared" si="2"/>
        <v>0</v>
      </c>
      <c r="P9" s="62">
        <v>250061</v>
      </c>
      <c r="Q9" s="62">
        <v>304</v>
      </c>
      <c r="R9" s="64">
        <v>0.7</v>
      </c>
      <c r="S9" s="62">
        <v>265</v>
      </c>
      <c r="T9" s="65" t="s">
        <v>198</v>
      </c>
      <c r="U9" s="62" t="s">
        <v>181</v>
      </c>
      <c r="V9" s="62">
        <v>304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525</v>
      </c>
      <c r="AB9" s="67"/>
      <c r="AC9" s="66">
        <f t="shared" si="1"/>
        <v>525</v>
      </c>
      <c r="AE9" s="62">
        <v>100925</v>
      </c>
      <c r="AF9" s="62">
        <v>304</v>
      </c>
      <c r="AG9" s="64">
        <v>0.9</v>
      </c>
      <c r="AH9" s="77"/>
      <c r="AI9" s="65" t="s">
        <v>159</v>
      </c>
      <c r="AJ9" s="78"/>
      <c r="AK9" s="66">
        <v>600</v>
      </c>
      <c r="AL9" s="67">
        <v>600</v>
      </c>
      <c r="AM9" s="66">
        <f t="shared" si="0"/>
        <v>0</v>
      </c>
    </row>
    <row r="10" spans="1:39" s="76" customFormat="1" ht="100.05" customHeight="1" x14ac:dyDescent="0.3">
      <c r="A10" s="62">
        <v>250072</v>
      </c>
      <c r="B10" s="62">
        <v>304</v>
      </c>
      <c r="C10" s="64">
        <v>0.7</v>
      </c>
      <c r="D10" s="62"/>
      <c r="E10" s="86" t="s">
        <v>189</v>
      </c>
      <c r="F10" s="62" t="s">
        <v>23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186</v>
      </c>
      <c r="L10" s="66">
        <v>750</v>
      </c>
      <c r="M10" s="67">
        <v>750</v>
      </c>
      <c r="N10" s="66">
        <f t="shared" si="2"/>
        <v>0</v>
      </c>
      <c r="P10" s="62">
        <v>250061</v>
      </c>
      <c r="Q10" s="62">
        <v>304</v>
      </c>
      <c r="R10" s="64">
        <v>0.7</v>
      </c>
      <c r="S10" s="62">
        <v>265</v>
      </c>
      <c r="T10" s="65" t="s">
        <v>199</v>
      </c>
      <c r="U10" s="62" t="s">
        <v>181</v>
      </c>
      <c r="V10" s="62">
        <v>304</v>
      </c>
      <c r="W10" s="64" t="s">
        <v>24</v>
      </c>
      <c r="X10" s="62" t="s">
        <v>24</v>
      </c>
      <c r="Y10" s="62" t="s">
        <v>24</v>
      </c>
      <c r="Z10" s="62" t="s">
        <v>74</v>
      </c>
      <c r="AA10" s="66">
        <v>15</v>
      </c>
      <c r="AB10" s="67"/>
      <c r="AC10" s="66">
        <f t="shared" si="1"/>
        <v>15</v>
      </c>
      <c r="AE10" s="62" t="s">
        <v>126</v>
      </c>
      <c r="AF10" s="62">
        <v>304</v>
      </c>
      <c r="AG10" s="64">
        <v>0.9</v>
      </c>
      <c r="AH10" s="77"/>
      <c r="AI10" s="65" t="s">
        <v>160</v>
      </c>
      <c r="AJ10" s="78"/>
      <c r="AK10" s="66">
        <v>1200</v>
      </c>
      <c r="AL10" s="67">
        <v>350</v>
      </c>
      <c r="AM10" s="66">
        <f t="shared" si="0"/>
        <v>850</v>
      </c>
    </row>
    <row r="11" spans="1:39" s="76" customFormat="1" ht="100.05" customHeight="1" x14ac:dyDescent="0.3">
      <c r="A11" s="62">
        <v>250077</v>
      </c>
      <c r="B11" s="62">
        <v>430</v>
      </c>
      <c r="C11" s="64">
        <v>0.5</v>
      </c>
      <c r="D11" s="62">
        <v>52</v>
      </c>
      <c r="E11" s="86" t="s">
        <v>193</v>
      </c>
      <c r="F11" s="62" t="s">
        <v>23</v>
      </c>
      <c r="G11" s="62">
        <v>430</v>
      </c>
      <c r="H11" s="64">
        <v>0.5</v>
      </c>
      <c r="I11" s="62" t="s">
        <v>24</v>
      </c>
      <c r="J11" s="62" t="s">
        <v>24</v>
      </c>
      <c r="K11" s="62" t="s">
        <v>186</v>
      </c>
      <c r="L11" s="66">
        <v>1400</v>
      </c>
      <c r="M11" s="67">
        <v>200</v>
      </c>
      <c r="N11" s="66">
        <f t="shared" si="2"/>
        <v>1200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 t="s">
        <v>126</v>
      </c>
      <c r="AF11" s="62">
        <v>304</v>
      </c>
      <c r="AG11" s="64">
        <v>0.9</v>
      </c>
      <c r="AH11" s="77"/>
      <c r="AI11" s="65" t="s">
        <v>165</v>
      </c>
      <c r="AJ11" s="78"/>
      <c r="AK11" s="66">
        <v>1200</v>
      </c>
      <c r="AL11" s="67"/>
      <c r="AM11" s="66">
        <f t="shared" si="0"/>
        <v>1200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77"/>
      <c r="AI12" s="65" t="s">
        <v>161</v>
      </c>
      <c r="AJ12" s="78"/>
      <c r="AK12" s="66">
        <v>1500</v>
      </c>
      <c r="AL12" s="67"/>
      <c r="AM12" s="66">
        <f t="shared" si="0"/>
        <v>1500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 t="s">
        <v>126</v>
      </c>
      <c r="AF13" s="62">
        <v>304</v>
      </c>
      <c r="AG13" s="64">
        <v>0.9</v>
      </c>
      <c r="AH13" s="77"/>
      <c r="AI13" s="65" t="s">
        <v>164</v>
      </c>
      <c r="AJ13" s="78"/>
      <c r="AK13" s="66">
        <v>1500</v>
      </c>
      <c r="AL13" s="67"/>
      <c r="AM13" s="66">
        <f t="shared" si="0"/>
        <v>1500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 t="s">
        <v>126</v>
      </c>
      <c r="AF14" s="62">
        <v>304</v>
      </c>
      <c r="AG14" s="64">
        <v>0.9</v>
      </c>
      <c r="AH14" s="77"/>
      <c r="AI14" s="65" t="s">
        <v>162</v>
      </c>
      <c r="AJ14" s="78"/>
      <c r="AK14" s="66">
        <v>1500</v>
      </c>
      <c r="AL14" s="67"/>
      <c r="AM14" s="66">
        <f t="shared" si="0"/>
        <v>1500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 t="s">
        <v>126</v>
      </c>
      <c r="AF15" s="62">
        <v>304</v>
      </c>
      <c r="AG15" s="64">
        <v>0.9</v>
      </c>
      <c r="AH15" s="67"/>
      <c r="AI15" s="65" t="s">
        <v>163</v>
      </c>
      <c r="AJ15" s="78"/>
      <c r="AK15" s="66">
        <v>1500</v>
      </c>
      <c r="AL15" s="67"/>
      <c r="AM15" s="66">
        <f t="shared" si="0"/>
        <v>1500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160925</v>
      </c>
      <c r="AF16" s="62">
        <v>304</v>
      </c>
      <c r="AG16" s="64">
        <v>0.9</v>
      </c>
      <c r="AH16" s="67"/>
      <c r="AI16" s="65" t="s">
        <v>167</v>
      </c>
      <c r="AJ16" s="78"/>
      <c r="AK16" s="66">
        <v>1100</v>
      </c>
      <c r="AL16" s="67"/>
      <c r="AM16" s="66">
        <f t="shared" si="0"/>
        <v>1100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160925</v>
      </c>
      <c r="AF17" s="62">
        <v>304</v>
      </c>
      <c r="AG17" s="64">
        <v>0.9</v>
      </c>
      <c r="AH17" s="67"/>
      <c r="AI17" s="65" t="s">
        <v>168</v>
      </c>
      <c r="AJ17" s="78"/>
      <c r="AK17" s="66">
        <v>1100</v>
      </c>
      <c r="AL17" s="67"/>
      <c r="AM17" s="66">
        <f t="shared" si="0"/>
        <v>1100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6820</v>
      </c>
      <c r="M20" s="71">
        <f>SUM(M4:M19)</f>
        <v>3100</v>
      </c>
      <c r="N20" s="66">
        <f>SUM(N4:N19)</f>
        <v>3720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8495</v>
      </c>
      <c r="AB20" s="71">
        <f>SUM(AB4:AB19)</f>
        <v>0</v>
      </c>
      <c r="AC20" s="66">
        <f>SUM(AC4:AC19)</f>
        <v>9050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250073</v>
      </c>
      <c r="B24" s="62">
        <v>304</v>
      </c>
      <c r="C24" s="64">
        <v>0.6</v>
      </c>
      <c r="D24" s="62">
        <v>427</v>
      </c>
      <c r="E24" s="65" t="s">
        <v>173</v>
      </c>
      <c r="F24" s="62" t="s">
        <v>23</v>
      </c>
      <c r="G24" s="62">
        <v>430</v>
      </c>
      <c r="H24" s="64">
        <v>0.6</v>
      </c>
      <c r="I24" s="62"/>
      <c r="J24" s="62"/>
      <c r="K24" s="62" t="s">
        <v>86</v>
      </c>
      <c r="L24" s="66">
        <v>750</v>
      </c>
      <c r="M24" s="67">
        <f>300+450</f>
        <v>750</v>
      </c>
      <c r="N24" s="66">
        <f>L24-M24</f>
        <v>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1" si="3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250070</v>
      </c>
      <c r="B25" s="62">
        <v>304</v>
      </c>
      <c r="C25" s="64">
        <v>0.6</v>
      </c>
      <c r="D25" s="62">
        <v>427</v>
      </c>
      <c r="E25" s="65" t="s">
        <v>175</v>
      </c>
      <c r="F25" s="62" t="s">
        <v>23</v>
      </c>
      <c r="G25" s="62">
        <v>430</v>
      </c>
      <c r="H25" s="64">
        <v>0.6</v>
      </c>
      <c r="I25" s="62"/>
      <c r="J25" s="62"/>
      <c r="K25" s="62" t="s">
        <v>86</v>
      </c>
      <c r="L25" s="66">
        <v>750</v>
      </c>
      <c r="M25" s="67">
        <v>750</v>
      </c>
      <c r="N25" s="66">
        <f>L25-M25</f>
        <v>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3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/>
      <c r="B26" s="62"/>
      <c r="C26" s="64"/>
      <c r="D26" s="62"/>
      <c r="E26" s="65"/>
      <c r="F26" s="62"/>
      <c r="G26" s="62"/>
      <c r="H26" s="64"/>
      <c r="I26" s="62"/>
      <c r="J26" s="62"/>
      <c r="K26" s="62"/>
      <c r="L26" s="66"/>
      <c r="M26" s="67"/>
      <c r="N26" s="66">
        <f>L26-M26</f>
        <v>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250072</v>
      </c>
      <c r="B27" s="62">
        <v>304</v>
      </c>
      <c r="C27" s="64">
        <v>0.7</v>
      </c>
      <c r="D27" s="62">
        <v>427</v>
      </c>
      <c r="E27" s="65" t="s">
        <v>190</v>
      </c>
      <c r="F27" s="62" t="s">
        <v>23</v>
      </c>
      <c r="G27" s="62">
        <v>430</v>
      </c>
      <c r="H27" s="64">
        <v>0.6</v>
      </c>
      <c r="I27" s="62"/>
      <c r="J27" s="62"/>
      <c r="K27" s="62" t="s">
        <v>86</v>
      </c>
      <c r="L27" s="66">
        <v>750</v>
      </c>
      <c r="M27" s="67">
        <v>350</v>
      </c>
      <c r="N27" s="66">
        <f>L27-M27</f>
        <v>400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250071</v>
      </c>
      <c r="B28" s="62">
        <v>304</v>
      </c>
      <c r="C28" s="64">
        <v>0.7</v>
      </c>
      <c r="D28" s="62">
        <v>427</v>
      </c>
      <c r="E28" s="65" t="s">
        <v>191</v>
      </c>
      <c r="F28" s="62" t="s">
        <v>23</v>
      </c>
      <c r="G28" s="62">
        <v>430</v>
      </c>
      <c r="H28" s="64">
        <v>0.6</v>
      </c>
      <c r="I28" s="62"/>
      <c r="J28" s="62"/>
      <c r="K28" s="62" t="s">
        <v>86</v>
      </c>
      <c r="L28" s="66">
        <v>750</v>
      </c>
      <c r="M28" s="67"/>
      <c r="N28" s="66">
        <f t="shared" ref="N28:N32" si="4">L28-M28</f>
        <v>750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3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250073</v>
      </c>
      <c r="B29" s="62">
        <v>304</v>
      </c>
      <c r="C29" s="64">
        <v>0.6</v>
      </c>
      <c r="D29" s="62">
        <v>427</v>
      </c>
      <c r="E29" s="65" t="s">
        <v>190</v>
      </c>
      <c r="F29" s="62" t="s">
        <v>23</v>
      </c>
      <c r="G29" s="62">
        <v>430</v>
      </c>
      <c r="H29" s="64">
        <v>0.6</v>
      </c>
      <c r="I29" s="62"/>
      <c r="J29" s="62"/>
      <c r="K29" s="62" t="s">
        <v>86</v>
      </c>
      <c r="L29" s="66">
        <v>750</v>
      </c>
      <c r="M29" s="67"/>
      <c r="N29" s="66">
        <f t="shared" si="4"/>
        <v>750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3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250070</v>
      </c>
      <c r="B30" s="62">
        <v>304</v>
      </c>
      <c r="C30" s="64">
        <v>0.6</v>
      </c>
      <c r="D30" s="62">
        <v>427</v>
      </c>
      <c r="E30" s="65" t="s">
        <v>192</v>
      </c>
      <c r="F30" s="62" t="s">
        <v>23</v>
      </c>
      <c r="G30" s="62">
        <v>430</v>
      </c>
      <c r="H30" s="64">
        <v>0.6</v>
      </c>
      <c r="I30" s="62"/>
      <c r="J30" s="62"/>
      <c r="K30" s="62" t="s">
        <v>86</v>
      </c>
      <c r="L30" s="66">
        <v>750</v>
      </c>
      <c r="M30" s="67"/>
      <c r="N30" s="66">
        <f t="shared" si="4"/>
        <v>750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3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/>
      <c r="B31" s="62"/>
      <c r="C31" s="64"/>
      <c r="D31" s="62"/>
      <c r="E31" s="65"/>
      <c r="F31" s="62"/>
      <c r="G31" s="62"/>
      <c r="H31" s="64"/>
      <c r="I31" s="62"/>
      <c r="J31" s="62"/>
      <c r="K31" s="62"/>
      <c r="L31" s="66"/>
      <c r="M31" s="67"/>
      <c r="N31" s="66">
        <f t="shared" si="4"/>
        <v>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3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4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0</v>
      </c>
      <c r="AB32" s="71">
        <f>SUM(AB24:AB27)</f>
        <v>0</v>
      </c>
      <c r="AC32" s="66">
        <f>SUM(AC24:AC27)</f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4500</v>
      </c>
      <c r="M33" s="71">
        <f>SUM(M24:M32)</f>
        <v>1850</v>
      </c>
      <c r="N33" s="66">
        <f>SUM(N24:N32)</f>
        <v>2650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19200</v>
      </c>
      <c r="AL33" s="71">
        <f>SUM(AL4:AL32)</f>
        <v>2450</v>
      </c>
      <c r="AM33" s="66">
        <f>SUM(AM4:AM32)</f>
        <v>16750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7" orientation="portrait" horizontalDpi="1200" verticalDpi="120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zoomScale="25" zoomScaleNormal="25" workbookViewId="0">
      <selection activeCell="V4" sqref="V4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45932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45932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65" t="s">
        <v>179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79</v>
      </c>
      <c r="L4" s="66">
        <v>1120</v>
      </c>
      <c r="M4" s="67">
        <v>600</v>
      </c>
      <c r="N4" s="66">
        <f>L4-M4</f>
        <v>520</v>
      </c>
      <c r="P4" s="62">
        <v>160925</v>
      </c>
      <c r="Q4" s="62">
        <v>304</v>
      </c>
      <c r="R4" s="64">
        <v>0.9</v>
      </c>
      <c r="S4" s="62"/>
      <c r="T4" s="65" t="s">
        <v>150</v>
      </c>
      <c r="U4" s="62" t="s">
        <v>42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1100</v>
      </c>
      <c r="AB4" s="67">
        <v>1130</v>
      </c>
      <c r="AC4" s="66">
        <f>AA4-AB4</f>
        <v>-30</v>
      </c>
      <c r="AE4" s="62" t="s">
        <v>89</v>
      </c>
      <c r="AF4" s="62">
        <v>304</v>
      </c>
      <c r="AG4" s="64">
        <v>0.6</v>
      </c>
      <c r="AH4" s="77">
        <v>160</v>
      </c>
      <c r="AI4" s="65" t="s">
        <v>154</v>
      </c>
      <c r="AJ4" s="78" t="s">
        <v>119</v>
      </c>
      <c r="AK4" s="66">
        <v>3200</v>
      </c>
      <c r="AL4" s="67"/>
      <c r="AM4" s="66">
        <f t="shared" ref="AM4:AM32" si="0">AK4-AL4</f>
        <v>3200</v>
      </c>
    </row>
    <row r="5" spans="1:39" s="76" customFormat="1" ht="100.05" customHeight="1" x14ac:dyDescent="0.3">
      <c r="A5" s="62">
        <v>180925</v>
      </c>
      <c r="B5" s="62">
        <v>430</v>
      </c>
      <c r="C5" s="64">
        <v>0.5</v>
      </c>
      <c r="D5" s="62"/>
      <c r="E5" s="86" t="s">
        <v>180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86</v>
      </c>
      <c r="L5" s="66">
        <v>1400</v>
      </c>
      <c r="M5" s="67">
        <f>350+650</f>
        <v>1000</v>
      </c>
      <c r="N5" s="66">
        <f>L5-M5</f>
        <v>400</v>
      </c>
      <c r="P5" s="62">
        <v>290925</v>
      </c>
      <c r="Q5" s="62">
        <v>304</v>
      </c>
      <c r="R5" s="64">
        <v>0.8</v>
      </c>
      <c r="S5" s="62">
        <v>369</v>
      </c>
      <c r="T5" s="65" t="s">
        <v>194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4000</v>
      </c>
      <c r="AB5" s="67">
        <v>200</v>
      </c>
      <c r="AC5" s="66">
        <f t="shared" ref="AC5:AC19" si="1">AA5-AB5</f>
        <v>3800</v>
      </c>
      <c r="AE5" s="62">
        <v>100925</v>
      </c>
      <c r="AF5" s="62">
        <v>304</v>
      </c>
      <c r="AG5" s="64">
        <v>0.9</v>
      </c>
      <c r="AH5" s="67"/>
      <c r="AI5" s="65" t="s">
        <v>155</v>
      </c>
      <c r="AJ5" s="78"/>
      <c r="AK5" s="66">
        <v>1200</v>
      </c>
      <c r="AL5" s="67"/>
      <c r="AM5" s="66">
        <f t="shared" si="0"/>
        <v>1200</v>
      </c>
    </row>
    <row r="6" spans="1:39" s="76" customFormat="1" ht="100.05" customHeight="1" x14ac:dyDescent="0.3">
      <c r="A6" s="62">
        <v>160925</v>
      </c>
      <c r="B6" s="62">
        <v>304</v>
      </c>
      <c r="C6" s="64">
        <v>0.7</v>
      </c>
      <c r="D6" s="62">
        <v>319</v>
      </c>
      <c r="E6" s="86" t="s">
        <v>205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86</v>
      </c>
      <c r="L6" s="66">
        <v>1100</v>
      </c>
      <c r="M6" s="67"/>
      <c r="N6" s="66">
        <f>L6-M6</f>
        <v>1100</v>
      </c>
      <c r="P6" s="62">
        <v>290925</v>
      </c>
      <c r="Q6" s="62">
        <v>304</v>
      </c>
      <c r="R6" s="64">
        <v>0.8</v>
      </c>
      <c r="S6" s="62">
        <v>330</v>
      </c>
      <c r="T6" s="65" t="s">
        <v>195</v>
      </c>
      <c r="U6" s="62" t="s">
        <v>42</v>
      </c>
      <c r="V6" s="62">
        <v>430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3000</v>
      </c>
      <c r="AB6" s="67"/>
      <c r="AC6" s="66">
        <f t="shared" si="1"/>
        <v>3000</v>
      </c>
      <c r="AE6" s="62">
        <v>100925</v>
      </c>
      <c r="AF6" s="62">
        <v>304</v>
      </c>
      <c r="AG6" s="64">
        <v>0.9</v>
      </c>
      <c r="AH6" s="67"/>
      <c r="AI6" s="65" t="s">
        <v>157</v>
      </c>
      <c r="AJ6" s="78"/>
      <c r="AK6" s="66">
        <v>1500</v>
      </c>
      <c r="AL6" s="67"/>
      <c r="AM6" s="66">
        <f t="shared" si="0"/>
        <v>1500</v>
      </c>
    </row>
    <row r="7" spans="1:39" s="76" customFormat="1" ht="100.05" customHeight="1" x14ac:dyDescent="0.3">
      <c r="A7" s="62">
        <v>180925</v>
      </c>
      <c r="B7" s="62">
        <v>304</v>
      </c>
      <c r="C7" s="64">
        <v>0.7</v>
      </c>
      <c r="D7" s="62">
        <v>433</v>
      </c>
      <c r="E7" s="86" t="s">
        <v>208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2100</v>
      </c>
      <c r="M7" s="67"/>
      <c r="N7" s="66">
        <f>L7-M7</f>
        <v>2100</v>
      </c>
      <c r="P7" s="62">
        <v>250057</v>
      </c>
      <c r="Q7" s="62">
        <v>304</v>
      </c>
      <c r="R7" s="64">
        <v>0.7</v>
      </c>
      <c r="S7" s="62">
        <v>307</v>
      </c>
      <c r="T7" s="65" t="s">
        <v>196</v>
      </c>
      <c r="U7" s="62" t="s">
        <v>23</v>
      </c>
      <c r="V7" s="62">
        <v>304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395</v>
      </c>
      <c r="AB7" s="67"/>
      <c r="AC7" s="66">
        <f t="shared" si="1"/>
        <v>395</v>
      </c>
      <c r="AE7" s="62">
        <v>100925</v>
      </c>
      <c r="AF7" s="62">
        <v>304</v>
      </c>
      <c r="AG7" s="64">
        <v>0.9</v>
      </c>
      <c r="AH7" s="67"/>
      <c r="AI7" s="65" t="s">
        <v>158</v>
      </c>
      <c r="AJ7" s="78"/>
      <c r="AK7" s="66">
        <v>600</v>
      </c>
      <c r="AL7" s="67"/>
      <c r="AM7" s="66">
        <f t="shared" si="0"/>
        <v>600</v>
      </c>
    </row>
    <row r="8" spans="1:39" s="76" customFormat="1" ht="100.05" customHeight="1" x14ac:dyDescent="0.3">
      <c r="A8" s="62">
        <v>160925</v>
      </c>
      <c r="B8" s="62">
        <v>304</v>
      </c>
      <c r="C8" s="64">
        <v>0.7</v>
      </c>
      <c r="D8" s="62">
        <v>433</v>
      </c>
      <c r="E8" s="86" t="s">
        <v>209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1100</v>
      </c>
      <c r="M8" s="67"/>
      <c r="N8" s="66">
        <f t="shared" ref="N8:N19" si="2">L8-M8</f>
        <v>1100</v>
      </c>
      <c r="P8" s="62">
        <v>250057</v>
      </c>
      <c r="Q8" s="62">
        <v>304</v>
      </c>
      <c r="R8" s="64">
        <v>0.9</v>
      </c>
      <c r="S8" s="62">
        <v>307</v>
      </c>
      <c r="T8" s="65" t="s">
        <v>197</v>
      </c>
      <c r="U8" s="62" t="s">
        <v>23</v>
      </c>
      <c r="V8" s="62">
        <v>304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15</v>
      </c>
      <c r="AB8" s="67"/>
      <c r="AC8" s="66">
        <f t="shared" si="1"/>
        <v>15</v>
      </c>
      <c r="AE8" s="62">
        <v>100925</v>
      </c>
      <c r="AF8" s="62">
        <v>304</v>
      </c>
      <c r="AG8" s="64">
        <v>0.9</v>
      </c>
      <c r="AH8" s="77"/>
      <c r="AI8" s="65" t="s">
        <v>159</v>
      </c>
      <c r="AJ8" s="78"/>
      <c r="AK8" s="66">
        <v>600</v>
      </c>
      <c r="AL8" s="67"/>
      <c r="AM8" s="66">
        <f t="shared" si="0"/>
        <v>600</v>
      </c>
    </row>
    <row r="9" spans="1:39" s="76" customFormat="1" ht="100.05" customHeight="1" x14ac:dyDescent="0.3">
      <c r="A9" s="62">
        <v>160925</v>
      </c>
      <c r="B9" s="62">
        <v>304</v>
      </c>
      <c r="C9" s="64">
        <v>0.7</v>
      </c>
      <c r="D9" s="62">
        <v>362</v>
      </c>
      <c r="E9" s="86" t="s">
        <v>210</v>
      </c>
      <c r="F9" s="62" t="s">
        <v>121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186</v>
      </c>
      <c r="L9" s="66">
        <v>1100</v>
      </c>
      <c r="M9" s="67"/>
      <c r="N9" s="66">
        <f t="shared" si="2"/>
        <v>1100</v>
      </c>
      <c r="P9" s="62">
        <v>250061</v>
      </c>
      <c r="Q9" s="62">
        <v>304</v>
      </c>
      <c r="R9" s="64">
        <v>0.7</v>
      </c>
      <c r="S9" s="62">
        <v>265</v>
      </c>
      <c r="T9" s="65" t="s">
        <v>198</v>
      </c>
      <c r="U9" s="62" t="s">
        <v>181</v>
      </c>
      <c r="V9" s="62">
        <v>304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525</v>
      </c>
      <c r="AB9" s="67"/>
      <c r="AC9" s="66">
        <f t="shared" si="1"/>
        <v>525</v>
      </c>
      <c r="AE9" s="62" t="s">
        <v>126</v>
      </c>
      <c r="AF9" s="62">
        <v>304</v>
      </c>
      <c r="AG9" s="64">
        <v>0.9</v>
      </c>
      <c r="AH9" s="77"/>
      <c r="AI9" s="65" t="s">
        <v>160</v>
      </c>
      <c r="AJ9" s="78"/>
      <c r="AK9" s="66">
        <v>1200</v>
      </c>
      <c r="AL9" s="67"/>
      <c r="AM9" s="66">
        <f t="shared" si="0"/>
        <v>1200</v>
      </c>
    </row>
    <row r="10" spans="1:39" s="76" customFormat="1" ht="100.05" customHeight="1" x14ac:dyDescent="0.3">
      <c r="A10" s="62"/>
      <c r="B10" s="62"/>
      <c r="C10" s="64"/>
      <c r="D10" s="62"/>
      <c r="E10" s="86"/>
      <c r="F10" s="62"/>
      <c r="G10" s="62"/>
      <c r="H10" s="64"/>
      <c r="I10" s="62"/>
      <c r="J10" s="62"/>
      <c r="K10" s="62"/>
      <c r="L10" s="66"/>
      <c r="M10" s="67"/>
      <c r="N10" s="66">
        <f t="shared" si="2"/>
        <v>0</v>
      </c>
      <c r="P10" s="62">
        <v>250061</v>
      </c>
      <c r="Q10" s="62">
        <v>304</v>
      </c>
      <c r="R10" s="64">
        <v>0.7</v>
      </c>
      <c r="S10" s="62">
        <v>265</v>
      </c>
      <c r="T10" s="65" t="s">
        <v>199</v>
      </c>
      <c r="U10" s="62" t="s">
        <v>181</v>
      </c>
      <c r="V10" s="62">
        <v>304</v>
      </c>
      <c r="W10" s="64" t="s">
        <v>24</v>
      </c>
      <c r="X10" s="62" t="s">
        <v>24</v>
      </c>
      <c r="Y10" s="62" t="s">
        <v>24</v>
      </c>
      <c r="Z10" s="62" t="s">
        <v>74</v>
      </c>
      <c r="AA10" s="66">
        <v>15</v>
      </c>
      <c r="AB10" s="67"/>
      <c r="AC10" s="66">
        <f t="shared" si="1"/>
        <v>15</v>
      </c>
      <c r="AE10" s="62" t="s">
        <v>126</v>
      </c>
      <c r="AF10" s="62">
        <v>304</v>
      </c>
      <c r="AG10" s="64">
        <v>0.9</v>
      </c>
      <c r="AH10" s="77"/>
      <c r="AI10" s="65" t="s">
        <v>165</v>
      </c>
      <c r="AJ10" s="78"/>
      <c r="AK10" s="66">
        <v>1200</v>
      </c>
      <c r="AL10" s="67"/>
      <c r="AM10" s="66">
        <f t="shared" si="0"/>
        <v>1200</v>
      </c>
    </row>
    <row r="11" spans="1:39" s="76" customFormat="1" ht="100.05" customHeight="1" x14ac:dyDescent="0.3">
      <c r="A11" s="62"/>
      <c r="B11" s="62"/>
      <c r="C11" s="64"/>
      <c r="D11" s="62"/>
      <c r="E11" s="86"/>
      <c r="F11" s="62"/>
      <c r="G11" s="62"/>
      <c r="H11" s="64"/>
      <c r="I11" s="62"/>
      <c r="J11" s="62"/>
      <c r="K11" s="62"/>
      <c r="L11" s="66"/>
      <c r="M11" s="67"/>
      <c r="N11" s="66">
        <f t="shared" si="2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 t="s">
        <v>126</v>
      </c>
      <c r="AF11" s="62">
        <v>304</v>
      </c>
      <c r="AG11" s="64">
        <v>0.9</v>
      </c>
      <c r="AH11" s="77"/>
      <c r="AI11" s="65" t="s">
        <v>161</v>
      </c>
      <c r="AJ11" s="78"/>
      <c r="AK11" s="66">
        <v>1500</v>
      </c>
      <c r="AL11" s="67"/>
      <c r="AM11" s="66">
        <f t="shared" si="0"/>
        <v>1500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77"/>
      <c r="AI12" s="65" t="s">
        <v>164</v>
      </c>
      <c r="AJ12" s="78"/>
      <c r="AK12" s="66">
        <v>1500</v>
      </c>
      <c r="AL12" s="67"/>
      <c r="AM12" s="66">
        <f t="shared" si="0"/>
        <v>1500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 t="s">
        <v>126</v>
      </c>
      <c r="AF13" s="62">
        <v>304</v>
      </c>
      <c r="AG13" s="64">
        <v>0.9</v>
      </c>
      <c r="AH13" s="77"/>
      <c r="AI13" s="65" t="s">
        <v>162</v>
      </c>
      <c r="AJ13" s="78"/>
      <c r="AK13" s="66">
        <v>1500</v>
      </c>
      <c r="AL13" s="67"/>
      <c r="AM13" s="66">
        <f t="shared" si="0"/>
        <v>1500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 t="s">
        <v>126</v>
      </c>
      <c r="AF14" s="62">
        <v>304</v>
      </c>
      <c r="AG14" s="64">
        <v>0.9</v>
      </c>
      <c r="AH14" s="67"/>
      <c r="AI14" s="65" t="s">
        <v>163</v>
      </c>
      <c r="AJ14" s="78"/>
      <c r="AK14" s="66">
        <v>1500</v>
      </c>
      <c r="AL14" s="67"/>
      <c r="AM14" s="66">
        <f t="shared" si="0"/>
        <v>1500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160925</v>
      </c>
      <c r="AF15" s="62">
        <v>304</v>
      </c>
      <c r="AG15" s="64">
        <v>0.9</v>
      </c>
      <c r="AH15" s="67"/>
      <c r="AI15" s="65" t="s">
        <v>167</v>
      </c>
      <c r="AJ15" s="78"/>
      <c r="AK15" s="66">
        <v>1100</v>
      </c>
      <c r="AL15" s="67"/>
      <c r="AM15" s="66">
        <f t="shared" si="0"/>
        <v>1100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290925</v>
      </c>
      <c r="AF16" s="62">
        <v>304</v>
      </c>
      <c r="AG16" s="64" t="s">
        <v>24</v>
      </c>
      <c r="AH16" s="67" t="s">
        <v>24</v>
      </c>
      <c r="AI16" s="65" t="s">
        <v>201</v>
      </c>
      <c r="AJ16" s="78"/>
      <c r="AK16" s="66">
        <v>4000</v>
      </c>
      <c r="AL16" s="67"/>
      <c r="AM16" s="66">
        <f t="shared" si="0"/>
        <v>4000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290925</v>
      </c>
      <c r="AF17" s="62">
        <v>304</v>
      </c>
      <c r="AG17" s="64" t="s">
        <v>24</v>
      </c>
      <c r="AH17" s="67" t="s">
        <v>24</v>
      </c>
      <c r="AI17" s="65" t="s">
        <v>202</v>
      </c>
      <c r="AJ17" s="78"/>
      <c r="AK17" s="66">
        <v>4000</v>
      </c>
      <c r="AL17" s="67"/>
      <c r="AM17" s="66">
        <f t="shared" si="0"/>
        <v>4000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290925</v>
      </c>
      <c r="AF18" s="62">
        <v>304</v>
      </c>
      <c r="AG18" s="64" t="s">
        <v>24</v>
      </c>
      <c r="AH18" s="67" t="s">
        <v>24</v>
      </c>
      <c r="AI18" s="65" t="s">
        <v>203</v>
      </c>
      <c r="AJ18" s="78"/>
      <c r="AK18" s="66">
        <v>3000</v>
      </c>
      <c r="AL18" s="67"/>
      <c r="AM18" s="66">
        <f t="shared" si="0"/>
        <v>3000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>
        <v>290925</v>
      </c>
      <c r="AF19" s="62">
        <v>304</v>
      </c>
      <c r="AG19" s="64" t="s">
        <v>24</v>
      </c>
      <c r="AH19" s="67" t="s">
        <v>24</v>
      </c>
      <c r="AI19" s="65" t="s">
        <v>204</v>
      </c>
      <c r="AJ19" s="78"/>
      <c r="AK19" s="66">
        <v>3000</v>
      </c>
      <c r="AL19" s="67"/>
      <c r="AM19" s="66">
        <f t="shared" si="0"/>
        <v>3000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7920</v>
      </c>
      <c r="M20" s="71">
        <f>SUM(M4:M19)</f>
        <v>1600</v>
      </c>
      <c r="N20" s="66">
        <f>SUM(N4:N19)</f>
        <v>6320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8495</v>
      </c>
      <c r="AB20" s="71">
        <f>SUM(AB4:AB19)</f>
        <v>1330</v>
      </c>
      <c r="AC20" s="66">
        <f>SUM(AC4:AC19)</f>
        <v>7720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250070</v>
      </c>
      <c r="B24" s="62">
        <v>304</v>
      </c>
      <c r="C24" s="64">
        <v>0.6</v>
      </c>
      <c r="D24" s="62">
        <v>427</v>
      </c>
      <c r="E24" s="65" t="s">
        <v>192</v>
      </c>
      <c r="F24" s="62" t="s">
        <v>23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750</v>
      </c>
      <c r="M24" s="67">
        <v>100</v>
      </c>
      <c r="N24" s="66">
        <f>L24-M24</f>
        <v>650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1" si="3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160925</v>
      </c>
      <c r="B25" s="62">
        <v>304</v>
      </c>
      <c r="C25" s="64">
        <v>0.7</v>
      </c>
      <c r="D25" s="62">
        <v>342</v>
      </c>
      <c r="E25" s="65" t="s">
        <v>206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1100</v>
      </c>
      <c r="M25" s="67"/>
      <c r="N25" s="66">
        <f>L25-M25</f>
        <v>1100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3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180925</v>
      </c>
      <c r="B26" s="62">
        <v>304</v>
      </c>
      <c r="C26" s="64">
        <v>0.7</v>
      </c>
      <c r="D26" s="62">
        <v>342</v>
      </c>
      <c r="E26" s="65" t="s">
        <v>207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2100</v>
      </c>
      <c r="M26" s="67"/>
      <c r="N26" s="66">
        <f>L26-M26</f>
        <v>2100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3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/>
      <c r="B27" s="62"/>
      <c r="C27" s="64"/>
      <c r="D27" s="62"/>
      <c r="E27" s="65"/>
      <c r="F27" s="62"/>
      <c r="G27" s="62"/>
      <c r="H27" s="64"/>
      <c r="I27" s="62"/>
      <c r="J27" s="62"/>
      <c r="K27" s="62"/>
      <c r="L27" s="66"/>
      <c r="M27" s="67"/>
      <c r="N27" s="66">
        <f>L27-M27</f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3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/>
      <c r="B28" s="62"/>
      <c r="C28" s="64"/>
      <c r="D28" s="62"/>
      <c r="E28" s="65"/>
      <c r="F28" s="62"/>
      <c r="G28" s="62"/>
      <c r="H28" s="64"/>
      <c r="I28" s="62"/>
      <c r="J28" s="62"/>
      <c r="K28" s="62"/>
      <c r="L28" s="66"/>
      <c r="M28" s="67"/>
      <c r="N28" s="66">
        <f t="shared" ref="N28:N32" si="4">L28-M28</f>
        <v>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3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/>
      <c r="B29" s="62"/>
      <c r="C29" s="64"/>
      <c r="D29" s="62"/>
      <c r="E29" s="65"/>
      <c r="F29" s="62"/>
      <c r="G29" s="62"/>
      <c r="H29" s="64"/>
      <c r="I29" s="62"/>
      <c r="J29" s="62"/>
      <c r="K29" s="62"/>
      <c r="L29" s="66"/>
      <c r="M29" s="67"/>
      <c r="N29" s="66">
        <f t="shared" si="4"/>
        <v>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3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/>
      <c r="B30" s="62"/>
      <c r="C30" s="64"/>
      <c r="D30" s="62"/>
      <c r="E30" s="65"/>
      <c r="F30" s="62"/>
      <c r="G30" s="62"/>
      <c r="H30" s="64"/>
      <c r="I30" s="62"/>
      <c r="J30" s="62"/>
      <c r="K30" s="62"/>
      <c r="L30" s="66"/>
      <c r="M30" s="67"/>
      <c r="N30" s="66">
        <f t="shared" si="4"/>
        <v>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3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/>
      <c r="B31" s="62"/>
      <c r="C31" s="64"/>
      <c r="D31" s="62"/>
      <c r="E31" s="65"/>
      <c r="F31" s="62"/>
      <c r="G31" s="62"/>
      <c r="H31" s="64"/>
      <c r="I31" s="62"/>
      <c r="J31" s="62"/>
      <c r="K31" s="62"/>
      <c r="L31" s="66"/>
      <c r="M31" s="67"/>
      <c r="N31" s="66">
        <f t="shared" si="4"/>
        <v>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3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4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0</v>
      </c>
      <c r="AB32" s="71">
        <f>SUM(AB24:AB27)</f>
        <v>0</v>
      </c>
      <c r="AC32" s="66">
        <f>SUM(AC24:AC27)</f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3950</v>
      </c>
      <c r="M33" s="71">
        <f>SUM(M24:M32)</f>
        <v>100</v>
      </c>
      <c r="N33" s="66">
        <f>SUM(N24:N32)</f>
        <v>3850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30600</v>
      </c>
      <c r="AL33" s="71">
        <f>SUM(AL4:AL32)</f>
        <v>0</v>
      </c>
      <c r="AM33" s="66">
        <f>SUM(AM4:AM32)</f>
        <v>30600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4" orientation="landscape" horizontalDpi="1200" verticalDpi="12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topLeftCell="C1" zoomScale="25" zoomScaleNormal="25" workbookViewId="0">
      <selection activeCell="M5" sqref="M5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45934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45934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65" t="s">
        <v>179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79</v>
      </c>
      <c r="L4" s="66">
        <v>1120</v>
      </c>
      <c r="M4" s="67">
        <f>600+773</f>
        <v>1373</v>
      </c>
      <c r="N4" s="66">
        <f>L4-M4</f>
        <v>-253</v>
      </c>
      <c r="P4" s="62">
        <v>290925</v>
      </c>
      <c r="Q4" s="62">
        <v>304</v>
      </c>
      <c r="R4" s="64">
        <v>0.8</v>
      </c>
      <c r="S4" s="62">
        <v>369</v>
      </c>
      <c r="T4" s="65" t="s">
        <v>194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4000</v>
      </c>
      <c r="AB4" s="67">
        <f>200+850</f>
        <v>1050</v>
      </c>
      <c r="AC4" s="66">
        <f>AA4-AB4</f>
        <v>2950</v>
      </c>
      <c r="AE4" s="62" t="s">
        <v>89</v>
      </c>
      <c r="AF4" s="62">
        <v>304</v>
      </c>
      <c r="AG4" s="64">
        <v>0.6</v>
      </c>
      <c r="AH4" s="77">
        <v>160</v>
      </c>
      <c r="AI4" s="65" t="s">
        <v>154</v>
      </c>
      <c r="AJ4" s="78" t="s">
        <v>119</v>
      </c>
      <c r="AK4" s="66">
        <v>3200</v>
      </c>
      <c r="AL4" s="67"/>
      <c r="AM4" s="66">
        <f t="shared" ref="AM4:AM32" si="0">AK4-AL4</f>
        <v>3200</v>
      </c>
    </row>
    <row r="5" spans="1:39" s="76" customFormat="1" ht="100.05" customHeight="1" x14ac:dyDescent="0.3">
      <c r="A5" s="62">
        <v>180925</v>
      </c>
      <c r="B5" s="62">
        <v>430</v>
      </c>
      <c r="C5" s="64">
        <v>0.5</v>
      </c>
      <c r="D5" s="62"/>
      <c r="E5" s="86" t="s">
        <v>180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86</v>
      </c>
      <c r="L5" s="66">
        <v>1400</v>
      </c>
      <c r="M5" s="67">
        <f>350+650</f>
        <v>1000</v>
      </c>
      <c r="N5" s="66">
        <f>L5-M5</f>
        <v>400</v>
      </c>
      <c r="P5" s="62">
        <v>290925</v>
      </c>
      <c r="Q5" s="62">
        <v>304</v>
      </c>
      <c r="R5" s="64">
        <v>0.8</v>
      </c>
      <c r="S5" s="62">
        <v>330</v>
      </c>
      <c r="T5" s="65" t="s">
        <v>195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3000</v>
      </c>
      <c r="AB5" s="67"/>
      <c r="AC5" s="66">
        <f t="shared" ref="AC5:AC19" si="1">AA5-AB5</f>
        <v>3000</v>
      </c>
      <c r="AE5" s="62">
        <v>100925</v>
      </c>
      <c r="AF5" s="62">
        <v>304</v>
      </c>
      <c r="AG5" s="64">
        <v>0.9</v>
      </c>
      <c r="AH5" s="67"/>
      <c r="AI5" s="65" t="s">
        <v>155</v>
      </c>
      <c r="AJ5" s="78"/>
      <c r="AK5" s="66">
        <v>1200</v>
      </c>
      <c r="AL5" s="67">
        <f>600+600</f>
        <v>1200</v>
      </c>
      <c r="AM5" s="66">
        <f t="shared" si="0"/>
        <v>0</v>
      </c>
    </row>
    <row r="6" spans="1:39" s="76" customFormat="1" ht="100.05" customHeight="1" x14ac:dyDescent="0.3">
      <c r="A6" s="62">
        <v>160925</v>
      </c>
      <c r="B6" s="62">
        <v>304</v>
      </c>
      <c r="C6" s="64">
        <v>0.7</v>
      </c>
      <c r="D6" s="62">
        <v>319</v>
      </c>
      <c r="E6" s="86" t="s">
        <v>215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86</v>
      </c>
      <c r="L6" s="66">
        <v>1100</v>
      </c>
      <c r="M6" s="67">
        <v>212</v>
      </c>
      <c r="N6" s="66">
        <f>L6-M6</f>
        <v>888</v>
      </c>
      <c r="P6" s="62">
        <v>250057</v>
      </c>
      <c r="Q6" s="62">
        <v>304</v>
      </c>
      <c r="R6" s="64">
        <v>0.7</v>
      </c>
      <c r="S6" s="62">
        <v>307</v>
      </c>
      <c r="T6" s="65" t="s">
        <v>196</v>
      </c>
      <c r="U6" s="62" t="s">
        <v>23</v>
      </c>
      <c r="V6" s="62">
        <v>304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395</v>
      </c>
      <c r="AB6" s="67"/>
      <c r="AC6" s="66">
        <f t="shared" si="1"/>
        <v>395</v>
      </c>
      <c r="AE6" s="62">
        <v>100925</v>
      </c>
      <c r="AF6" s="62">
        <v>304</v>
      </c>
      <c r="AG6" s="64">
        <v>0.9</v>
      </c>
      <c r="AH6" s="67"/>
      <c r="AI6" s="65" t="s">
        <v>157</v>
      </c>
      <c r="AJ6" s="78"/>
      <c r="AK6" s="66">
        <v>1500</v>
      </c>
      <c r="AL6" s="67"/>
      <c r="AM6" s="66">
        <f t="shared" si="0"/>
        <v>1500</v>
      </c>
    </row>
    <row r="7" spans="1:39" s="76" customFormat="1" ht="100.05" customHeight="1" x14ac:dyDescent="0.3">
      <c r="A7" s="62">
        <v>180925</v>
      </c>
      <c r="B7" s="62">
        <v>304</v>
      </c>
      <c r="C7" s="64">
        <v>0.7</v>
      </c>
      <c r="D7" s="62">
        <v>433</v>
      </c>
      <c r="E7" s="86" t="s">
        <v>216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2100</v>
      </c>
      <c r="M7" s="67"/>
      <c r="N7" s="66">
        <f>L7-M7</f>
        <v>2100</v>
      </c>
      <c r="P7" s="62">
        <v>250057</v>
      </c>
      <c r="Q7" s="62">
        <v>304</v>
      </c>
      <c r="R7" s="64">
        <v>0.9</v>
      </c>
      <c r="S7" s="62">
        <v>307</v>
      </c>
      <c r="T7" s="65" t="s">
        <v>197</v>
      </c>
      <c r="U7" s="62" t="s">
        <v>23</v>
      </c>
      <c r="V7" s="62">
        <v>304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15</v>
      </c>
      <c r="AB7" s="67"/>
      <c r="AC7" s="66">
        <f t="shared" si="1"/>
        <v>15</v>
      </c>
      <c r="AE7" s="62">
        <v>100925</v>
      </c>
      <c r="AF7" s="62">
        <v>304</v>
      </c>
      <c r="AG7" s="64">
        <v>0.9</v>
      </c>
      <c r="AH7" s="67"/>
      <c r="AI7" s="65" t="s">
        <v>158</v>
      </c>
      <c r="AJ7" s="78"/>
      <c r="AK7" s="66">
        <v>600</v>
      </c>
      <c r="AL7" s="67"/>
      <c r="AM7" s="66">
        <f t="shared" si="0"/>
        <v>600</v>
      </c>
    </row>
    <row r="8" spans="1:39" s="76" customFormat="1" ht="100.05" customHeight="1" x14ac:dyDescent="0.3">
      <c r="A8" s="62">
        <v>160925</v>
      </c>
      <c r="B8" s="62">
        <v>304</v>
      </c>
      <c r="C8" s="64">
        <v>0.7</v>
      </c>
      <c r="D8" s="62">
        <v>433</v>
      </c>
      <c r="E8" s="86" t="s">
        <v>209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1100</v>
      </c>
      <c r="M8" s="67"/>
      <c r="N8" s="66">
        <f t="shared" ref="N8:N19" si="2">L8-M8</f>
        <v>1100</v>
      </c>
      <c r="P8" s="62">
        <v>250061</v>
      </c>
      <c r="Q8" s="62">
        <v>304</v>
      </c>
      <c r="R8" s="64">
        <v>0.7</v>
      </c>
      <c r="S8" s="62">
        <v>265</v>
      </c>
      <c r="T8" s="65" t="s">
        <v>198</v>
      </c>
      <c r="U8" s="62" t="s">
        <v>181</v>
      </c>
      <c r="V8" s="62">
        <v>304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525</v>
      </c>
      <c r="AB8" s="67"/>
      <c r="AC8" s="66">
        <f t="shared" si="1"/>
        <v>525</v>
      </c>
      <c r="AE8" s="62" t="s">
        <v>126</v>
      </c>
      <c r="AF8" s="62">
        <v>304</v>
      </c>
      <c r="AG8" s="64">
        <v>0.9</v>
      </c>
      <c r="AH8" s="77"/>
      <c r="AI8" s="65" t="s">
        <v>160</v>
      </c>
      <c r="AJ8" s="78"/>
      <c r="AK8" s="66">
        <v>1200</v>
      </c>
      <c r="AL8" s="67">
        <v>1100</v>
      </c>
      <c r="AM8" s="66">
        <f t="shared" si="0"/>
        <v>100</v>
      </c>
    </row>
    <row r="9" spans="1:39" s="76" customFormat="1" ht="100.05" customHeight="1" x14ac:dyDescent="0.3">
      <c r="A9" s="62">
        <v>160925</v>
      </c>
      <c r="B9" s="62">
        <v>304</v>
      </c>
      <c r="C9" s="64">
        <v>0.7</v>
      </c>
      <c r="D9" s="62">
        <v>362</v>
      </c>
      <c r="E9" s="86" t="s">
        <v>217</v>
      </c>
      <c r="F9" s="62" t="s">
        <v>121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86</v>
      </c>
      <c r="L9" s="66">
        <v>1100</v>
      </c>
      <c r="M9" s="67"/>
      <c r="N9" s="66">
        <f t="shared" si="2"/>
        <v>1100</v>
      </c>
      <c r="P9" s="62">
        <v>250061</v>
      </c>
      <c r="Q9" s="62">
        <v>304</v>
      </c>
      <c r="R9" s="64">
        <v>0.7</v>
      </c>
      <c r="S9" s="62">
        <v>265</v>
      </c>
      <c r="T9" s="65" t="s">
        <v>199</v>
      </c>
      <c r="U9" s="62" t="s">
        <v>181</v>
      </c>
      <c r="V9" s="62">
        <v>304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15</v>
      </c>
      <c r="AB9" s="67"/>
      <c r="AC9" s="66">
        <f t="shared" si="1"/>
        <v>15</v>
      </c>
      <c r="AE9" s="62" t="s">
        <v>126</v>
      </c>
      <c r="AF9" s="62">
        <v>304</v>
      </c>
      <c r="AG9" s="64">
        <v>0.9</v>
      </c>
      <c r="AH9" s="77"/>
      <c r="AI9" s="65" t="s">
        <v>165</v>
      </c>
      <c r="AJ9" s="78"/>
      <c r="AK9" s="66">
        <v>1200</v>
      </c>
      <c r="AL9" s="67"/>
      <c r="AM9" s="66">
        <f t="shared" si="0"/>
        <v>1200</v>
      </c>
    </row>
    <row r="10" spans="1:39" s="76" customFormat="1" ht="100.05" customHeight="1" x14ac:dyDescent="0.3">
      <c r="A10" s="62">
        <v>160925</v>
      </c>
      <c r="B10" s="62">
        <v>304</v>
      </c>
      <c r="C10" s="64">
        <v>0.9</v>
      </c>
      <c r="D10" s="62">
        <v>510</v>
      </c>
      <c r="E10" s="86" t="s">
        <v>211</v>
      </c>
      <c r="F10" s="62" t="s">
        <v>121</v>
      </c>
      <c r="G10" s="62">
        <v>430</v>
      </c>
      <c r="H10" s="64">
        <v>0.6</v>
      </c>
      <c r="I10" s="62" t="s">
        <v>24</v>
      </c>
      <c r="J10" s="62" t="s">
        <v>24</v>
      </c>
      <c r="K10" s="88" t="s">
        <v>212</v>
      </c>
      <c r="L10" s="66">
        <v>1100</v>
      </c>
      <c r="M10" s="67"/>
      <c r="N10" s="66">
        <f t="shared" si="2"/>
        <v>1100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 t="s">
        <v>126</v>
      </c>
      <c r="AF10" s="62">
        <v>304</v>
      </c>
      <c r="AG10" s="64">
        <v>0.9</v>
      </c>
      <c r="AH10" s="77"/>
      <c r="AI10" s="65" t="s">
        <v>161</v>
      </c>
      <c r="AJ10" s="78"/>
      <c r="AK10" s="66">
        <v>1500</v>
      </c>
      <c r="AL10" s="67"/>
      <c r="AM10" s="66">
        <f t="shared" si="0"/>
        <v>1500</v>
      </c>
    </row>
    <row r="11" spans="1:39" s="76" customFormat="1" ht="100.05" customHeight="1" x14ac:dyDescent="0.3">
      <c r="A11" s="62"/>
      <c r="B11" s="62"/>
      <c r="C11" s="64"/>
      <c r="D11" s="62"/>
      <c r="E11" s="86"/>
      <c r="F11" s="62"/>
      <c r="G11" s="62"/>
      <c r="H11" s="64"/>
      <c r="I11" s="62"/>
      <c r="J11" s="62"/>
      <c r="K11" s="62"/>
      <c r="L11" s="66"/>
      <c r="M11" s="67"/>
      <c r="N11" s="66">
        <f t="shared" si="2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 t="s">
        <v>126</v>
      </c>
      <c r="AF11" s="62">
        <v>304</v>
      </c>
      <c r="AG11" s="64">
        <v>0.9</v>
      </c>
      <c r="AH11" s="77"/>
      <c r="AI11" s="65" t="s">
        <v>164</v>
      </c>
      <c r="AJ11" s="78"/>
      <c r="AK11" s="66">
        <v>1500</v>
      </c>
      <c r="AL11" s="67"/>
      <c r="AM11" s="66">
        <f t="shared" si="0"/>
        <v>1500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77"/>
      <c r="AI12" s="65" t="s">
        <v>162</v>
      </c>
      <c r="AJ12" s="78"/>
      <c r="AK12" s="66">
        <v>1500</v>
      </c>
      <c r="AL12" s="67"/>
      <c r="AM12" s="66">
        <f t="shared" si="0"/>
        <v>1500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 t="s">
        <v>126</v>
      </c>
      <c r="AF13" s="62">
        <v>304</v>
      </c>
      <c r="AG13" s="64">
        <v>0.9</v>
      </c>
      <c r="AH13" s="67"/>
      <c r="AI13" s="65" t="s">
        <v>163</v>
      </c>
      <c r="AJ13" s="78"/>
      <c r="AK13" s="66">
        <v>1500</v>
      </c>
      <c r="AL13" s="67"/>
      <c r="AM13" s="66">
        <f t="shared" si="0"/>
        <v>1500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160925</v>
      </c>
      <c r="AF14" s="62">
        <v>304</v>
      </c>
      <c r="AG14" s="64">
        <v>0.9</v>
      </c>
      <c r="AH14" s="67"/>
      <c r="AI14" s="65" t="s">
        <v>167</v>
      </c>
      <c r="AJ14" s="78"/>
      <c r="AK14" s="66">
        <v>1100</v>
      </c>
      <c r="AL14" s="67"/>
      <c r="AM14" s="66">
        <f t="shared" si="0"/>
        <v>1100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290925</v>
      </c>
      <c r="AF15" s="62">
        <v>304</v>
      </c>
      <c r="AG15" s="64" t="s">
        <v>24</v>
      </c>
      <c r="AH15" s="67" t="s">
        <v>24</v>
      </c>
      <c r="AI15" s="65" t="s">
        <v>201</v>
      </c>
      <c r="AJ15" s="78"/>
      <c r="AK15" s="66">
        <v>4000</v>
      </c>
      <c r="AL15" s="67"/>
      <c r="AM15" s="66">
        <f t="shared" si="0"/>
        <v>4000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290925</v>
      </c>
      <c r="AF16" s="62">
        <v>304</v>
      </c>
      <c r="AG16" s="64" t="s">
        <v>24</v>
      </c>
      <c r="AH16" s="67" t="s">
        <v>24</v>
      </c>
      <c r="AI16" s="65" t="s">
        <v>202</v>
      </c>
      <c r="AJ16" s="78"/>
      <c r="AK16" s="66">
        <v>4000</v>
      </c>
      <c r="AL16" s="67"/>
      <c r="AM16" s="66">
        <f t="shared" si="0"/>
        <v>4000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290925</v>
      </c>
      <c r="AF17" s="62">
        <v>304</v>
      </c>
      <c r="AG17" s="64" t="s">
        <v>24</v>
      </c>
      <c r="AH17" s="67" t="s">
        <v>24</v>
      </c>
      <c r="AI17" s="65" t="s">
        <v>203</v>
      </c>
      <c r="AJ17" s="78"/>
      <c r="AK17" s="66">
        <v>3000</v>
      </c>
      <c r="AL17" s="67"/>
      <c r="AM17" s="66">
        <f t="shared" si="0"/>
        <v>3000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290925</v>
      </c>
      <c r="AF18" s="62">
        <v>304</v>
      </c>
      <c r="AG18" s="64" t="s">
        <v>24</v>
      </c>
      <c r="AH18" s="67" t="s">
        <v>24</v>
      </c>
      <c r="AI18" s="65" t="s">
        <v>204</v>
      </c>
      <c r="AJ18" s="78"/>
      <c r="AK18" s="66">
        <v>3000</v>
      </c>
      <c r="AL18" s="67"/>
      <c r="AM18" s="66">
        <f t="shared" si="0"/>
        <v>3000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9020</v>
      </c>
      <c r="M20" s="71">
        <f>SUM(M4:M19)</f>
        <v>2585</v>
      </c>
      <c r="N20" s="66">
        <f>SUM(N4:N19)</f>
        <v>6435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7410</v>
      </c>
      <c r="AB20" s="71">
        <f>SUM(AB4:AB19)</f>
        <v>1050</v>
      </c>
      <c r="AC20" s="66">
        <f>SUM(AC4:AC19)</f>
        <v>6900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250070</v>
      </c>
      <c r="B24" s="62">
        <v>304</v>
      </c>
      <c r="C24" s="64">
        <v>0.6</v>
      </c>
      <c r="D24" s="62">
        <v>427</v>
      </c>
      <c r="E24" s="65" t="s">
        <v>192</v>
      </c>
      <c r="F24" s="62" t="s">
        <v>23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750</v>
      </c>
      <c r="M24" s="67">
        <f>100+660</f>
        <v>760</v>
      </c>
      <c r="N24" s="66">
        <f t="shared" ref="N24:N26" si="3">L24-M24</f>
        <v>-10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1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160925</v>
      </c>
      <c r="B25" s="62">
        <v>304</v>
      </c>
      <c r="C25" s="64">
        <v>0.7</v>
      </c>
      <c r="D25" s="62">
        <v>342</v>
      </c>
      <c r="E25" s="65" t="s">
        <v>206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1100</v>
      </c>
      <c r="M25" s="67">
        <v>1100</v>
      </c>
      <c r="N25" s="66">
        <f t="shared" si="3"/>
        <v>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180925</v>
      </c>
      <c r="B26" s="62">
        <v>304</v>
      </c>
      <c r="C26" s="64">
        <v>0.7</v>
      </c>
      <c r="D26" s="62">
        <v>342</v>
      </c>
      <c r="E26" s="65" t="s">
        <v>218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2100</v>
      </c>
      <c r="M26" s="67"/>
      <c r="N26" s="66">
        <f t="shared" si="3"/>
        <v>2100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180925</v>
      </c>
      <c r="B27" s="62">
        <v>304</v>
      </c>
      <c r="C27" s="64">
        <v>0.7</v>
      </c>
      <c r="D27" s="62">
        <v>467</v>
      </c>
      <c r="E27" s="65" t="s">
        <v>219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2100</v>
      </c>
      <c r="M27" s="67"/>
      <c r="N27" s="66">
        <f>L27-M27</f>
        <v>2100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180925</v>
      </c>
      <c r="B28" s="62">
        <v>304</v>
      </c>
      <c r="C28" s="64">
        <v>0.7</v>
      </c>
      <c r="D28" s="62">
        <v>388</v>
      </c>
      <c r="E28" s="65" t="s">
        <v>220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2100</v>
      </c>
      <c r="M28" s="67"/>
      <c r="N28" s="66">
        <f t="shared" ref="N28:N32" si="5">L28-M28</f>
        <v>2100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250077</v>
      </c>
      <c r="B29" s="62">
        <v>430</v>
      </c>
      <c r="C29" s="64">
        <v>0.5</v>
      </c>
      <c r="D29" s="62">
        <v>457</v>
      </c>
      <c r="E29" s="65" t="s">
        <v>213</v>
      </c>
      <c r="F29" s="62" t="s">
        <v>24</v>
      </c>
      <c r="G29" s="62" t="s">
        <v>24</v>
      </c>
      <c r="H29" s="64" t="s">
        <v>24</v>
      </c>
      <c r="I29" s="62" t="s">
        <v>24</v>
      </c>
      <c r="J29" s="62" t="s">
        <v>24</v>
      </c>
      <c r="K29" s="62" t="s">
        <v>86</v>
      </c>
      <c r="L29" s="66">
        <v>1400</v>
      </c>
      <c r="M29" s="67">
        <v>155</v>
      </c>
      <c r="N29" s="66">
        <f t="shared" si="5"/>
        <v>1245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250077</v>
      </c>
      <c r="B30" s="62">
        <v>430</v>
      </c>
      <c r="C30" s="64">
        <v>0.5</v>
      </c>
      <c r="D30" s="62">
        <v>370</v>
      </c>
      <c r="E30" s="65" t="s">
        <v>221</v>
      </c>
      <c r="F30" s="62" t="s">
        <v>222</v>
      </c>
      <c r="G30" s="62">
        <v>430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1400</v>
      </c>
      <c r="M30" s="67"/>
      <c r="N30" s="66">
        <f t="shared" si="5"/>
        <v>1400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250077</v>
      </c>
      <c r="B31" s="62">
        <v>430</v>
      </c>
      <c r="C31" s="64">
        <v>0.5</v>
      </c>
      <c r="D31" s="62">
        <v>345</v>
      </c>
      <c r="E31" s="65" t="s">
        <v>214</v>
      </c>
      <c r="F31" s="62" t="s">
        <v>24</v>
      </c>
      <c r="G31" s="62" t="s">
        <v>24</v>
      </c>
      <c r="H31" s="64" t="s">
        <v>24</v>
      </c>
      <c r="I31" s="62" t="s">
        <v>24</v>
      </c>
      <c r="J31" s="62" t="s">
        <v>24</v>
      </c>
      <c r="K31" s="62" t="s">
        <v>86</v>
      </c>
      <c r="L31" s="66">
        <v>1400</v>
      </c>
      <c r="M31" s="67"/>
      <c r="N31" s="66">
        <f t="shared" si="5"/>
        <v>1400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5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0</v>
      </c>
      <c r="AB32" s="71">
        <f>SUM(AB24:AB27)</f>
        <v>0</v>
      </c>
      <c r="AC32" s="66">
        <f>SUM(AC24:AC27)</f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12350</v>
      </c>
      <c r="M33" s="71">
        <f>SUM(M24:M32)</f>
        <v>2015</v>
      </c>
      <c r="N33" s="66">
        <f>SUM(N24:N32)</f>
        <v>10335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30000</v>
      </c>
      <c r="AL33" s="71">
        <f>SUM(AL4:AL32)</f>
        <v>2300</v>
      </c>
      <c r="AM33" s="66">
        <f>SUM(AM4:AM32)</f>
        <v>27700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7" orientation="portrait" horizontalDpi="1200" verticalDpi="120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topLeftCell="U4" zoomScale="25" zoomScaleNormal="25" workbookViewId="0">
      <selection activeCell="AL15" sqref="AL15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45936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45936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430</v>
      </c>
      <c r="C4" s="64">
        <v>0.5</v>
      </c>
      <c r="D4" s="62"/>
      <c r="E4" s="86" t="s">
        <v>180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1400</v>
      </c>
      <c r="M4" s="67">
        <f>350+650+450</f>
        <v>1450</v>
      </c>
      <c r="N4" s="66">
        <f>L4-M4</f>
        <v>-50</v>
      </c>
      <c r="P4" s="62">
        <v>290925</v>
      </c>
      <c r="Q4" s="62">
        <v>304</v>
      </c>
      <c r="R4" s="64">
        <v>0.8</v>
      </c>
      <c r="S4" s="62">
        <v>369</v>
      </c>
      <c r="T4" s="65" t="s">
        <v>194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4000</v>
      </c>
      <c r="AB4" s="67">
        <f>200+850+1800</f>
        <v>2850</v>
      </c>
      <c r="AC4" s="66">
        <f>AA4-AB4</f>
        <v>1150</v>
      </c>
      <c r="AE4" s="62" t="s">
        <v>89</v>
      </c>
      <c r="AF4" s="62">
        <v>304</v>
      </c>
      <c r="AG4" s="64">
        <v>0.6</v>
      </c>
      <c r="AH4" s="77">
        <v>160</v>
      </c>
      <c r="AI4" s="65" t="s">
        <v>154</v>
      </c>
      <c r="AJ4" s="78" t="s">
        <v>119</v>
      </c>
      <c r="AK4" s="66">
        <v>3200</v>
      </c>
      <c r="AL4" s="67">
        <v>3200</v>
      </c>
      <c r="AM4" s="66">
        <f t="shared" ref="AM4:AM32" si="0">AK4-AL4</f>
        <v>0</v>
      </c>
    </row>
    <row r="5" spans="1:39" s="76" customFormat="1" ht="100.05" customHeight="1" x14ac:dyDescent="0.3">
      <c r="A5" s="62">
        <v>160925</v>
      </c>
      <c r="B5" s="62">
        <v>304</v>
      </c>
      <c r="C5" s="64">
        <v>0.7</v>
      </c>
      <c r="D5" s="62">
        <v>319</v>
      </c>
      <c r="E5" s="86" t="s">
        <v>215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86</v>
      </c>
      <c r="L5" s="66">
        <v>1100</v>
      </c>
      <c r="M5" s="67">
        <f>212+900</f>
        <v>1112</v>
      </c>
      <c r="N5" s="66">
        <f>L5-M5</f>
        <v>-12</v>
      </c>
      <c r="P5" s="62">
        <v>290925</v>
      </c>
      <c r="Q5" s="62">
        <v>304</v>
      </c>
      <c r="R5" s="64">
        <v>0.8</v>
      </c>
      <c r="S5" s="62">
        <v>330</v>
      </c>
      <c r="T5" s="65" t="s">
        <v>195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3000</v>
      </c>
      <c r="AB5" s="67"/>
      <c r="AC5" s="66">
        <f t="shared" ref="AC5:AC19" si="1">AA5-AB5</f>
        <v>3000</v>
      </c>
      <c r="AE5" s="62">
        <v>100925</v>
      </c>
      <c r="AF5" s="62">
        <v>304</v>
      </c>
      <c r="AG5" s="64">
        <v>0.9</v>
      </c>
      <c r="AH5" s="67"/>
      <c r="AI5" s="65" t="s">
        <v>157</v>
      </c>
      <c r="AJ5" s="78" t="s">
        <v>119</v>
      </c>
      <c r="AK5" s="66">
        <v>1500</v>
      </c>
      <c r="AL5" s="67"/>
      <c r="AM5" s="66">
        <f t="shared" si="0"/>
        <v>1500</v>
      </c>
    </row>
    <row r="6" spans="1:39" s="76" customFormat="1" ht="100.05" customHeight="1" x14ac:dyDescent="0.3">
      <c r="A6" s="62">
        <v>180925</v>
      </c>
      <c r="B6" s="62">
        <v>304</v>
      </c>
      <c r="C6" s="64">
        <v>0.7</v>
      </c>
      <c r="D6" s="62">
        <v>433</v>
      </c>
      <c r="E6" s="86" t="s">
        <v>216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86</v>
      </c>
      <c r="L6" s="66">
        <v>2100</v>
      </c>
      <c r="M6" s="67"/>
      <c r="N6" s="66">
        <f>L6-M6</f>
        <v>2100</v>
      </c>
      <c r="P6" s="62">
        <v>250057</v>
      </c>
      <c r="Q6" s="62">
        <v>304</v>
      </c>
      <c r="R6" s="64">
        <v>0.7</v>
      </c>
      <c r="S6" s="62">
        <v>307</v>
      </c>
      <c r="T6" s="65" t="s">
        <v>196</v>
      </c>
      <c r="U6" s="62" t="s">
        <v>23</v>
      </c>
      <c r="V6" s="62">
        <v>304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395</v>
      </c>
      <c r="AB6" s="67"/>
      <c r="AC6" s="66">
        <f t="shared" si="1"/>
        <v>395</v>
      </c>
      <c r="AE6" s="62">
        <v>100925</v>
      </c>
      <c r="AF6" s="62">
        <v>304</v>
      </c>
      <c r="AG6" s="64">
        <v>0.9</v>
      </c>
      <c r="AH6" s="67"/>
      <c r="AI6" s="65" t="s">
        <v>158</v>
      </c>
      <c r="AJ6" s="78" t="s">
        <v>119</v>
      </c>
      <c r="AK6" s="66">
        <v>600</v>
      </c>
      <c r="AL6" s="67"/>
      <c r="AM6" s="66">
        <f t="shared" si="0"/>
        <v>600</v>
      </c>
    </row>
    <row r="7" spans="1:39" s="76" customFormat="1" ht="100.05" customHeight="1" x14ac:dyDescent="0.3">
      <c r="A7" s="62">
        <v>160925</v>
      </c>
      <c r="B7" s="62">
        <v>304</v>
      </c>
      <c r="C7" s="64">
        <v>0.7</v>
      </c>
      <c r="D7" s="62">
        <v>433</v>
      </c>
      <c r="E7" s="86" t="s">
        <v>209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1100</v>
      </c>
      <c r="M7" s="67">
        <v>500</v>
      </c>
      <c r="N7" s="66">
        <f>L7-M7</f>
        <v>600</v>
      </c>
      <c r="P7" s="62">
        <v>250057</v>
      </c>
      <c r="Q7" s="62">
        <v>304</v>
      </c>
      <c r="R7" s="64">
        <v>0.9</v>
      </c>
      <c r="S7" s="62">
        <v>307</v>
      </c>
      <c r="T7" s="65" t="s">
        <v>197</v>
      </c>
      <c r="U7" s="62" t="s">
        <v>23</v>
      </c>
      <c r="V7" s="62">
        <v>304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15</v>
      </c>
      <c r="AB7" s="67"/>
      <c r="AC7" s="66">
        <f t="shared" si="1"/>
        <v>15</v>
      </c>
      <c r="AE7" s="62" t="s">
        <v>126</v>
      </c>
      <c r="AF7" s="62">
        <v>304</v>
      </c>
      <c r="AG7" s="64">
        <v>0.9</v>
      </c>
      <c r="AH7" s="77"/>
      <c r="AI7" s="65" t="s">
        <v>160</v>
      </c>
      <c r="AJ7" s="78" t="s">
        <v>119</v>
      </c>
      <c r="AK7" s="66">
        <v>1200</v>
      </c>
      <c r="AL7" s="67">
        <f>1100+200</f>
        <v>1300</v>
      </c>
      <c r="AM7" s="66">
        <f t="shared" si="0"/>
        <v>-100</v>
      </c>
    </row>
    <row r="8" spans="1:39" s="76" customFormat="1" ht="100.05" customHeight="1" x14ac:dyDescent="0.3">
      <c r="A8" s="62">
        <v>160925</v>
      </c>
      <c r="B8" s="62">
        <v>304</v>
      </c>
      <c r="C8" s="64">
        <v>0.7</v>
      </c>
      <c r="D8" s="62">
        <v>362</v>
      </c>
      <c r="E8" s="86" t="s">
        <v>217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1100</v>
      </c>
      <c r="M8" s="67"/>
      <c r="N8" s="66">
        <f t="shared" ref="N8:N19" si="2">L8-M8</f>
        <v>1100</v>
      </c>
      <c r="P8" s="62">
        <v>250061</v>
      </c>
      <c r="Q8" s="62">
        <v>304</v>
      </c>
      <c r="R8" s="64">
        <v>0.7</v>
      </c>
      <c r="S8" s="62">
        <v>265</v>
      </c>
      <c r="T8" s="65" t="s">
        <v>198</v>
      </c>
      <c r="U8" s="62" t="s">
        <v>181</v>
      </c>
      <c r="V8" s="62">
        <v>304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525</v>
      </c>
      <c r="AB8" s="67"/>
      <c r="AC8" s="66">
        <f t="shared" si="1"/>
        <v>525</v>
      </c>
      <c r="AE8" s="62" t="s">
        <v>126</v>
      </c>
      <c r="AF8" s="62">
        <v>304</v>
      </c>
      <c r="AG8" s="64">
        <v>0.9</v>
      </c>
      <c r="AH8" s="77"/>
      <c r="AI8" s="65" t="s">
        <v>165</v>
      </c>
      <c r="AJ8" s="78" t="s">
        <v>119</v>
      </c>
      <c r="AK8" s="66">
        <v>1200</v>
      </c>
      <c r="AL8" s="67"/>
      <c r="AM8" s="66">
        <f t="shared" si="0"/>
        <v>1200</v>
      </c>
    </row>
    <row r="9" spans="1:39" s="76" customFormat="1" ht="100.05" customHeight="1" x14ac:dyDescent="0.3">
      <c r="A9" s="62">
        <v>160925</v>
      </c>
      <c r="B9" s="62">
        <v>304</v>
      </c>
      <c r="C9" s="64">
        <v>0.9</v>
      </c>
      <c r="D9" s="62">
        <v>510</v>
      </c>
      <c r="E9" s="86" t="s">
        <v>211</v>
      </c>
      <c r="F9" s="62" t="s">
        <v>121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223</v>
      </c>
      <c r="L9" s="66">
        <v>1100</v>
      </c>
      <c r="M9" s="67"/>
      <c r="N9" s="66">
        <f t="shared" si="2"/>
        <v>1100</v>
      </c>
      <c r="P9" s="62">
        <v>250061</v>
      </c>
      <c r="Q9" s="62">
        <v>304</v>
      </c>
      <c r="R9" s="64">
        <v>0.7</v>
      </c>
      <c r="S9" s="62">
        <v>265</v>
      </c>
      <c r="T9" s="65" t="s">
        <v>199</v>
      </c>
      <c r="U9" s="62" t="s">
        <v>181</v>
      </c>
      <c r="V9" s="62">
        <v>304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15</v>
      </c>
      <c r="AB9" s="67"/>
      <c r="AC9" s="66">
        <f t="shared" si="1"/>
        <v>15</v>
      </c>
      <c r="AE9" s="62" t="s">
        <v>126</v>
      </c>
      <c r="AF9" s="62">
        <v>304</v>
      </c>
      <c r="AG9" s="64">
        <v>0.9</v>
      </c>
      <c r="AH9" s="77"/>
      <c r="AI9" s="65" t="s">
        <v>161</v>
      </c>
      <c r="AJ9" s="78" t="s">
        <v>119</v>
      </c>
      <c r="AK9" s="66">
        <v>1500</v>
      </c>
      <c r="AL9" s="67">
        <v>1550</v>
      </c>
      <c r="AM9" s="66">
        <f t="shared" si="0"/>
        <v>-50</v>
      </c>
    </row>
    <row r="10" spans="1:39" s="76" customFormat="1" ht="100.05" customHeight="1" x14ac:dyDescent="0.3">
      <c r="A10" s="62">
        <v>250042</v>
      </c>
      <c r="B10" s="62">
        <v>304</v>
      </c>
      <c r="C10" s="64">
        <v>0.9</v>
      </c>
      <c r="D10" s="62">
        <v>510</v>
      </c>
      <c r="E10" s="86" t="s">
        <v>211</v>
      </c>
      <c r="F10" s="62" t="s">
        <v>121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223</v>
      </c>
      <c r="L10" s="66">
        <v>750</v>
      </c>
      <c r="M10" s="67"/>
      <c r="N10" s="66">
        <f t="shared" si="2"/>
        <v>750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 t="s">
        <v>126</v>
      </c>
      <c r="AF10" s="62">
        <v>304</v>
      </c>
      <c r="AG10" s="64">
        <v>0.9</v>
      </c>
      <c r="AH10" s="77"/>
      <c r="AI10" s="65" t="s">
        <v>164</v>
      </c>
      <c r="AJ10" s="78" t="s">
        <v>119</v>
      </c>
      <c r="AK10" s="66">
        <v>1500</v>
      </c>
      <c r="AL10" s="67"/>
      <c r="AM10" s="66">
        <f t="shared" si="0"/>
        <v>1500</v>
      </c>
    </row>
    <row r="11" spans="1:39" s="76" customFormat="1" ht="100.05" customHeight="1" x14ac:dyDescent="0.3">
      <c r="A11" s="62">
        <v>250042</v>
      </c>
      <c r="B11" s="62">
        <v>304</v>
      </c>
      <c r="C11" s="64">
        <v>0.9</v>
      </c>
      <c r="D11" s="62">
        <v>543</v>
      </c>
      <c r="E11" s="86" t="s">
        <v>224</v>
      </c>
      <c r="F11" s="62" t="s">
        <v>121</v>
      </c>
      <c r="G11" s="62">
        <v>430</v>
      </c>
      <c r="H11" s="64">
        <v>0.6</v>
      </c>
      <c r="I11" s="62" t="s">
        <v>24</v>
      </c>
      <c r="J11" s="62" t="s">
        <v>24</v>
      </c>
      <c r="K11" s="62" t="s">
        <v>223</v>
      </c>
      <c r="L11" s="66">
        <v>750</v>
      </c>
      <c r="M11" s="67"/>
      <c r="N11" s="66">
        <f t="shared" si="2"/>
        <v>750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 t="s">
        <v>126</v>
      </c>
      <c r="AF11" s="62">
        <v>304</v>
      </c>
      <c r="AG11" s="64">
        <v>0.9</v>
      </c>
      <c r="AH11" s="77"/>
      <c r="AI11" s="65" t="s">
        <v>162</v>
      </c>
      <c r="AJ11" s="78" t="s">
        <v>119</v>
      </c>
      <c r="AK11" s="66">
        <v>1500</v>
      </c>
      <c r="AL11" s="67"/>
      <c r="AM11" s="66">
        <f t="shared" si="0"/>
        <v>1500</v>
      </c>
    </row>
    <row r="12" spans="1:39" s="76" customFormat="1" ht="100.05" customHeight="1" x14ac:dyDescent="0.3">
      <c r="A12" s="62">
        <v>250042</v>
      </c>
      <c r="B12" s="62">
        <v>304</v>
      </c>
      <c r="C12" s="64">
        <v>0.9</v>
      </c>
      <c r="D12" s="62">
        <v>560</v>
      </c>
      <c r="E12" s="86" t="s">
        <v>225</v>
      </c>
      <c r="F12" s="62" t="s">
        <v>121</v>
      </c>
      <c r="G12" s="62">
        <v>430</v>
      </c>
      <c r="H12" s="64">
        <v>0.6</v>
      </c>
      <c r="I12" s="62" t="s">
        <v>24</v>
      </c>
      <c r="J12" s="62" t="s">
        <v>24</v>
      </c>
      <c r="K12" s="62" t="s">
        <v>223</v>
      </c>
      <c r="L12" s="66">
        <v>750</v>
      </c>
      <c r="M12" s="67"/>
      <c r="N12" s="66">
        <f t="shared" si="2"/>
        <v>750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 t="s">
        <v>126</v>
      </c>
      <c r="AF12" s="62">
        <v>304</v>
      </c>
      <c r="AG12" s="64">
        <v>0.9</v>
      </c>
      <c r="AH12" s="67"/>
      <c r="AI12" s="65" t="s">
        <v>163</v>
      </c>
      <c r="AJ12" s="78" t="s">
        <v>119</v>
      </c>
      <c r="AK12" s="66">
        <v>1500</v>
      </c>
      <c r="AL12" s="67"/>
      <c r="AM12" s="66">
        <f t="shared" si="0"/>
        <v>1500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160925</v>
      </c>
      <c r="AF13" s="62">
        <v>304</v>
      </c>
      <c r="AG13" s="64">
        <v>0.9</v>
      </c>
      <c r="AH13" s="67"/>
      <c r="AI13" s="65" t="s">
        <v>167</v>
      </c>
      <c r="AJ13" s="78" t="s">
        <v>119</v>
      </c>
      <c r="AK13" s="66">
        <v>1100</v>
      </c>
      <c r="AL13" s="67"/>
      <c r="AM13" s="66">
        <f t="shared" si="0"/>
        <v>1100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290925</v>
      </c>
      <c r="AF14" s="62">
        <v>304</v>
      </c>
      <c r="AG14" s="64" t="s">
        <v>24</v>
      </c>
      <c r="AH14" s="67" t="s">
        <v>24</v>
      </c>
      <c r="AI14" s="65" t="s">
        <v>201</v>
      </c>
      <c r="AJ14" s="78" t="s">
        <v>119</v>
      </c>
      <c r="AK14" s="66">
        <v>4000</v>
      </c>
      <c r="AL14" s="67">
        <v>600</v>
      </c>
      <c r="AM14" s="66">
        <f t="shared" si="0"/>
        <v>3400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290925</v>
      </c>
      <c r="AF15" s="62">
        <v>304</v>
      </c>
      <c r="AG15" s="64" t="s">
        <v>24</v>
      </c>
      <c r="AH15" s="67" t="s">
        <v>24</v>
      </c>
      <c r="AI15" s="65" t="s">
        <v>202</v>
      </c>
      <c r="AJ15" s="78" t="s">
        <v>119</v>
      </c>
      <c r="AK15" s="66">
        <v>4000</v>
      </c>
      <c r="AL15" s="67"/>
      <c r="AM15" s="66">
        <f t="shared" si="0"/>
        <v>4000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290925</v>
      </c>
      <c r="AF16" s="62">
        <v>304</v>
      </c>
      <c r="AG16" s="64" t="s">
        <v>24</v>
      </c>
      <c r="AH16" s="67" t="s">
        <v>24</v>
      </c>
      <c r="AI16" s="65" t="s">
        <v>203</v>
      </c>
      <c r="AJ16" s="78" t="s">
        <v>119</v>
      </c>
      <c r="AK16" s="66">
        <v>3000</v>
      </c>
      <c r="AL16" s="67"/>
      <c r="AM16" s="66">
        <f t="shared" si="0"/>
        <v>3000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290925</v>
      </c>
      <c r="AF17" s="62">
        <v>304</v>
      </c>
      <c r="AG17" s="64" t="s">
        <v>24</v>
      </c>
      <c r="AH17" s="67" t="s">
        <v>24</v>
      </c>
      <c r="AI17" s="65" t="s">
        <v>204</v>
      </c>
      <c r="AJ17" s="78" t="s">
        <v>119</v>
      </c>
      <c r="AK17" s="66">
        <v>3000</v>
      </c>
      <c r="AL17" s="67"/>
      <c r="AM17" s="66">
        <f t="shared" si="0"/>
        <v>3000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10150</v>
      </c>
      <c r="M20" s="71">
        <f>SUM(M4:M19)</f>
        <v>3062</v>
      </c>
      <c r="N20" s="66">
        <f>SUM(N4:N19)</f>
        <v>7088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7410</v>
      </c>
      <c r="AB20" s="71">
        <f>SUM(AB4:AB19)</f>
        <v>2850</v>
      </c>
      <c r="AC20" s="66">
        <f>SUM(AC4:AC19)</f>
        <v>5100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180925</v>
      </c>
      <c r="B24" s="62">
        <v>304</v>
      </c>
      <c r="C24" s="64">
        <v>0.7</v>
      </c>
      <c r="D24" s="62">
        <v>342</v>
      </c>
      <c r="E24" s="65" t="s">
        <v>218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2100</v>
      </c>
      <c r="M24" s="67">
        <v>2100</v>
      </c>
      <c r="N24" s="66">
        <f t="shared" ref="N24" si="3">L24-M24</f>
        <v>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1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180925</v>
      </c>
      <c r="B25" s="62">
        <v>304</v>
      </c>
      <c r="C25" s="64">
        <v>0.7</v>
      </c>
      <c r="D25" s="62">
        <v>467</v>
      </c>
      <c r="E25" s="65" t="s">
        <v>219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2100</v>
      </c>
      <c r="M25" s="67"/>
      <c r="N25" s="66">
        <f>L25-M25</f>
        <v>2100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180925</v>
      </c>
      <c r="B26" s="62">
        <v>304</v>
      </c>
      <c r="C26" s="64">
        <v>0.7</v>
      </c>
      <c r="D26" s="62">
        <v>388</v>
      </c>
      <c r="E26" s="65" t="s">
        <v>220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2100</v>
      </c>
      <c r="M26" s="67"/>
      <c r="N26" s="66">
        <f t="shared" ref="N26:N29" si="5">L26-M26</f>
        <v>2100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250077</v>
      </c>
      <c r="B27" s="62">
        <v>430</v>
      </c>
      <c r="C27" s="64">
        <v>0.5</v>
      </c>
      <c r="D27" s="62">
        <v>457</v>
      </c>
      <c r="E27" s="65" t="s">
        <v>213</v>
      </c>
      <c r="F27" s="62" t="s">
        <v>24</v>
      </c>
      <c r="G27" s="62" t="s">
        <v>24</v>
      </c>
      <c r="H27" s="64" t="s">
        <v>24</v>
      </c>
      <c r="I27" s="62" t="s">
        <v>24</v>
      </c>
      <c r="J27" s="62" t="s">
        <v>24</v>
      </c>
      <c r="K27" s="62" t="s">
        <v>86</v>
      </c>
      <c r="L27" s="66">
        <v>1400</v>
      </c>
      <c r="M27" s="67">
        <f>155+1150</f>
        <v>1305</v>
      </c>
      <c r="N27" s="66">
        <f t="shared" si="5"/>
        <v>95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250077</v>
      </c>
      <c r="B28" s="62">
        <v>430</v>
      </c>
      <c r="C28" s="64">
        <v>0.5</v>
      </c>
      <c r="D28" s="62">
        <v>370</v>
      </c>
      <c r="E28" s="65" t="s">
        <v>221</v>
      </c>
      <c r="F28" s="62" t="s">
        <v>222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1400</v>
      </c>
      <c r="M28" s="67"/>
      <c r="N28" s="66">
        <f t="shared" si="5"/>
        <v>1400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250077</v>
      </c>
      <c r="B29" s="62">
        <v>430</v>
      </c>
      <c r="C29" s="64">
        <v>0.5</v>
      </c>
      <c r="D29" s="62">
        <v>345</v>
      </c>
      <c r="E29" s="65" t="s">
        <v>214</v>
      </c>
      <c r="F29" s="62" t="s">
        <v>24</v>
      </c>
      <c r="G29" s="62" t="s">
        <v>24</v>
      </c>
      <c r="H29" s="64" t="s">
        <v>24</v>
      </c>
      <c r="I29" s="62" t="s">
        <v>24</v>
      </c>
      <c r="J29" s="62" t="s">
        <v>24</v>
      </c>
      <c r="K29" s="62" t="s">
        <v>86</v>
      </c>
      <c r="L29" s="66">
        <v>1400</v>
      </c>
      <c r="M29" s="67"/>
      <c r="N29" s="66">
        <f t="shared" si="5"/>
        <v>1400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/>
      <c r="B30" s="62"/>
      <c r="C30" s="64"/>
      <c r="D30" s="62"/>
      <c r="E30" s="65"/>
      <c r="F30" s="62"/>
      <c r="G30" s="62"/>
      <c r="H30" s="64"/>
      <c r="I30" s="62"/>
      <c r="J30" s="62"/>
      <c r="K30" s="62"/>
      <c r="L30" s="66"/>
      <c r="M30" s="67"/>
      <c r="N30" s="66">
        <f t="shared" ref="N30:N32" si="6">L30-M30</f>
        <v>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/>
      <c r="B31" s="62"/>
      <c r="C31" s="64"/>
      <c r="D31" s="62"/>
      <c r="E31" s="65"/>
      <c r="F31" s="62"/>
      <c r="G31" s="62"/>
      <c r="H31" s="64"/>
      <c r="I31" s="62"/>
      <c r="J31" s="62"/>
      <c r="K31" s="62"/>
      <c r="L31" s="66"/>
      <c r="M31" s="67"/>
      <c r="N31" s="66">
        <f t="shared" si="6"/>
        <v>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6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0</v>
      </c>
      <c r="AB32" s="71">
        <f>SUM(AB24:AB27)</f>
        <v>0</v>
      </c>
      <c r="AC32" s="66">
        <f>SUM(AC24:AC27)</f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10500</v>
      </c>
      <c r="M33" s="71">
        <f>SUM(M24:M32)</f>
        <v>3405</v>
      </c>
      <c r="N33" s="66">
        <f>SUM(N24:N32)</f>
        <v>7095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28800</v>
      </c>
      <c r="AL33" s="71">
        <f>SUM(AL4:AL32)</f>
        <v>6650</v>
      </c>
      <c r="AM33" s="66">
        <f>SUM(AM4:AM32)</f>
        <v>22150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7" orientation="portrait" horizontalDpi="1200" verticalDpi="120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4"/>
  <sheetViews>
    <sheetView topLeftCell="U1" zoomScale="25" zoomScaleNormal="25" workbookViewId="0">
      <selection activeCell="AL12" sqref="AL12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25.6640625" style="2" customWidth="1"/>
    <col min="12" max="12" width="26.77734375" style="2" bestFit="1" customWidth="1"/>
    <col min="13" max="14" width="23.664062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9" width="23.6640625" style="2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45937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45937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304</v>
      </c>
      <c r="C4" s="64">
        <v>0.7</v>
      </c>
      <c r="D4" s="62">
        <v>433</v>
      </c>
      <c r="E4" s="86" t="s">
        <v>216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86</v>
      </c>
      <c r="L4" s="66">
        <v>2100</v>
      </c>
      <c r="M4" s="67">
        <v>995</v>
      </c>
      <c r="N4" s="66">
        <f>L4-M4</f>
        <v>1105</v>
      </c>
      <c r="P4" s="62">
        <v>290925</v>
      </c>
      <c r="Q4" s="62">
        <v>304</v>
      </c>
      <c r="R4" s="64">
        <v>0.8</v>
      </c>
      <c r="S4" s="62">
        <v>369</v>
      </c>
      <c r="T4" s="65" t="s">
        <v>194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4000</v>
      </c>
      <c r="AB4" s="67">
        <f>200+850+1800+1200</f>
        <v>4050</v>
      </c>
      <c r="AC4" s="66">
        <f>AA4-AB4</f>
        <v>-50</v>
      </c>
      <c r="AE4" s="62">
        <v>100925</v>
      </c>
      <c r="AF4" s="62">
        <v>304</v>
      </c>
      <c r="AG4" s="64">
        <v>0.9</v>
      </c>
      <c r="AH4" s="67"/>
      <c r="AI4" s="65" t="s">
        <v>157</v>
      </c>
      <c r="AJ4" s="78" t="s">
        <v>119</v>
      </c>
      <c r="AK4" s="66">
        <v>1500</v>
      </c>
      <c r="AL4" s="67"/>
      <c r="AM4" s="66">
        <f t="shared" ref="AM4:AM37" si="0">AK4-AL4</f>
        <v>1500</v>
      </c>
    </row>
    <row r="5" spans="1:39" s="76" customFormat="1" ht="100.05" customHeight="1" x14ac:dyDescent="0.3">
      <c r="A5" s="62">
        <v>160925</v>
      </c>
      <c r="B5" s="62">
        <v>304</v>
      </c>
      <c r="C5" s="64">
        <v>0.7</v>
      </c>
      <c r="D5" s="62">
        <v>433</v>
      </c>
      <c r="E5" s="86" t="s">
        <v>209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86</v>
      </c>
      <c r="L5" s="66">
        <v>1100</v>
      </c>
      <c r="M5" s="67">
        <f>500+605</f>
        <v>1105</v>
      </c>
      <c r="N5" s="66">
        <f>L5-M5</f>
        <v>-5</v>
      </c>
      <c r="P5" s="62">
        <v>290925</v>
      </c>
      <c r="Q5" s="62">
        <v>304</v>
      </c>
      <c r="R5" s="64">
        <v>0.8</v>
      </c>
      <c r="S5" s="62">
        <v>330</v>
      </c>
      <c r="T5" s="65" t="s">
        <v>195</v>
      </c>
      <c r="U5" s="62" t="s">
        <v>42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3000</v>
      </c>
      <c r="AB5" s="67"/>
      <c r="AC5" s="66">
        <f t="shared" ref="AC5:AC19" si="1">AA5-AB5</f>
        <v>3000</v>
      </c>
      <c r="AE5" s="62">
        <v>100925</v>
      </c>
      <c r="AF5" s="62">
        <v>304</v>
      </c>
      <c r="AG5" s="64">
        <v>0.9</v>
      </c>
      <c r="AH5" s="67"/>
      <c r="AI5" s="65" t="s">
        <v>158</v>
      </c>
      <c r="AJ5" s="78" t="s">
        <v>119</v>
      </c>
      <c r="AK5" s="66">
        <v>600</v>
      </c>
      <c r="AL5" s="67"/>
      <c r="AM5" s="66">
        <f t="shared" si="0"/>
        <v>600</v>
      </c>
    </row>
    <row r="6" spans="1:39" s="76" customFormat="1" ht="100.05" customHeight="1" x14ac:dyDescent="0.3">
      <c r="A6" s="62">
        <v>160925</v>
      </c>
      <c r="B6" s="62">
        <v>304</v>
      </c>
      <c r="C6" s="64">
        <v>0.7</v>
      </c>
      <c r="D6" s="62">
        <v>362</v>
      </c>
      <c r="E6" s="86" t="s">
        <v>217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86</v>
      </c>
      <c r="L6" s="66">
        <v>1100</v>
      </c>
      <c r="M6" s="67"/>
      <c r="N6" s="66">
        <f>L6-M6</f>
        <v>1100</v>
      </c>
      <c r="P6" s="62">
        <v>250057</v>
      </c>
      <c r="Q6" s="62">
        <v>304</v>
      </c>
      <c r="R6" s="64">
        <v>0.7</v>
      </c>
      <c r="S6" s="62">
        <v>307</v>
      </c>
      <c r="T6" s="65" t="s">
        <v>196</v>
      </c>
      <c r="U6" s="62" t="s">
        <v>23</v>
      </c>
      <c r="V6" s="62">
        <v>304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395</v>
      </c>
      <c r="AB6" s="67">
        <v>450</v>
      </c>
      <c r="AC6" s="66">
        <f t="shared" si="1"/>
        <v>-55</v>
      </c>
      <c r="AE6" s="62" t="s">
        <v>126</v>
      </c>
      <c r="AF6" s="62">
        <v>304</v>
      </c>
      <c r="AG6" s="64">
        <v>0.9</v>
      </c>
      <c r="AH6" s="77"/>
      <c r="AI6" s="65" t="s">
        <v>165</v>
      </c>
      <c r="AJ6" s="78" t="s">
        <v>119</v>
      </c>
      <c r="AK6" s="66">
        <v>1200</v>
      </c>
      <c r="AL6" s="67"/>
      <c r="AM6" s="66">
        <f t="shared" si="0"/>
        <v>1200</v>
      </c>
    </row>
    <row r="7" spans="1:39" s="76" customFormat="1" ht="100.05" customHeight="1" x14ac:dyDescent="0.3">
      <c r="A7" s="62">
        <v>160925</v>
      </c>
      <c r="B7" s="62">
        <v>304</v>
      </c>
      <c r="C7" s="64">
        <v>0.9</v>
      </c>
      <c r="D7" s="62">
        <v>510</v>
      </c>
      <c r="E7" s="86" t="s">
        <v>211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1100</v>
      </c>
      <c r="M7" s="67"/>
      <c r="N7" s="66">
        <f>L7-M7</f>
        <v>1100</v>
      </c>
      <c r="P7" s="62">
        <v>250057</v>
      </c>
      <c r="Q7" s="62">
        <v>304</v>
      </c>
      <c r="R7" s="64">
        <v>0.9</v>
      </c>
      <c r="S7" s="62">
        <v>307</v>
      </c>
      <c r="T7" s="65" t="s">
        <v>197</v>
      </c>
      <c r="U7" s="62" t="s">
        <v>23</v>
      </c>
      <c r="V7" s="62">
        <v>304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15</v>
      </c>
      <c r="AB7" s="67">
        <v>50</v>
      </c>
      <c r="AC7" s="66">
        <f t="shared" si="1"/>
        <v>-35</v>
      </c>
      <c r="AE7" s="62" t="s">
        <v>126</v>
      </c>
      <c r="AF7" s="62">
        <v>304</v>
      </c>
      <c r="AG7" s="64">
        <v>0.9</v>
      </c>
      <c r="AH7" s="77"/>
      <c r="AI7" s="65" t="s">
        <v>164</v>
      </c>
      <c r="AJ7" s="78" t="s">
        <v>119</v>
      </c>
      <c r="AK7" s="66">
        <v>1500</v>
      </c>
      <c r="AL7" s="67"/>
      <c r="AM7" s="66">
        <f t="shared" si="0"/>
        <v>1500</v>
      </c>
    </row>
    <row r="8" spans="1:39" s="76" customFormat="1" ht="100.05" customHeight="1" x14ac:dyDescent="0.3">
      <c r="A8" s="62">
        <v>250042</v>
      </c>
      <c r="B8" s="62">
        <v>304</v>
      </c>
      <c r="C8" s="64">
        <v>0.9</v>
      </c>
      <c r="D8" s="62">
        <v>510</v>
      </c>
      <c r="E8" s="86" t="s">
        <v>211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223</v>
      </c>
      <c r="L8" s="66">
        <v>750</v>
      </c>
      <c r="M8" s="67"/>
      <c r="N8" s="66">
        <f t="shared" ref="N8:N19" si="2">L8-M8</f>
        <v>750</v>
      </c>
      <c r="P8" s="62">
        <v>250061</v>
      </c>
      <c r="Q8" s="62">
        <v>304</v>
      </c>
      <c r="R8" s="64">
        <v>0.7</v>
      </c>
      <c r="S8" s="62">
        <v>265</v>
      </c>
      <c r="T8" s="65" t="s">
        <v>198</v>
      </c>
      <c r="U8" s="62" t="s">
        <v>181</v>
      </c>
      <c r="V8" s="62">
        <v>304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525</v>
      </c>
      <c r="AB8" s="67"/>
      <c r="AC8" s="66">
        <f t="shared" si="1"/>
        <v>525</v>
      </c>
      <c r="AE8" s="62" t="s">
        <v>126</v>
      </c>
      <c r="AF8" s="62">
        <v>304</v>
      </c>
      <c r="AG8" s="64">
        <v>0.9</v>
      </c>
      <c r="AH8" s="77"/>
      <c r="AI8" s="65" t="s">
        <v>162</v>
      </c>
      <c r="AJ8" s="78" t="s">
        <v>119</v>
      </c>
      <c r="AK8" s="66">
        <v>1500</v>
      </c>
      <c r="AL8" s="67"/>
      <c r="AM8" s="66">
        <f t="shared" si="0"/>
        <v>1500</v>
      </c>
    </row>
    <row r="9" spans="1:39" s="76" customFormat="1" ht="100.05" customHeight="1" x14ac:dyDescent="0.3">
      <c r="A9" s="62">
        <v>250042</v>
      </c>
      <c r="B9" s="62">
        <v>304</v>
      </c>
      <c r="C9" s="64">
        <v>0.9</v>
      </c>
      <c r="D9" s="62">
        <v>543</v>
      </c>
      <c r="E9" s="86" t="s">
        <v>224</v>
      </c>
      <c r="F9" s="62" t="s">
        <v>121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223</v>
      </c>
      <c r="L9" s="66">
        <v>750</v>
      </c>
      <c r="M9" s="67"/>
      <c r="N9" s="66">
        <f t="shared" si="2"/>
        <v>750</v>
      </c>
      <c r="P9" s="62">
        <v>250061</v>
      </c>
      <c r="Q9" s="62">
        <v>304</v>
      </c>
      <c r="R9" s="64">
        <v>0.7</v>
      </c>
      <c r="S9" s="62">
        <v>265</v>
      </c>
      <c r="T9" s="65" t="s">
        <v>199</v>
      </c>
      <c r="U9" s="62" t="s">
        <v>181</v>
      </c>
      <c r="V9" s="62">
        <v>304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15</v>
      </c>
      <c r="AB9" s="67"/>
      <c r="AC9" s="66">
        <f t="shared" si="1"/>
        <v>15</v>
      </c>
      <c r="AE9" s="62" t="s">
        <v>126</v>
      </c>
      <c r="AF9" s="62">
        <v>304</v>
      </c>
      <c r="AG9" s="64">
        <v>0.9</v>
      </c>
      <c r="AH9" s="67"/>
      <c r="AI9" s="65" t="s">
        <v>163</v>
      </c>
      <c r="AJ9" s="78" t="s">
        <v>119</v>
      </c>
      <c r="AK9" s="66">
        <v>1500</v>
      </c>
      <c r="AL9" s="67"/>
      <c r="AM9" s="66">
        <f t="shared" si="0"/>
        <v>1500</v>
      </c>
    </row>
    <row r="10" spans="1:39" s="76" customFormat="1" ht="100.05" customHeight="1" x14ac:dyDescent="0.3">
      <c r="A10" s="62">
        <v>250042</v>
      </c>
      <c r="B10" s="62">
        <v>304</v>
      </c>
      <c r="C10" s="64">
        <v>0.9</v>
      </c>
      <c r="D10" s="62">
        <v>560</v>
      </c>
      <c r="E10" s="86" t="s">
        <v>225</v>
      </c>
      <c r="F10" s="62" t="s">
        <v>121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223</v>
      </c>
      <c r="L10" s="66">
        <v>750</v>
      </c>
      <c r="M10" s="67"/>
      <c r="N10" s="66">
        <f t="shared" si="2"/>
        <v>750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160925</v>
      </c>
      <c r="AF10" s="62">
        <v>304</v>
      </c>
      <c r="AG10" s="64">
        <v>0.9</v>
      </c>
      <c r="AH10" s="67"/>
      <c r="AI10" s="65" t="s">
        <v>167</v>
      </c>
      <c r="AJ10" s="78" t="s">
        <v>119</v>
      </c>
      <c r="AK10" s="66">
        <v>1100</v>
      </c>
      <c r="AL10" s="67"/>
      <c r="AM10" s="66">
        <f t="shared" si="0"/>
        <v>1100</v>
      </c>
    </row>
    <row r="11" spans="1:39" s="76" customFormat="1" ht="100.05" customHeight="1" x14ac:dyDescent="0.3">
      <c r="A11" s="62"/>
      <c r="B11" s="62"/>
      <c r="C11" s="64"/>
      <c r="D11" s="62"/>
      <c r="E11" s="86"/>
      <c r="F11" s="62"/>
      <c r="G11" s="62"/>
      <c r="H11" s="64"/>
      <c r="I11" s="62"/>
      <c r="J11" s="62"/>
      <c r="K11" s="62"/>
      <c r="L11" s="66"/>
      <c r="M11" s="67"/>
      <c r="N11" s="66">
        <f t="shared" si="2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290925</v>
      </c>
      <c r="AF11" s="62">
        <v>304</v>
      </c>
      <c r="AG11" s="64" t="s">
        <v>24</v>
      </c>
      <c r="AH11" s="67" t="s">
        <v>24</v>
      </c>
      <c r="AI11" s="65" t="s">
        <v>201</v>
      </c>
      <c r="AJ11" s="78" t="s">
        <v>119</v>
      </c>
      <c r="AK11" s="66">
        <v>4000</v>
      </c>
      <c r="AL11" s="67">
        <f>600+2150</f>
        <v>2750</v>
      </c>
      <c r="AM11" s="66">
        <f t="shared" si="0"/>
        <v>1250</v>
      </c>
    </row>
    <row r="12" spans="1:39" s="76" customFormat="1" ht="100.05" customHeight="1" x14ac:dyDescent="0.3">
      <c r="A12" s="62"/>
      <c r="B12" s="62"/>
      <c r="C12" s="64"/>
      <c r="D12" s="62"/>
      <c r="E12" s="86"/>
      <c r="F12" s="62"/>
      <c r="G12" s="62"/>
      <c r="H12" s="64"/>
      <c r="I12" s="62"/>
      <c r="J12" s="62"/>
      <c r="K12" s="62"/>
      <c r="L12" s="66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290925</v>
      </c>
      <c r="AF12" s="62">
        <v>304</v>
      </c>
      <c r="AG12" s="64" t="s">
        <v>24</v>
      </c>
      <c r="AH12" s="67" t="s">
        <v>24</v>
      </c>
      <c r="AI12" s="65" t="s">
        <v>202</v>
      </c>
      <c r="AJ12" s="78" t="s">
        <v>119</v>
      </c>
      <c r="AK12" s="66">
        <v>4000</v>
      </c>
      <c r="AL12" s="67"/>
      <c r="AM12" s="66">
        <f t="shared" si="0"/>
        <v>4000</v>
      </c>
    </row>
    <row r="13" spans="1:39" s="76" customFormat="1" ht="99.6" customHeight="1" x14ac:dyDescent="0.3">
      <c r="A13" s="62"/>
      <c r="B13" s="62"/>
      <c r="C13" s="64"/>
      <c r="D13" s="62"/>
      <c r="E13" s="86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290925</v>
      </c>
      <c r="AF13" s="62">
        <v>304</v>
      </c>
      <c r="AG13" s="64" t="s">
        <v>24</v>
      </c>
      <c r="AH13" s="67" t="s">
        <v>24</v>
      </c>
      <c r="AI13" s="65" t="s">
        <v>203</v>
      </c>
      <c r="AJ13" s="78" t="s">
        <v>119</v>
      </c>
      <c r="AK13" s="66">
        <v>3000</v>
      </c>
      <c r="AL13" s="67"/>
      <c r="AM13" s="66">
        <f t="shared" si="0"/>
        <v>3000</v>
      </c>
    </row>
    <row r="14" spans="1:39" s="76" customFormat="1" ht="99.6" customHeight="1" x14ac:dyDescent="0.3">
      <c r="A14" s="62"/>
      <c r="B14" s="62"/>
      <c r="C14" s="64"/>
      <c r="D14" s="62"/>
      <c r="E14" s="86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290925</v>
      </c>
      <c r="AF14" s="62">
        <v>304</v>
      </c>
      <c r="AG14" s="64" t="s">
        <v>24</v>
      </c>
      <c r="AH14" s="67" t="s">
        <v>24</v>
      </c>
      <c r="AI14" s="65" t="s">
        <v>204</v>
      </c>
      <c r="AJ14" s="78" t="s">
        <v>119</v>
      </c>
      <c r="AK14" s="66">
        <v>3000</v>
      </c>
      <c r="AL14" s="67"/>
      <c r="AM14" s="66">
        <f t="shared" si="0"/>
        <v>3000</v>
      </c>
    </row>
    <row r="15" spans="1:39" s="76" customFormat="1" ht="99.6" customHeight="1" x14ac:dyDescent="0.3">
      <c r="A15" s="62"/>
      <c r="B15" s="62"/>
      <c r="C15" s="64"/>
      <c r="D15" s="62"/>
      <c r="E15" s="86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62"/>
      <c r="B16" s="62"/>
      <c r="C16" s="64"/>
      <c r="D16" s="62"/>
      <c r="E16" s="86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62"/>
      <c r="B17" s="62"/>
      <c r="C17" s="64"/>
      <c r="D17" s="62"/>
      <c r="E17" s="86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/>
      <c r="B18" s="62"/>
      <c r="C18" s="64"/>
      <c r="D18" s="62"/>
      <c r="E18" s="86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7650</v>
      </c>
      <c r="M20" s="71">
        <f>SUM(M4:M19)</f>
        <v>2100</v>
      </c>
      <c r="N20" s="66">
        <f>SUM(N4:N19)</f>
        <v>5550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7410</v>
      </c>
      <c r="AB20" s="71">
        <f>SUM(AB4:AB19)</f>
        <v>4550</v>
      </c>
      <c r="AC20" s="66">
        <f>SUM(AC4:AC19)</f>
        <v>3400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180925</v>
      </c>
      <c r="B24" s="62">
        <v>304</v>
      </c>
      <c r="C24" s="64">
        <v>0.7</v>
      </c>
      <c r="D24" s="62">
        <v>467</v>
      </c>
      <c r="E24" s="65" t="s">
        <v>219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2100</v>
      </c>
      <c r="M24" s="67">
        <v>450</v>
      </c>
      <c r="N24" s="66">
        <f t="shared" ref="N24" si="3">L24-M24</f>
        <v>1650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6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180925</v>
      </c>
      <c r="B25" s="62">
        <v>304</v>
      </c>
      <c r="C25" s="64">
        <v>0.7</v>
      </c>
      <c r="D25" s="62">
        <v>388</v>
      </c>
      <c r="E25" s="65" t="s">
        <v>220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2100</v>
      </c>
      <c r="M25" s="67"/>
      <c r="N25" s="66">
        <f>L25-M25</f>
        <v>2100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250077</v>
      </c>
      <c r="B26" s="62">
        <v>430</v>
      </c>
      <c r="C26" s="64">
        <v>0.5</v>
      </c>
      <c r="D26" s="62">
        <v>457</v>
      </c>
      <c r="E26" s="65" t="s">
        <v>213</v>
      </c>
      <c r="F26" s="62" t="s">
        <v>24</v>
      </c>
      <c r="G26" s="62" t="s">
        <v>24</v>
      </c>
      <c r="H26" s="64" t="s">
        <v>24</v>
      </c>
      <c r="I26" s="62" t="s">
        <v>24</v>
      </c>
      <c r="J26" s="62" t="s">
        <v>24</v>
      </c>
      <c r="K26" s="62" t="s">
        <v>86</v>
      </c>
      <c r="L26" s="66">
        <v>1400</v>
      </c>
      <c r="M26" s="67">
        <f>155+1150</f>
        <v>1305</v>
      </c>
      <c r="N26" s="89">
        <f t="shared" ref="N26:N37" si="5">L26-M26</f>
        <v>95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250077</v>
      </c>
      <c r="B27" s="62">
        <v>430</v>
      </c>
      <c r="C27" s="64">
        <v>0.5</v>
      </c>
      <c r="D27" s="62">
        <v>370</v>
      </c>
      <c r="E27" s="65" t="s">
        <v>221</v>
      </c>
      <c r="F27" s="62" t="s">
        <v>222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1400</v>
      </c>
      <c r="M27" s="67">
        <v>1400</v>
      </c>
      <c r="N27" s="66">
        <f t="shared" si="5"/>
        <v>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250077</v>
      </c>
      <c r="B28" s="62">
        <v>430</v>
      </c>
      <c r="C28" s="64">
        <v>0.5</v>
      </c>
      <c r="D28" s="62">
        <v>345</v>
      </c>
      <c r="E28" s="65" t="s">
        <v>214</v>
      </c>
      <c r="F28" s="62" t="s">
        <v>24</v>
      </c>
      <c r="G28" s="62" t="s">
        <v>24</v>
      </c>
      <c r="H28" s="64" t="s">
        <v>24</v>
      </c>
      <c r="I28" s="62" t="s">
        <v>24</v>
      </c>
      <c r="J28" s="62" t="s">
        <v>24</v>
      </c>
      <c r="K28" s="62" t="s">
        <v>86</v>
      </c>
      <c r="L28" s="66">
        <v>1400</v>
      </c>
      <c r="M28" s="67"/>
      <c r="N28" s="66">
        <f t="shared" si="5"/>
        <v>1400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/>
      <c r="B29" s="62"/>
      <c r="C29" s="64"/>
      <c r="D29" s="62"/>
      <c r="E29" s="65"/>
      <c r="F29" s="62"/>
      <c r="G29" s="62"/>
      <c r="H29" s="64"/>
      <c r="I29" s="62"/>
      <c r="J29" s="62"/>
      <c r="K29" s="62"/>
      <c r="L29" s="66"/>
      <c r="M29" s="67"/>
      <c r="N29" s="66">
        <f t="shared" si="5"/>
        <v>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/>
      <c r="B30" s="62"/>
      <c r="C30" s="64"/>
      <c r="D30" s="62"/>
      <c r="E30" s="65"/>
      <c r="F30" s="62"/>
      <c r="G30" s="62"/>
      <c r="H30" s="64"/>
      <c r="I30" s="62"/>
      <c r="J30" s="62"/>
      <c r="K30" s="62"/>
      <c r="L30" s="66"/>
      <c r="M30" s="67"/>
      <c r="N30" s="66">
        <f t="shared" si="5"/>
        <v>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/>
      <c r="B31" s="62"/>
      <c r="C31" s="64"/>
      <c r="D31" s="62"/>
      <c r="E31" s="65"/>
      <c r="F31" s="62"/>
      <c r="G31" s="62"/>
      <c r="H31" s="64"/>
      <c r="I31" s="62"/>
      <c r="J31" s="62"/>
      <c r="K31" s="62"/>
      <c r="L31" s="66"/>
      <c r="M31" s="67"/>
      <c r="N31" s="66">
        <f t="shared" si="5"/>
        <v>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6"/>
      <c r="M32" s="67"/>
      <c r="N32" s="66">
        <f t="shared" si="5"/>
        <v>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/>
      <c r="B33" s="62"/>
      <c r="C33" s="64"/>
      <c r="D33" s="62"/>
      <c r="E33" s="65"/>
      <c r="F33" s="62"/>
      <c r="G33" s="62"/>
      <c r="H33" s="64"/>
      <c r="I33" s="62"/>
      <c r="J33" s="62"/>
      <c r="K33" s="62"/>
      <c r="L33" s="66"/>
      <c r="M33" s="67"/>
      <c r="N33" s="66">
        <f t="shared" si="5"/>
        <v>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/>
      <c r="B34" s="62"/>
      <c r="C34" s="64"/>
      <c r="D34" s="62"/>
      <c r="E34" s="65"/>
      <c r="F34" s="62"/>
      <c r="G34" s="62"/>
      <c r="H34" s="64"/>
      <c r="I34" s="62"/>
      <c r="J34" s="62"/>
      <c r="K34" s="62"/>
      <c r="L34" s="66"/>
      <c r="M34" s="67"/>
      <c r="N34" s="66">
        <f t="shared" si="5"/>
        <v>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62"/>
      <c r="B35" s="62"/>
      <c r="C35" s="64"/>
      <c r="D35" s="62"/>
      <c r="E35" s="65"/>
      <c r="F35" s="62"/>
      <c r="G35" s="62"/>
      <c r="H35" s="64"/>
      <c r="I35" s="62"/>
      <c r="J35" s="62"/>
      <c r="K35" s="62"/>
      <c r="L35" s="66"/>
      <c r="M35" s="67"/>
      <c r="N35" s="66">
        <f t="shared" si="5"/>
        <v>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62"/>
      <c r="B36" s="62"/>
      <c r="C36" s="64"/>
      <c r="D36" s="62"/>
      <c r="E36" s="65"/>
      <c r="F36" s="62"/>
      <c r="G36" s="62"/>
      <c r="H36" s="64"/>
      <c r="I36" s="62"/>
      <c r="J36" s="62"/>
      <c r="K36" s="62"/>
      <c r="L36" s="66"/>
      <c r="M36" s="67"/>
      <c r="N36" s="66">
        <f t="shared" si="5"/>
        <v>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4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2"/>
      <c r="B37" s="62"/>
      <c r="C37" s="64"/>
      <c r="D37" s="62"/>
      <c r="E37" s="65"/>
      <c r="F37" s="62"/>
      <c r="G37" s="62"/>
      <c r="H37" s="64"/>
      <c r="I37" s="62"/>
      <c r="J37" s="62"/>
      <c r="K37" s="62"/>
      <c r="L37" s="62"/>
      <c r="M37" s="67"/>
      <c r="N37" s="66">
        <f t="shared" si="5"/>
        <v>0</v>
      </c>
      <c r="P37" s="68"/>
      <c r="Q37" s="68"/>
      <c r="R37" s="69"/>
      <c r="S37" s="68"/>
      <c r="T37" s="70"/>
      <c r="U37" s="68"/>
      <c r="V37" s="68"/>
      <c r="W37" s="69"/>
      <c r="X37" s="68"/>
      <c r="Y37" s="68"/>
      <c r="Z37" s="68"/>
      <c r="AA37" s="66">
        <f>SUM(AA24:AA27)</f>
        <v>0</v>
      </c>
      <c r="AB37" s="71">
        <f>SUM(AB24:AB27)</f>
        <v>0</v>
      </c>
      <c r="AC37" s="66">
        <f>SUM(AC24:AC27)</f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68"/>
      <c r="B38" s="68"/>
      <c r="C38" s="69"/>
      <c r="D38" s="68"/>
      <c r="E38" s="70"/>
      <c r="F38" s="68"/>
      <c r="G38" s="68"/>
      <c r="H38" s="69"/>
      <c r="I38" s="68"/>
      <c r="J38" s="68"/>
      <c r="K38" s="68"/>
      <c r="L38" s="66">
        <f>SUM(L24:L37)</f>
        <v>8400</v>
      </c>
      <c r="M38" s="71">
        <f>SUM(M24:M37)</f>
        <v>3155</v>
      </c>
      <c r="N38" s="66">
        <f>SUM(N24:N37)</f>
        <v>5245</v>
      </c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68"/>
      <c r="AF38" s="68"/>
      <c r="AG38" s="69"/>
      <c r="AH38" s="68"/>
      <c r="AI38" s="70"/>
      <c r="AJ38" s="80"/>
      <c r="AK38" s="66">
        <f>SUM(AK4:AK37)</f>
        <v>22900</v>
      </c>
      <c r="AL38" s="71">
        <f>SUM(AL4:AL37)</f>
        <v>2750</v>
      </c>
      <c r="AM38" s="66">
        <f>SUM(AM4:AM37)</f>
        <v>20150</v>
      </c>
      <c r="AN38" s="75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5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spans="1:40" s="75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 spans="1:40" s="75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E54" s="79"/>
      <c r="AF54" s="79"/>
      <c r="AG54" s="79"/>
      <c r="AH54" s="79"/>
      <c r="AI54" s="79"/>
      <c r="AJ54" s="79"/>
      <c r="AK54" s="79"/>
      <c r="AL54" s="79"/>
      <c r="AM54" s="79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76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5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5"/>
      <c r="AE56" s="79"/>
      <c r="AF56" s="79"/>
      <c r="AG56" s="79"/>
      <c r="AH56" s="79"/>
      <c r="AI56" s="79"/>
      <c r="AJ56" s="79"/>
      <c r="AK56" s="79"/>
      <c r="AL56" s="79"/>
      <c r="AM56" s="79"/>
      <c r="AN56" s="75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  <row r="64" spans="1:40" s="56" customFormat="1" ht="100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2"/>
      <c r="AN64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7" orientation="portrait" horizontalDpi="1200" verticalDpi="120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4"/>
  <sheetViews>
    <sheetView zoomScale="25" zoomScaleNormal="25" workbookViewId="0">
      <selection activeCell="AL6" sqref="AL6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45938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45938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180925</v>
      </c>
      <c r="B4" s="62">
        <v>304</v>
      </c>
      <c r="C4" s="64">
        <v>0.7</v>
      </c>
      <c r="D4" s="62">
        <v>433</v>
      </c>
      <c r="E4" s="86" t="s">
        <v>216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86</v>
      </c>
      <c r="L4" s="66">
        <v>2100</v>
      </c>
      <c r="M4" s="67">
        <f>995+1150</f>
        <v>2145</v>
      </c>
      <c r="N4" s="66">
        <f>L4-M4</f>
        <v>-45</v>
      </c>
      <c r="P4" s="62">
        <v>290925</v>
      </c>
      <c r="Q4" s="62">
        <v>304</v>
      </c>
      <c r="R4" s="64">
        <v>0.8</v>
      </c>
      <c r="S4" s="62">
        <v>330</v>
      </c>
      <c r="T4" s="65" t="s">
        <v>195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3000</v>
      </c>
      <c r="AB4" s="67">
        <v>1000</v>
      </c>
      <c r="AC4" s="66">
        <f>AA4-AB4</f>
        <v>2000</v>
      </c>
      <c r="AE4" s="62">
        <v>100925</v>
      </c>
      <c r="AF4" s="62">
        <v>304</v>
      </c>
      <c r="AG4" s="64">
        <v>0.9</v>
      </c>
      <c r="AH4" s="67"/>
      <c r="AI4" s="65" t="s">
        <v>157</v>
      </c>
      <c r="AJ4" s="78" t="s">
        <v>119</v>
      </c>
      <c r="AK4" s="66">
        <v>1500</v>
      </c>
      <c r="AL4" s="67"/>
      <c r="AM4" s="66">
        <f t="shared" ref="AM4:AM47" si="0">AK4-AL4</f>
        <v>1500</v>
      </c>
    </row>
    <row r="5" spans="1:39" s="76" customFormat="1" ht="100.05" customHeight="1" x14ac:dyDescent="0.3">
      <c r="A5" s="62">
        <v>160925</v>
      </c>
      <c r="B5" s="62">
        <v>304</v>
      </c>
      <c r="C5" s="64">
        <v>0.7</v>
      </c>
      <c r="D5" s="62">
        <v>362</v>
      </c>
      <c r="E5" s="86" t="s">
        <v>217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86</v>
      </c>
      <c r="L5" s="66">
        <v>1100</v>
      </c>
      <c r="M5" s="67">
        <v>450</v>
      </c>
      <c r="N5" s="66">
        <f>L5-M5</f>
        <v>650</v>
      </c>
      <c r="P5" s="62">
        <v>250057</v>
      </c>
      <c r="Q5" s="62">
        <v>304</v>
      </c>
      <c r="R5" s="64">
        <v>0.7</v>
      </c>
      <c r="S5" s="62">
        <v>307</v>
      </c>
      <c r="T5" s="65" t="s">
        <v>196</v>
      </c>
      <c r="U5" s="62" t="s">
        <v>23</v>
      </c>
      <c r="V5" s="62">
        <v>304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395</v>
      </c>
      <c r="AB5" s="67">
        <v>450</v>
      </c>
      <c r="AC5" s="66">
        <f t="shared" ref="AC5:AC22" si="1">AA5-AB5</f>
        <v>-55</v>
      </c>
      <c r="AE5" s="62">
        <v>100925</v>
      </c>
      <c r="AF5" s="62">
        <v>304</v>
      </c>
      <c r="AG5" s="64">
        <v>0.9</v>
      </c>
      <c r="AH5" s="67"/>
      <c r="AI5" s="65" t="s">
        <v>158</v>
      </c>
      <c r="AJ5" s="78" t="s">
        <v>119</v>
      </c>
      <c r="AK5" s="66">
        <v>600</v>
      </c>
      <c r="AL5" s="67">
        <v>500</v>
      </c>
      <c r="AM5" s="66">
        <f t="shared" si="0"/>
        <v>100</v>
      </c>
    </row>
    <row r="6" spans="1:39" s="76" customFormat="1" ht="100.05" customHeight="1" x14ac:dyDescent="0.3">
      <c r="A6" s="62">
        <v>160925</v>
      </c>
      <c r="B6" s="62">
        <v>304</v>
      </c>
      <c r="C6" s="64">
        <v>0.9</v>
      </c>
      <c r="D6" s="62">
        <v>510</v>
      </c>
      <c r="E6" s="86" t="s">
        <v>211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1100</v>
      </c>
      <c r="M6" s="67"/>
      <c r="N6" s="66">
        <f>L6-M6</f>
        <v>1100</v>
      </c>
      <c r="P6" s="62">
        <v>250057</v>
      </c>
      <c r="Q6" s="62">
        <v>304</v>
      </c>
      <c r="R6" s="64">
        <v>0.9</v>
      </c>
      <c r="S6" s="62">
        <v>307</v>
      </c>
      <c r="T6" s="65" t="s">
        <v>197</v>
      </c>
      <c r="U6" s="62" t="s">
        <v>23</v>
      </c>
      <c r="V6" s="62">
        <v>304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15</v>
      </c>
      <c r="AB6" s="67">
        <v>50</v>
      </c>
      <c r="AC6" s="66">
        <f t="shared" si="1"/>
        <v>-35</v>
      </c>
      <c r="AE6" s="62" t="s">
        <v>126</v>
      </c>
      <c r="AF6" s="62">
        <v>304</v>
      </c>
      <c r="AG6" s="64">
        <v>0.9</v>
      </c>
      <c r="AH6" s="77"/>
      <c r="AI6" s="65" t="s">
        <v>165</v>
      </c>
      <c r="AJ6" s="78" t="s">
        <v>119</v>
      </c>
      <c r="AK6" s="66">
        <v>1200</v>
      </c>
      <c r="AL6" s="67"/>
      <c r="AM6" s="66">
        <f t="shared" si="0"/>
        <v>1200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510</v>
      </c>
      <c r="E7" s="86" t="s">
        <v>211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>
        <v>250061</v>
      </c>
      <c r="Q7" s="62">
        <v>304</v>
      </c>
      <c r="R7" s="64">
        <v>0.7</v>
      </c>
      <c r="S7" s="62">
        <v>265</v>
      </c>
      <c r="T7" s="65" t="s">
        <v>198</v>
      </c>
      <c r="U7" s="62" t="s">
        <v>181</v>
      </c>
      <c r="V7" s="62">
        <v>304</v>
      </c>
      <c r="W7" s="64" t="s">
        <v>24</v>
      </c>
      <c r="X7" s="62" t="s">
        <v>24</v>
      </c>
      <c r="Y7" s="62" t="s">
        <v>24</v>
      </c>
      <c r="Z7" s="62" t="s">
        <v>74</v>
      </c>
      <c r="AA7" s="66">
        <v>525</v>
      </c>
      <c r="AB7" s="67">
        <v>570</v>
      </c>
      <c r="AC7" s="66">
        <f t="shared" si="1"/>
        <v>-45</v>
      </c>
      <c r="AE7" s="62" t="s">
        <v>126</v>
      </c>
      <c r="AF7" s="62">
        <v>304</v>
      </c>
      <c r="AG7" s="64">
        <v>0.9</v>
      </c>
      <c r="AH7" s="77"/>
      <c r="AI7" s="65" t="s">
        <v>164</v>
      </c>
      <c r="AJ7" s="78" t="s">
        <v>119</v>
      </c>
      <c r="AK7" s="66">
        <v>1500</v>
      </c>
      <c r="AL7" s="67"/>
      <c r="AM7" s="66">
        <f t="shared" si="0"/>
        <v>1500</v>
      </c>
    </row>
    <row r="8" spans="1:39" s="76" customFormat="1" ht="100.05" customHeight="1" x14ac:dyDescent="0.3">
      <c r="A8" s="62">
        <v>250042</v>
      </c>
      <c r="B8" s="62">
        <v>304</v>
      </c>
      <c r="C8" s="64">
        <v>0.9</v>
      </c>
      <c r="D8" s="62">
        <v>543</v>
      </c>
      <c r="E8" s="86" t="s">
        <v>224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223</v>
      </c>
      <c r="L8" s="66">
        <v>750</v>
      </c>
      <c r="M8" s="67"/>
      <c r="N8" s="66">
        <f t="shared" ref="N8:N22" si="2">L8-M8</f>
        <v>750</v>
      </c>
      <c r="P8" s="62">
        <v>250061</v>
      </c>
      <c r="Q8" s="62">
        <v>304</v>
      </c>
      <c r="R8" s="64">
        <v>0.7</v>
      </c>
      <c r="S8" s="62">
        <v>265</v>
      </c>
      <c r="T8" s="65" t="s">
        <v>199</v>
      </c>
      <c r="U8" s="62" t="s">
        <v>181</v>
      </c>
      <c r="V8" s="62">
        <v>304</v>
      </c>
      <c r="W8" s="64" t="s">
        <v>24</v>
      </c>
      <c r="X8" s="62" t="s">
        <v>24</v>
      </c>
      <c r="Y8" s="62" t="s">
        <v>24</v>
      </c>
      <c r="Z8" s="62" t="s">
        <v>74</v>
      </c>
      <c r="AA8" s="66">
        <v>15</v>
      </c>
      <c r="AB8" s="67">
        <v>30</v>
      </c>
      <c r="AC8" s="66">
        <f t="shared" si="1"/>
        <v>-15</v>
      </c>
      <c r="AE8" s="62" t="s">
        <v>126</v>
      </c>
      <c r="AF8" s="62">
        <v>304</v>
      </c>
      <c r="AG8" s="64">
        <v>0.9</v>
      </c>
      <c r="AH8" s="77"/>
      <c r="AI8" s="65" t="s">
        <v>162</v>
      </c>
      <c r="AJ8" s="78" t="s">
        <v>119</v>
      </c>
      <c r="AK8" s="66">
        <v>1500</v>
      </c>
      <c r="AL8" s="67"/>
      <c r="AM8" s="66">
        <f t="shared" si="0"/>
        <v>1500</v>
      </c>
    </row>
    <row r="9" spans="1:39" s="76" customFormat="1" ht="100.05" customHeight="1" x14ac:dyDescent="0.3">
      <c r="A9" s="62">
        <v>250042</v>
      </c>
      <c r="B9" s="62">
        <v>304</v>
      </c>
      <c r="C9" s="64">
        <v>0.9</v>
      </c>
      <c r="D9" s="62">
        <v>560</v>
      </c>
      <c r="E9" s="86" t="s">
        <v>225</v>
      </c>
      <c r="F9" s="62" t="s">
        <v>121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223</v>
      </c>
      <c r="L9" s="66">
        <v>750</v>
      </c>
      <c r="M9" s="67"/>
      <c r="N9" s="66">
        <f t="shared" si="2"/>
        <v>750</v>
      </c>
      <c r="P9" s="62">
        <v>230925</v>
      </c>
      <c r="Q9" s="62">
        <v>430</v>
      </c>
      <c r="R9" s="64">
        <v>0.8</v>
      </c>
      <c r="S9" s="62">
        <v>425</v>
      </c>
      <c r="T9" s="65" t="s">
        <v>238</v>
      </c>
      <c r="U9" s="62" t="s">
        <v>23</v>
      </c>
      <c r="V9" s="62">
        <v>430</v>
      </c>
      <c r="W9" s="64" t="s">
        <v>24</v>
      </c>
      <c r="X9" s="62" t="s">
        <v>24</v>
      </c>
      <c r="Y9" s="62" t="s">
        <v>24</v>
      </c>
      <c r="Z9" s="62" t="s">
        <v>74</v>
      </c>
      <c r="AA9" s="66">
        <v>6000</v>
      </c>
      <c r="AB9" s="67"/>
      <c r="AC9" s="66">
        <f t="shared" si="1"/>
        <v>6000</v>
      </c>
      <c r="AE9" s="62" t="s">
        <v>126</v>
      </c>
      <c r="AF9" s="62">
        <v>304</v>
      </c>
      <c r="AG9" s="64">
        <v>0.9</v>
      </c>
      <c r="AH9" s="67"/>
      <c r="AI9" s="65" t="s">
        <v>163</v>
      </c>
      <c r="AJ9" s="78" t="s">
        <v>119</v>
      </c>
      <c r="AK9" s="66">
        <v>1500</v>
      </c>
      <c r="AL9" s="67"/>
      <c r="AM9" s="66">
        <f t="shared" si="0"/>
        <v>1500</v>
      </c>
    </row>
    <row r="10" spans="1:39" s="76" customFormat="1" ht="100.05" customHeight="1" x14ac:dyDescent="0.3">
      <c r="A10" s="62">
        <v>250052</v>
      </c>
      <c r="B10" s="62">
        <v>304</v>
      </c>
      <c r="C10" s="64">
        <v>0.7</v>
      </c>
      <c r="D10" s="62">
        <v>435</v>
      </c>
      <c r="E10" s="91" t="s">
        <v>226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800</v>
      </c>
      <c r="M10" s="67"/>
      <c r="N10" s="66">
        <f t="shared" si="2"/>
        <v>800</v>
      </c>
      <c r="P10" s="62">
        <v>230925</v>
      </c>
      <c r="Q10" s="62">
        <v>430</v>
      </c>
      <c r="R10" s="64">
        <v>0.8</v>
      </c>
      <c r="S10" s="62">
        <v>425</v>
      </c>
      <c r="T10" s="65" t="s">
        <v>239</v>
      </c>
      <c r="U10" s="62" t="s">
        <v>24</v>
      </c>
      <c r="V10" s="62" t="s">
        <v>24</v>
      </c>
      <c r="W10" s="64" t="s">
        <v>24</v>
      </c>
      <c r="X10" s="62" t="s">
        <v>24</v>
      </c>
      <c r="Y10" s="62" t="s">
        <v>24</v>
      </c>
      <c r="Z10" s="62" t="s">
        <v>74</v>
      </c>
      <c r="AA10" s="66">
        <v>6000</v>
      </c>
      <c r="AB10" s="67"/>
      <c r="AC10" s="66">
        <f t="shared" si="1"/>
        <v>6000</v>
      </c>
      <c r="AE10" s="62">
        <v>160925</v>
      </c>
      <c r="AF10" s="62">
        <v>304</v>
      </c>
      <c r="AG10" s="64">
        <v>0.9</v>
      </c>
      <c r="AH10" s="67"/>
      <c r="AI10" s="65" t="s">
        <v>167</v>
      </c>
      <c r="AJ10" s="78" t="s">
        <v>119</v>
      </c>
      <c r="AK10" s="66">
        <v>1100</v>
      </c>
      <c r="AL10" s="67"/>
      <c r="AM10" s="66">
        <f t="shared" si="0"/>
        <v>1100</v>
      </c>
    </row>
    <row r="11" spans="1:39" s="76" customFormat="1" ht="100.05" customHeight="1" x14ac:dyDescent="0.3">
      <c r="A11" s="62">
        <v>250055</v>
      </c>
      <c r="B11" s="62">
        <v>304</v>
      </c>
      <c r="C11" s="64">
        <v>0.7</v>
      </c>
      <c r="D11" s="62">
        <v>435</v>
      </c>
      <c r="E11" s="91" t="s">
        <v>226</v>
      </c>
      <c r="F11" s="62" t="s">
        <v>23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79</v>
      </c>
      <c r="L11" s="66">
        <v>830</v>
      </c>
      <c r="M11" s="67"/>
      <c r="N11" s="66">
        <f t="shared" si="2"/>
        <v>830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290925</v>
      </c>
      <c r="AF11" s="62">
        <v>304</v>
      </c>
      <c r="AG11" s="64" t="s">
        <v>24</v>
      </c>
      <c r="AH11" s="67" t="s">
        <v>24</v>
      </c>
      <c r="AI11" s="65" t="s">
        <v>201</v>
      </c>
      <c r="AJ11" s="78" t="s">
        <v>119</v>
      </c>
      <c r="AK11" s="66">
        <v>4000</v>
      </c>
      <c r="AL11" s="67">
        <f>600+2150+1250</f>
        <v>4000</v>
      </c>
      <c r="AM11" s="66">
        <f t="shared" si="0"/>
        <v>0</v>
      </c>
    </row>
    <row r="12" spans="1:39" s="76" customFormat="1" ht="100.05" customHeight="1" x14ac:dyDescent="0.3">
      <c r="A12" s="62">
        <v>250057</v>
      </c>
      <c r="B12" s="62">
        <v>304</v>
      </c>
      <c r="C12" s="64">
        <v>0.7</v>
      </c>
      <c r="D12" s="62">
        <v>435</v>
      </c>
      <c r="E12" s="91" t="s">
        <v>226</v>
      </c>
      <c r="F12" s="62" t="s">
        <v>23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79</v>
      </c>
      <c r="L12" s="66">
        <v>410</v>
      </c>
      <c r="M12" s="67"/>
      <c r="N12" s="66">
        <f t="shared" si="2"/>
        <v>410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290925</v>
      </c>
      <c r="AF12" s="62">
        <v>304</v>
      </c>
      <c r="AG12" s="64" t="s">
        <v>24</v>
      </c>
      <c r="AH12" s="67" t="s">
        <v>24</v>
      </c>
      <c r="AI12" s="65" t="s">
        <v>202</v>
      </c>
      <c r="AJ12" s="78" t="s">
        <v>119</v>
      </c>
      <c r="AK12" s="66">
        <v>4000</v>
      </c>
      <c r="AL12" s="67"/>
      <c r="AM12" s="66">
        <f t="shared" si="0"/>
        <v>4000</v>
      </c>
    </row>
    <row r="13" spans="1:39" s="76" customFormat="1" ht="99.6" customHeight="1" x14ac:dyDescent="0.3">
      <c r="A13" s="62">
        <v>250061</v>
      </c>
      <c r="B13" s="62">
        <v>304</v>
      </c>
      <c r="C13" s="64">
        <v>0.7</v>
      </c>
      <c r="D13" s="62">
        <v>435</v>
      </c>
      <c r="E13" s="91" t="s">
        <v>226</v>
      </c>
      <c r="F13" s="62" t="s">
        <v>23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79</v>
      </c>
      <c r="L13" s="66">
        <v>540</v>
      </c>
      <c r="M13" s="67"/>
      <c r="N13" s="66">
        <f t="shared" si="2"/>
        <v>540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290925</v>
      </c>
      <c r="AF13" s="62">
        <v>304</v>
      </c>
      <c r="AG13" s="64" t="s">
        <v>24</v>
      </c>
      <c r="AH13" s="67" t="s">
        <v>24</v>
      </c>
      <c r="AI13" s="65" t="s">
        <v>203</v>
      </c>
      <c r="AJ13" s="78" t="s">
        <v>119</v>
      </c>
      <c r="AK13" s="66">
        <v>3000</v>
      </c>
      <c r="AL13" s="67"/>
      <c r="AM13" s="66">
        <f t="shared" si="0"/>
        <v>3000</v>
      </c>
    </row>
    <row r="14" spans="1:39" s="76" customFormat="1" ht="99.6" customHeight="1" x14ac:dyDescent="0.3">
      <c r="A14" s="62">
        <v>250057</v>
      </c>
      <c r="B14" s="62">
        <v>304</v>
      </c>
      <c r="C14" s="64">
        <v>0.7</v>
      </c>
      <c r="D14" s="62">
        <v>362</v>
      </c>
      <c r="E14" s="91" t="s">
        <v>227</v>
      </c>
      <c r="F14" s="62" t="s">
        <v>23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79</v>
      </c>
      <c r="L14" s="66">
        <v>410</v>
      </c>
      <c r="M14" s="67"/>
      <c r="N14" s="66">
        <f t="shared" si="2"/>
        <v>410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290925</v>
      </c>
      <c r="AF14" s="62">
        <v>304</v>
      </c>
      <c r="AG14" s="64" t="s">
        <v>24</v>
      </c>
      <c r="AH14" s="67" t="s">
        <v>24</v>
      </c>
      <c r="AI14" s="65" t="s">
        <v>204</v>
      </c>
      <c r="AJ14" s="78" t="s">
        <v>119</v>
      </c>
      <c r="AK14" s="66">
        <v>3000</v>
      </c>
      <c r="AL14" s="67"/>
      <c r="AM14" s="66">
        <f t="shared" si="0"/>
        <v>3000</v>
      </c>
    </row>
    <row r="15" spans="1:39" s="76" customFormat="1" ht="99.6" customHeight="1" x14ac:dyDescent="0.3">
      <c r="A15" s="62">
        <v>250061</v>
      </c>
      <c r="B15" s="62">
        <v>304</v>
      </c>
      <c r="C15" s="64">
        <v>0.7</v>
      </c>
      <c r="D15" s="62">
        <v>362</v>
      </c>
      <c r="E15" s="91" t="s">
        <v>227</v>
      </c>
      <c r="F15" s="62" t="s">
        <v>23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79</v>
      </c>
      <c r="L15" s="66">
        <v>540</v>
      </c>
      <c r="M15" s="67"/>
      <c r="N15" s="66">
        <f t="shared" si="2"/>
        <v>540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250057</v>
      </c>
      <c r="AF15" s="62">
        <v>304</v>
      </c>
      <c r="AG15" s="64" t="s">
        <v>24</v>
      </c>
      <c r="AH15" s="67" t="s">
        <v>24</v>
      </c>
      <c r="AI15" s="65" t="s">
        <v>243</v>
      </c>
      <c r="AJ15" s="78" t="s">
        <v>119</v>
      </c>
      <c r="AK15" s="66">
        <v>410</v>
      </c>
      <c r="AL15" s="67"/>
      <c r="AM15" s="66">
        <f>AK15-AL15</f>
        <v>410</v>
      </c>
    </row>
    <row r="16" spans="1:39" s="76" customFormat="1" ht="100.05" customHeight="1" x14ac:dyDescent="0.3">
      <c r="A16" s="62">
        <v>250057</v>
      </c>
      <c r="B16" s="62">
        <v>304</v>
      </c>
      <c r="C16" s="64">
        <v>0.7</v>
      </c>
      <c r="D16" s="62" t="s">
        <v>24</v>
      </c>
      <c r="E16" s="91" t="s">
        <v>228</v>
      </c>
      <c r="F16" s="62" t="s">
        <v>23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79</v>
      </c>
      <c r="L16" s="66">
        <v>410</v>
      </c>
      <c r="M16" s="67"/>
      <c r="N16" s="66">
        <f t="shared" si="2"/>
        <v>410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250057</v>
      </c>
      <c r="AF16" s="62">
        <v>304</v>
      </c>
      <c r="AG16" s="64" t="s">
        <v>24</v>
      </c>
      <c r="AH16" s="67" t="s">
        <v>24</v>
      </c>
      <c r="AI16" s="65" t="s">
        <v>244</v>
      </c>
      <c r="AJ16" s="78" t="s">
        <v>119</v>
      </c>
      <c r="AK16" s="66">
        <v>410</v>
      </c>
      <c r="AL16" s="67"/>
      <c r="AM16" s="66">
        <f>AK16-AL16</f>
        <v>410</v>
      </c>
    </row>
    <row r="17" spans="1:40" s="76" customFormat="1" ht="100.05" customHeight="1" x14ac:dyDescent="0.3">
      <c r="A17" s="62">
        <v>250061</v>
      </c>
      <c r="B17" s="62">
        <v>304</v>
      </c>
      <c r="C17" s="64">
        <v>0.7</v>
      </c>
      <c r="D17" s="62" t="s">
        <v>24</v>
      </c>
      <c r="E17" s="91" t="s">
        <v>228</v>
      </c>
      <c r="F17" s="62" t="s">
        <v>23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540</v>
      </c>
      <c r="M17" s="67"/>
      <c r="N17" s="66">
        <f t="shared" si="2"/>
        <v>540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250061</v>
      </c>
      <c r="AF17" s="62">
        <v>304</v>
      </c>
      <c r="AG17" s="64" t="s">
        <v>24</v>
      </c>
      <c r="AH17" s="67" t="s">
        <v>24</v>
      </c>
      <c r="AI17" s="65" t="s">
        <v>245</v>
      </c>
      <c r="AJ17" s="78" t="s">
        <v>119</v>
      </c>
      <c r="AK17" s="66">
        <v>540</v>
      </c>
      <c r="AL17" s="67"/>
      <c r="AM17" s="66">
        <f t="shared" si="0"/>
        <v>540</v>
      </c>
    </row>
    <row r="18" spans="1:40" s="76" customFormat="1" ht="100.05" customHeight="1" x14ac:dyDescent="0.3">
      <c r="A18" s="62">
        <v>250052</v>
      </c>
      <c r="B18" s="62">
        <v>304</v>
      </c>
      <c r="C18" s="64">
        <v>0.7</v>
      </c>
      <c r="D18" s="62">
        <v>615</v>
      </c>
      <c r="E18" s="91" t="s">
        <v>230</v>
      </c>
      <c r="F18" s="62" t="s">
        <v>23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79</v>
      </c>
      <c r="L18" s="66">
        <v>800</v>
      </c>
      <c r="M18" s="67"/>
      <c r="N18" s="66">
        <f t="shared" si="2"/>
        <v>800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250061</v>
      </c>
      <c r="AF18" s="62">
        <v>304</v>
      </c>
      <c r="AG18" s="64" t="s">
        <v>24</v>
      </c>
      <c r="AH18" s="67" t="s">
        <v>24</v>
      </c>
      <c r="AI18" s="65" t="s">
        <v>244</v>
      </c>
      <c r="AJ18" s="78" t="s">
        <v>119</v>
      </c>
      <c r="AK18" s="66">
        <v>540</v>
      </c>
      <c r="AL18" s="67"/>
      <c r="AM18" s="66">
        <f t="shared" si="0"/>
        <v>540</v>
      </c>
    </row>
    <row r="19" spans="1:40" s="76" customFormat="1" ht="100.05" customHeight="1" x14ac:dyDescent="0.3">
      <c r="A19" s="62">
        <v>250057</v>
      </c>
      <c r="B19" s="62">
        <v>304</v>
      </c>
      <c r="C19" s="64">
        <v>0.7</v>
      </c>
      <c r="D19" s="62">
        <v>324</v>
      </c>
      <c r="E19" s="91" t="s">
        <v>236</v>
      </c>
      <c r="F19" s="62" t="s">
        <v>23</v>
      </c>
      <c r="G19" s="62">
        <v>304</v>
      </c>
      <c r="H19" s="64">
        <v>0.6</v>
      </c>
      <c r="I19" s="62" t="s">
        <v>24</v>
      </c>
      <c r="J19" s="62" t="s">
        <v>24</v>
      </c>
      <c r="K19" s="62" t="s">
        <v>79</v>
      </c>
      <c r="L19" s="66">
        <v>410</v>
      </c>
      <c r="M19" s="67"/>
      <c r="N19" s="66">
        <f t="shared" si="2"/>
        <v>410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/>
      <c r="AE19" s="62">
        <v>230925</v>
      </c>
      <c r="AF19" s="62">
        <v>430</v>
      </c>
      <c r="AG19" s="64">
        <v>0.8</v>
      </c>
      <c r="AH19" s="67" t="s">
        <v>24</v>
      </c>
      <c r="AI19" s="65" t="s">
        <v>240</v>
      </c>
      <c r="AJ19" s="78" t="s">
        <v>241</v>
      </c>
      <c r="AK19" s="66">
        <v>6000</v>
      </c>
      <c r="AL19" s="67"/>
      <c r="AM19" s="66">
        <f t="shared" si="0"/>
        <v>6000</v>
      </c>
    </row>
    <row r="20" spans="1:40" s="76" customFormat="1" ht="100.05" customHeight="1" x14ac:dyDescent="0.3">
      <c r="A20" s="62">
        <v>250061</v>
      </c>
      <c r="B20" s="62">
        <v>304</v>
      </c>
      <c r="C20" s="64">
        <v>0.7</v>
      </c>
      <c r="D20" s="62">
        <v>324</v>
      </c>
      <c r="E20" s="91" t="s">
        <v>236</v>
      </c>
      <c r="F20" s="62" t="s">
        <v>23</v>
      </c>
      <c r="G20" s="62">
        <v>304</v>
      </c>
      <c r="H20" s="64">
        <v>0.6</v>
      </c>
      <c r="I20" s="62" t="s">
        <v>24</v>
      </c>
      <c r="J20" s="62" t="s">
        <v>24</v>
      </c>
      <c r="K20" s="62" t="s">
        <v>79</v>
      </c>
      <c r="L20" s="66">
        <v>540</v>
      </c>
      <c r="M20" s="67"/>
      <c r="N20" s="66">
        <f t="shared" si="2"/>
        <v>540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6"/>
      <c r="AB20" s="67"/>
      <c r="AC20" s="66"/>
      <c r="AE20" s="62">
        <v>230925</v>
      </c>
      <c r="AF20" s="62">
        <v>430</v>
      </c>
      <c r="AG20" s="64">
        <v>0.8</v>
      </c>
      <c r="AH20" s="67" t="s">
        <v>24</v>
      </c>
      <c r="AI20" s="65" t="s">
        <v>242</v>
      </c>
      <c r="AJ20" s="78" t="s">
        <v>241</v>
      </c>
      <c r="AK20" s="66">
        <v>6000</v>
      </c>
      <c r="AL20" s="67"/>
      <c r="AM20" s="66">
        <f>AK20-AL20</f>
        <v>6000</v>
      </c>
    </row>
    <row r="21" spans="1:40" s="76" customFormat="1" ht="100.05" customHeight="1" x14ac:dyDescent="0.3">
      <c r="A21" s="62">
        <v>250057</v>
      </c>
      <c r="B21" s="62">
        <v>304</v>
      </c>
      <c r="C21" s="64">
        <v>0.7</v>
      </c>
      <c r="D21" s="62">
        <v>543</v>
      </c>
      <c r="E21" s="91" t="s">
        <v>237</v>
      </c>
      <c r="F21" s="62" t="s">
        <v>121</v>
      </c>
      <c r="G21" s="62">
        <v>304</v>
      </c>
      <c r="H21" s="64">
        <v>0.6</v>
      </c>
      <c r="I21" s="62" t="s">
        <v>24</v>
      </c>
      <c r="J21" s="62" t="s">
        <v>24</v>
      </c>
      <c r="K21" s="62" t="s">
        <v>212</v>
      </c>
      <c r="L21" s="66">
        <v>410</v>
      </c>
      <c r="M21" s="67"/>
      <c r="N21" s="66">
        <f t="shared" si="2"/>
        <v>410</v>
      </c>
      <c r="P21" s="62"/>
      <c r="Q21" s="62"/>
      <c r="R21" s="64"/>
      <c r="S21" s="62"/>
      <c r="T21" s="65"/>
      <c r="U21" s="62"/>
      <c r="V21" s="62"/>
      <c r="W21" s="64"/>
      <c r="X21" s="62"/>
      <c r="Y21" s="62"/>
      <c r="Z21" s="62"/>
      <c r="AA21" s="66"/>
      <c r="AB21" s="67"/>
      <c r="AC21" s="66"/>
      <c r="AE21" s="62"/>
      <c r="AF21" s="62"/>
      <c r="AG21" s="64"/>
      <c r="AH21" s="67"/>
      <c r="AI21" s="65"/>
      <c r="AJ21" s="78"/>
      <c r="AK21" s="66"/>
      <c r="AL21" s="67"/>
      <c r="AM21" s="66">
        <f>AK21-AL21</f>
        <v>0</v>
      </c>
    </row>
    <row r="22" spans="1:40" s="76" customFormat="1" ht="100.05" customHeight="1" x14ac:dyDescent="0.3">
      <c r="A22" s="62"/>
      <c r="B22" s="62"/>
      <c r="C22" s="64"/>
      <c r="D22" s="62"/>
      <c r="E22" s="65"/>
      <c r="F22" s="62"/>
      <c r="G22" s="62"/>
      <c r="H22" s="64"/>
      <c r="I22" s="62"/>
      <c r="J22" s="62"/>
      <c r="K22" s="62"/>
      <c r="L22" s="62"/>
      <c r="M22" s="67"/>
      <c r="N22" s="66">
        <f t="shared" si="2"/>
        <v>0</v>
      </c>
      <c r="P22" s="62"/>
      <c r="Q22" s="62"/>
      <c r="R22" s="64"/>
      <c r="S22" s="62"/>
      <c r="T22" s="65"/>
      <c r="U22" s="62"/>
      <c r="V22" s="62"/>
      <c r="W22" s="64"/>
      <c r="X22" s="62"/>
      <c r="Y22" s="62"/>
      <c r="Z22" s="62"/>
      <c r="AA22" s="62"/>
      <c r="AB22" s="67"/>
      <c r="AC22" s="66">
        <f t="shared" si="1"/>
        <v>0</v>
      </c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</row>
    <row r="23" spans="1:40" s="76" customFormat="1" ht="100.05" customHeight="1" x14ac:dyDescent="0.3">
      <c r="A23" s="68"/>
      <c r="B23" s="68"/>
      <c r="C23" s="69"/>
      <c r="D23" s="68"/>
      <c r="E23" s="70"/>
      <c r="F23" s="68"/>
      <c r="G23" s="68"/>
      <c r="H23" s="69"/>
      <c r="I23" s="68"/>
      <c r="J23" s="68"/>
      <c r="K23" s="68"/>
      <c r="L23" s="66">
        <f>SUM(L4:L22)</f>
        <v>13190</v>
      </c>
      <c r="M23" s="71">
        <f>SUM(M4:M22)</f>
        <v>2595</v>
      </c>
      <c r="N23" s="66">
        <f>SUM(N4:N22)</f>
        <v>10595</v>
      </c>
      <c r="P23" s="68"/>
      <c r="Q23" s="68"/>
      <c r="R23" s="69"/>
      <c r="S23" s="68"/>
      <c r="T23" s="70"/>
      <c r="U23" s="68"/>
      <c r="V23" s="68"/>
      <c r="W23" s="69"/>
      <c r="X23" s="68"/>
      <c r="Y23" s="68"/>
      <c r="Z23" s="68"/>
      <c r="AA23" s="66">
        <f>AA4+AA5+AA6+AA7+AA22</f>
        <v>3935</v>
      </c>
      <c r="AB23" s="71">
        <f>SUM(AB4:AB22)</f>
        <v>2100</v>
      </c>
      <c r="AC23" s="66">
        <f>SUM(AC4:AC22)</f>
        <v>13850</v>
      </c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</row>
    <row r="24" spans="1:40" s="75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6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6"/>
    </row>
    <row r="25" spans="1:40" s="75" customFormat="1" ht="100.05" customHeight="1" x14ac:dyDescent="0.3">
      <c r="A25" s="109" t="s">
        <v>101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1"/>
      <c r="P25" s="109" t="s">
        <v>99</v>
      </c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1"/>
      <c r="AD25" s="76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6"/>
    </row>
    <row r="26" spans="1:40" s="75" customFormat="1" ht="145.80000000000001" x14ac:dyDescent="0.3">
      <c r="A26" s="81" t="s">
        <v>0</v>
      </c>
      <c r="B26" s="81" t="s">
        <v>9</v>
      </c>
      <c r="C26" s="82" t="s">
        <v>11</v>
      </c>
      <c r="D26" s="81" t="s">
        <v>2</v>
      </c>
      <c r="E26" s="81" t="s">
        <v>1</v>
      </c>
      <c r="F26" s="81" t="s">
        <v>14</v>
      </c>
      <c r="G26" s="81" t="s">
        <v>8</v>
      </c>
      <c r="H26" s="82" t="s">
        <v>10</v>
      </c>
      <c r="I26" s="82" t="s">
        <v>12</v>
      </c>
      <c r="J26" s="82" t="s">
        <v>13</v>
      </c>
      <c r="K26" s="81" t="s">
        <v>3</v>
      </c>
      <c r="L26" s="81" t="s">
        <v>7</v>
      </c>
      <c r="M26" s="81" t="s">
        <v>5</v>
      </c>
      <c r="N26" s="81" t="s">
        <v>6</v>
      </c>
      <c r="P26" s="81" t="s">
        <v>0</v>
      </c>
      <c r="Q26" s="81" t="s">
        <v>9</v>
      </c>
      <c r="R26" s="82" t="s">
        <v>11</v>
      </c>
      <c r="S26" s="81" t="s">
        <v>2</v>
      </c>
      <c r="T26" s="81" t="s">
        <v>1</v>
      </c>
      <c r="U26" s="81" t="s">
        <v>14</v>
      </c>
      <c r="V26" s="81" t="s">
        <v>8</v>
      </c>
      <c r="W26" s="82" t="s">
        <v>10</v>
      </c>
      <c r="X26" s="82" t="s">
        <v>12</v>
      </c>
      <c r="Y26" s="82" t="s">
        <v>13</v>
      </c>
      <c r="Z26" s="81" t="s">
        <v>3</v>
      </c>
      <c r="AA26" s="81" t="s">
        <v>7</v>
      </c>
      <c r="AB26" s="81" t="s">
        <v>5</v>
      </c>
      <c r="AC26" s="81" t="s">
        <v>6</v>
      </c>
      <c r="AD26" s="76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6"/>
    </row>
    <row r="27" spans="1:40" s="76" customFormat="1" ht="100.05" customHeight="1" x14ac:dyDescent="0.3">
      <c r="A27" s="62">
        <v>180925</v>
      </c>
      <c r="B27" s="62">
        <v>304</v>
      </c>
      <c r="C27" s="64">
        <v>0.7</v>
      </c>
      <c r="D27" s="62">
        <v>467</v>
      </c>
      <c r="E27" s="65" t="s">
        <v>219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2100</v>
      </c>
      <c r="M27" s="67">
        <f>450+1250</f>
        <v>1700</v>
      </c>
      <c r="N27" s="66">
        <f t="shared" ref="N27" si="3">L27-M27</f>
        <v>400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ref="AC27:AC44" si="4">AA27-AB27</f>
        <v>0</v>
      </c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</row>
    <row r="28" spans="1:40" s="76" customFormat="1" ht="100.05" customHeight="1" x14ac:dyDescent="0.3">
      <c r="A28" s="62">
        <v>180925</v>
      </c>
      <c r="B28" s="62">
        <v>304</v>
      </c>
      <c r="C28" s="64">
        <v>0.7</v>
      </c>
      <c r="D28" s="62">
        <v>388</v>
      </c>
      <c r="E28" s="65" t="s">
        <v>220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2100</v>
      </c>
      <c r="M28" s="67"/>
      <c r="N28" s="66">
        <f>L28-M28</f>
        <v>2100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250077</v>
      </c>
      <c r="B29" s="62">
        <v>430</v>
      </c>
      <c r="C29" s="64">
        <v>0.5</v>
      </c>
      <c r="D29" s="62">
        <v>345</v>
      </c>
      <c r="E29" s="65" t="s">
        <v>214</v>
      </c>
      <c r="F29" s="62" t="s">
        <v>24</v>
      </c>
      <c r="G29" s="62" t="s">
        <v>24</v>
      </c>
      <c r="H29" s="64" t="s">
        <v>24</v>
      </c>
      <c r="I29" s="62" t="s">
        <v>24</v>
      </c>
      <c r="J29" s="62" t="s">
        <v>24</v>
      </c>
      <c r="K29" s="62" t="s">
        <v>86</v>
      </c>
      <c r="L29" s="66">
        <v>1400</v>
      </c>
      <c r="M29" s="67">
        <v>1430</v>
      </c>
      <c r="N29" s="90">
        <f t="shared" ref="N29:N47" si="5">L29-M29</f>
        <v>-30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250052</v>
      </c>
      <c r="B30" s="62">
        <v>304</v>
      </c>
      <c r="C30" s="64">
        <v>0.7</v>
      </c>
      <c r="D30" s="62">
        <v>323</v>
      </c>
      <c r="E30" s="91" t="s">
        <v>229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800</v>
      </c>
      <c r="M30" s="67"/>
      <c r="N30" s="66">
        <f t="shared" si="5"/>
        <v>800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250055</v>
      </c>
      <c r="B31" s="62">
        <v>304</v>
      </c>
      <c r="C31" s="64">
        <v>0.7</v>
      </c>
      <c r="D31" s="62">
        <v>323</v>
      </c>
      <c r="E31" s="91" t="s">
        <v>229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79</v>
      </c>
      <c r="L31" s="66">
        <v>830</v>
      </c>
      <c r="M31" s="67"/>
      <c r="N31" s="66">
        <f t="shared" si="5"/>
        <v>830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250057</v>
      </c>
      <c r="B32" s="62">
        <v>304</v>
      </c>
      <c r="C32" s="64">
        <v>0.7</v>
      </c>
      <c r="D32" s="62">
        <v>323</v>
      </c>
      <c r="E32" s="91" t="s">
        <v>229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79</v>
      </c>
      <c r="L32" s="66">
        <v>410</v>
      </c>
      <c r="M32" s="67"/>
      <c r="N32" s="66">
        <f t="shared" si="5"/>
        <v>410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250061</v>
      </c>
      <c r="B33" s="62">
        <v>304</v>
      </c>
      <c r="C33" s="64">
        <v>0.7</v>
      </c>
      <c r="D33" s="62">
        <v>323</v>
      </c>
      <c r="E33" s="91" t="s">
        <v>229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540</v>
      </c>
      <c r="M33" s="67"/>
      <c r="N33" s="66">
        <f t="shared" si="5"/>
        <v>540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>
        <v>250055</v>
      </c>
      <c r="B34" s="62">
        <v>304</v>
      </c>
      <c r="C34" s="64">
        <v>0.7</v>
      </c>
      <c r="D34" s="62">
        <v>505</v>
      </c>
      <c r="E34" s="91" t="s">
        <v>231</v>
      </c>
      <c r="F34" s="62" t="s">
        <v>23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79</v>
      </c>
      <c r="L34" s="66">
        <v>830</v>
      </c>
      <c r="M34" s="67"/>
      <c r="N34" s="66">
        <f t="shared" si="5"/>
        <v>830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62">
        <v>250057</v>
      </c>
      <c r="B35" s="62">
        <v>304</v>
      </c>
      <c r="C35" s="64">
        <v>0.7</v>
      </c>
      <c r="D35" s="62">
        <v>505</v>
      </c>
      <c r="E35" s="91" t="s">
        <v>231</v>
      </c>
      <c r="F35" s="62" t="s">
        <v>23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79</v>
      </c>
      <c r="L35" s="66">
        <v>410</v>
      </c>
      <c r="M35" s="67"/>
      <c r="N35" s="66">
        <f t="shared" si="5"/>
        <v>410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62">
        <v>250061</v>
      </c>
      <c r="B36" s="62">
        <v>304</v>
      </c>
      <c r="C36" s="64">
        <v>0.7</v>
      </c>
      <c r="D36" s="62">
        <v>505</v>
      </c>
      <c r="E36" s="91" t="s">
        <v>231</v>
      </c>
      <c r="F36" s="62" t="s">
        <v>23</v>
      </c>
      <c r="G36" s="62">
        <v>304</v>
      </c>
      <c r="H36" s="64">
        <v>0.6</v>
      </c>
      <c r="I36" s="62" t="s">
        <v>24</v>
      </c>
      <c r="J36" s="62" t="s">
        <v>24</v>
      </c>
      <c r="K36" s="62" t="s">
        <v>79</v>
      </c>
      <c r="L36" s="66">
        <v>540</v>
      </c>
      <c r="M36" s="67"/>
      <c r="N36" s="66">
        <f t="shared" si="5"/>
        <v>540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4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2">
        <v>250057</v>
      </c>
      <c r="B37" s="62">
        <v>304</v>
      </c>
      <c r="C37" s="64">
        <v>0.7</v>
      </c>
      <c r="D37" s="62">
        <v>397</v>
      </c>
      <c r="E37" s="91" t="s">
        <v>232</v>
      </c>
      <c r="F37" s="62" t="s">
        <v>23</v>
      </c>
      <c r="G37" s="62">
        <v>304</v>
      </c>
      <c r="H37" s="64">
        <v>0.6</v>
      </c>
      <c r="I37" s="62" t="s">
        <v>24</v>
      </c>
      <c r="J37" s="62" t="s">
        <v>24</v>
      </c>
      <c r="K37" s="62" t="s">
        <v>79</v>
      </c>
      <c r="L37" s="66">
        <v>410</v>
      </c>
      <c r="M37" s="67"/>
      <c r="N37" s="66">
        <f t="shared" si="5"/>
        <v>410</v>
      </c>
      <c r="P37" s="62"/>
      <c r="Q37" s="62"/>
      <c r="R37" s="64"/>
      <c r="S37" s="62"/>
      <c r="T37" s="65"/>
      <c r="U37" s="62"/>
      <c r="V37" s="62"/>
      <c r="W37" s="64"/>
      <c r="X37" s="62"/>
      <c r="Y37" s="62"/>
      <c r="Z37" s="62"/>
      <c r="AA37" s="66"/>
      <c r="AB37" s="67"/>
      <c r="AC37" s="66">
        <f t="shared" si="4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62">
        <v>250052</v>
      </c>
      <c r="B38" s="62">
        <v>304</v>
      </c>
      <c r="C38" s="64">
        <v>0.7</v>
      </c>
      <c r="D38" s="62">
        <v>385</v>
      </c>
      <c r="E38" s="91" t="s">
        <v>233</v>
      </c>
      <c r="F38" s="62" t="s">
        <v>23</v>
      </c>
      <c r="G38" s="62">
        <v>304</v>
      </c>
      <c r="H38" s="64">
        <v>0.6</v>
      </c>
      <c r="I38" s="62" t="s">
        <v>24</v>
      </c>
      <c r="J38" s="62" t="s">
        <v>24</v>
      </c>
      <c r="K38" s="62" t="s">
        <v>79</v>
      </c>
      <c r="L38" s="66">
        <v>800</v>
      </c>
      <c r="M38" s="67"/>
      <c r="N38" s="66">
        <f t="shared" si="5"/>
        <v>800</v>
      </c>
      <c r="P38" s="62"/>
      <c r="Q38" s="62"/>
      <c r="R38" s="64"/>
      <c r="S38" s="62"/>
      <c r="T38" s="65"/>
      <c r="U38" s="62"/>
      <c r="V38" s="62"/>
      <c r="W38" s="64"/>
      <c r="X38" s="62"/>
      <c r="Y38" s="62"/>
      <c r="Z38" s="62"/>
      <c r="AA38" s="66"/>
      <c r="AB38" s="67"/>
      <c r="AC38" s="66">
        <f t="shared" si="4"/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>
        <f t="shared" si="0"/>
        <v>0</v>
      </c>
      <c r="AN38" s="75"/>
    </row>
    <row r="39" spans="1:40" s="76" customFormat="1" ht="100.05" customHeight="1" x14ac:dyDescent="0.3">
      <c r="A39" s="62">
        <v>250055</v>
      </c>
      <c r="B39" s="62">
        <v>304</v>
      </c>
      <c r="C39" s="64">
        <v>0.7</v>
      </c>
      <c r="D39" s="62">
        <v>385</v>
      </c>
      <c r="E39" s="91" t="s">
        <v>233</v>
      </c>
      <c r="F39" s="62" t="s">
        <v>23</v>
      </c>
      <c r="G39" s="62">
        <v>304</v>
      </c>
      <c r="H39" s="64">
        <v>0.6</v>
      </c>
      <c r="I39" s="62" t="s">
        <v>24</v>
      </c>
      <c r="J39" s="62" t="s">
        <v>24</v>
      </c>
      <c r="K39" s="62" t="s">
        <v>79</v>
      </c>
      <c r="L39" s="66">
        <v>830</v>
      </c>
      <c r="M39" s="67"/>
      <c r="N39" s="66">
        <f t="shared" si="5"/>
        <v>830</v>
      </c>
      <c r="P39" s="62"/>
      <c r="Q39" s="62"/>
      <c r="R39" s="64"/>
      <c r="S39" s="62"/>
      <c r="T39" s="65"/>
      <c r="U39" s="62"/>
      <c r="V39" s="62"/>
      <c r="W39" s="64"/>
      <c r="X39" s="62"/>
      <c r="Y39" s="62"/>
      <c r="Z39" s="62"/>
      <c r="AA39" s="66"/>
      <c r="AB39" s="67"/>
      <c r="AC39" s="66">
        <f t="shared" si="4"/>
        <v>0</v>
      </c>
      <c r="AD39" s="75"/>
      <c r="AE39" s="62"/>
      <c r="AF39" s="62"/>
      <c r="AG39" s="64"/>
      <c r="AH39" s="67"/>
      <c r="AI39" s="65"/>
      <c r="AJ39" s="78"/>
      <c r="AK39" s="66"/>
      <c r="AL39" s="67"/>
      <c r="AM39" s="66">
        <f t="shared" si="0"/>
        <v>0</v>
      </c>
      <c r="AN39" s="75"/>
    </row>
    <row r="40" spans="1:40" s="76" customFormat="1" ht="100.05" customHeight="1" x14ac:dyDescent="0.3">
      <c r="A40" s="62">
        <v>250052</v>
      </c>
      <c r="B40" s="62">
        <v>304</v>
      </c>
      <c r="C40" s="64">
        <v>0.7</v>
      </c>
      <c r="D40" s="62">
        <v>355</v>
      </c>
      <c r="E40" s="91" t="s">
        <v>234</v>
      </c>
      <c r="F40" s="62" t="s">
        <v>23</v>
      </c>
      <c r="G40" s="62">
        <v>304</v>
      </c>
      <c r="H40" s="64">
        <v>0.6</v>
      </c>
      <c r="I40" s="62" t="s">
        <v>24</v>
      </c>
      <c r="J40" s="62" t="s">
        <v>24</v>
      </c>
      <c r="K40" s="62" t="s">
        <v>79</v>
      </c>
      <c r="L40" s="66">
        <v>800</v>
      </c>
      <c r="M40" s="67">
        <v>50</v>
      </c>
      <c r="N40" s="66">
        <f t="shared" si="5"/>
        <v>750</v>
      </c>
      <c r="P40" s="62"/>
      <c r="Q40" s="62"/>
      <c r="R40" s="64"/>
      <c r="S40" s="62"/>
      <c r="T40" s="65"/>
      <c r="U40" s="62"/>
      <c r="V40" s="62"/>
      <c r="W40" s="64"/>
      <c r="X40" s="62"/>
      <c r="Y40" s="62"/>
      <c r="Z40" s="62"/>
      <c r="AA40" s="66"/>
      <c r="AB40" s="67"/>
      <c r="AC40" s="66">
        <f t="shared" si="4"/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100.05" customHeight="1" x14ac:dyDescent="0.3">
      <c r="A41" s="62">
        <v>250055</v>
      </c>
      <c r="B41" s="62">
        <v>304</v>
      </c>
      <c r="C41" s="64">
        <v>0.7</v>
      </c>
      <c r="D41" s="62">
        <v>355</v>
      </c>
      <c r="E41" s="91" t="s">
        <v>234</v>
      </c>
      <c r="F41" s="62" t="s">
        <v>23</v>
      </c>
      <c r="G41" s="62">
        <v>304</v>
      </c>
      <c r="H41" s="64">
        <v>0.6</v>
      </c>
      <c r="I41" s="62" t="s">
        <v>24</v>
      </c>
      <c r="J41" s="62" t="s">
        <v>24</v>
      </c>
      <c r="K41" s="62" t="s">
        <v>79</v>
      </c>
      <c r="L41" s="66">
        <v>830</v>
      </c>
      <c r="M41" s="67"/>
      <c r="N41" s="66">
        <f t="shared" si="5"/>
        <v>830</v>
      </c>
      <c r="P41" s="62"/>
      <c r="Q41" s="62"/>
      <c r="R41" s="64"/>
      <c r="S41" s="62"/>
      <c r="T41" s="65"/>
      <c r="U41" s="62"/>
      <c r="V41" s="62"/>
      <c r="W41" s="64"/>
      <c r="X41" s="62"/>
      <c r="Y41" s="62"/>
      <c r="Z41" s="62"/>
      <c r="AA41" s="66"/>
      <c r="AB41" s="67"/>
      <c r="AC41" s="66">
        <f t="shared" si="4"/>
        <v>0</v>
      </c>
      <c r="AD41" s="75"/>
      <c r="AE41" s="62"/>
      <c r="AF41" s="62"/>
      <c r="AG41" s="64"/>
      <c r="AH41" s="67"/>
      <c r="AI41" s="65"/>
      <c r="AJ41" s="78"/>
      <c r="AK41" s="66"/>
      <c r="AL41" s="67"/>
      <c r="AM41" s="66">
        <f t="shared" si="0"/>
        <v>0</v>
      </c>
      <c r="AN41" s="75"/>
    </row>
    <row r="42" spans="1:40" s="76" customFormat="1" ht="100.05" customHeight="1" x14ac:dyDescent="0.3">
      <c r="A42" s="62">
        <v>250057</v>
      </c>
      <c r="B42" s="62">
        <v>304</v>
      </c>
      <c r="C42" s="64">
        <v>0.7</v>
      </c>
      <c r="D42" s="62">
        <v>355</v>
      </c>
      <c r="E42" s="91" t="s">
        <v>234</v>
      </c>
      <c r="F42" s="62" t="s">
        <v>23</v>
      </c>
      <c r="G42" s="62">
        <v>304</v>
      </c>
      <c r="H42" s="64">
        <v>0.6</v>
      </c>
      <c r="I42" s="62" t="s">
        <v>24</v>
      </c>
      <c r="J42" s="62" t="s">
        <v>24</v>
      </c>
      <c r="K42" s="62" t="s">
        <v>79</v>
      </c>
      <c r="L42" s="66">
        <v>410</v>
      </c>
      <c r="M42" s="67"/>
      <c r="N42" s="66">
        <f t="shared" si="5"/>
        <v>410</v>
      </c>
      <c r="P42" s="62"/>
      <c r="Q42" s="62"/>
      <c r="R42" s="64"/>
      <c r="S42" s="62"/>
      <c r="T42" s="65"/>
      <c r="U42" s="62"/>
      <c r="V42" s="62"/>
      <c r="W42" s="64"/>
      <c r="X42" s="62"/>
      <c r="Y42" s="62"/>
      <c r="Z42" s="62"/>
      <c r="AA42" s="66"/>
      <c r="AB42" s="67"/>
      <c r="AC42" s="66">
        <f t="shared" si="4"/>
        <v>0</v>
      </c>
      <c r="AD42" s="75"/>
      <c r="AE42" s="62"/>
      <c r="AF42" s="62"/>
      <c r="AG42" s="64"/>
      <c r="AH42" s="67"/>
      <c r="AI42" s="65"/>
      <c r="AJ42" s="78"/>
      <c r="AK42" s="66"/>
      <c r="AL42" s="67"/>
      <c r="AM42" s="66">
        <f t="shared" si="0"/>
        <v>0</v>
      </c>
      <c r="AN42" s="75"/>
    </row>
    <row r="43" spans="1:40" s="76" customFormat="1" ht="100.05" customHeight="1" x14ac:dyDescent="0.3">
      <c r="A43" s="62">
        <v>250061</v>
      </c>
      <c r="B43" s="62">
        <v>304</v>
      </c>
      <c r="C43" s="64">
        <v>0.7</v>
      </c>
      <c r="D43" s="62">
        <v>355</v>
      </c>
      <c r="E43" s="91" t="s">
        <v>234</v>
      </c>
      <c r="F43" s="62" t="s">
        <v>23</v>
      </c>
      <c r="G43" s="62">
        <v>304</v>
      </c>
      <c r="H43" s="64">
        <v>0.6</v>
      </c>
      <c r="I43" s="62" t="s">
        <v>24</v>
      </c>
      <c r="J43" s="62" t="s">
        <v>24</v>
      </c>
      <c r="K43" s="62" t="s">
        <v>79</v>
      </c>
      <c r="L43" s="66">
        <v>540</v>
      </c>
      <c r="M43" s="67"/>
      <c r="N43" s="66">
        <f t="shared" si="5"/>
        <v>540</v>
      </c>
      <c r="P43" s="62"/>
      <c r="Q43" s="62"/>
      <c r="R43" s="64"/>
      <c r="S43" s="62"/>
      <c r="T43" s="65"/>
      <c r="U43" s="62"/>
      <c r="V43" s="62"/>
      <c r="W43" s="64"/>
      <c r="X43" s="62"/>
      <c r="Y43" s="62"/>
      <c r="Z43" s="62"/>
      <c r="AA43" s="66"/>
      <c r="AB43" s="67"/>
      <c r="AC43" s="66">
        <f t="shared" si="4"/>
        <v>0</v>
      </c>
      <c r="AD43" s="75"/>
      <c r="AE43" s="62"/>
      <c r="AF43" s="62"/>
      <c r="AG43" s="64"/>
      <c r="AH43" s="67"/>
      <c r="AI43" s="65"/>
      <c r="AJ43" s="78"/>
      <c r="AK43" s="66"/>
      <c r="AL43" s="67"/>
      <c r="AM43" s="66">
        <f t="shared" si="0"/>
        <v>0</v>
      </c>
      <c r="AN43" s="75"/>
    </row>
    <row r="44" spans="1:40" s="76" customFormat="1" ht="100.05" customHeight="1" x14ac:dyDescent="0.3">
      <c r="A44" s="62">
        <v>250057</v>
      </c>
      <c r="B44" s="62">
        <v>304</v>
      </c>
      <c r="C44" s="64">
        <v>0.7</v>
      </c>
      <c r="D44" s="62">
        <v>293</v>
      </c>
      <c r="E44" s="86" t="s">
        <v>235</v>
      </c>
      <c r="F44" s="62" t="s">
        <v>23</v>
      </c>
      <c r="G44" s="62">
        <v>304</v>
      </c>
      <c r="H44" s="64">
        <v>0.6</v>
      </c>
      <c r="I44" s="62" t="s">
        <v>24</v>
      </c>
      <c r="J44" s="62" t="s">
        <v>24</v>
      </c>
      <c r="K44" s="62" t="s">
        <v>79</v>
      </c>
      <c r="L44" s="66">
        <v>410</v>
      </c>
      <c r="M44" s="67"/>
      <c r="N44" s="66">
        <f t="shared" si="5"/>
        <v>410</v>
      </c>
      <c r="P44" s="62"/>
      <c r="Q44" s="62"/>
      <c r="R44" s="64"/>
      <c r="S44" s="62"/>
      <c r="T44" s="65"/>
      <c r="U44" s="62"/>
      <c r="V44" s="62"/>
      <c r="W44" s="64"/>
      <c r="X44" s="62"/>
      <c r="Y44" s="62"/>
      <c r="Z44" s="62"/>
      <c r="AA44" s="66"/>
      <c r="AB44" s="67"/>
      <c r="AC44" s="66">
        <f t="shared" si="4"/>
        <v>0</v>
      </c>
      <c r="AD44" s="75"/>
      <c r="AE44" s="62"/>
      <c r="AF44" s="62"/>
      <c r="AG44" s="64"/>
      <c r="AH44" s="67"/>
      <c r="AI44" s="65"/>
      <c r="AJ44" s="78"/>
      <c r="AK44" s="66"/>
      <c r="AL44" s="67"/>
      <c r="AM44" s="66">
        <f t="shared" si="0"/>
        <v>0</v>
      </c>
      <c r="AN44" s="75"/>
    </row>
    <row r="45" spans="1:40" s="76" customFormat="1" ht="100.05" hidden="1" customHeight="1" x14ac:dyDescent="0.3">
      <c r="A45" s="62"/>
      <c r="B45" s="62"/>
      <c r="C45" s="64"/>
      <c r="D45" s="62"/>
      <c r="E45" s="65"/>
      <c r="F45" s="62"/>
      <c r="G45" s="62"/>
      <c r="H45" s="64"/>
      <c r="I45" s="62"/>
      <c r="J45" s="62"/>
      <c r="K45" s="62"/>
      <c r="L45" s="66"/>
      <c r="M45" s="67"/>
      <c r="N45" s="66"/>
      <c r="P45" s="62"/>
      <c r="Q45" s="62"/>
      <c r="R45" s="64"/>
      <c r="S45" s="62"/>
      <c r="T45" s="65"/>
      <c r="U45" s="62"/>
      <c r="V45" s="62"/>
      <c r="W45" s="64"/>
      <c r="X45" s="62"/>
      <c r="Y45" s="62"/>
      <c r="Z45" s="62"/>
      <c r="AA45" s="66"/>
      <c r="AB45" s="67"/>
      <c r="AC45" s="66"/>
      <c r="AD45" s="75"/>
      <c r="AE45" s="62"/>
      <c r="AF45" s="62"/>
      <c r="AG45" s="64"/>
      <c r="AH45" s="67"/>
      <c r="AI45" s="65"/>
      <c r="AJ45" s="78"/>
      <c r="AK45" s="66"/>
      <c r="AL45" s="67"/>
      <c r="AM45" s="66"/>
      <c r="AN45" s="75"/>
    </row>
    <row r="46" spans="1:40" s="76" customFormat="1" ht="100.05" hidden="1" customHeight="1" x14ac:dyDescent="0.3">
      <c r="A46" s="62"/>
      <c r="B46" s="62"/>
      <c r="C46" s="64"/>
      <c r="D46" s="62"/>
      <c r="E46" s="65"/>
      <c r="F46" s="62"/>
      <c r="G46" s="62"/>
      <c r="H46" s="64"/>
      <c r="I46" s="62"/>
      <c r="J46" s="62"/>
      <c r="K46" s="62"/>
      <c r="L46" s="66"/>
      <c r="M46" s="67"/>
      <c r="N46" s="66"/>
      <c r="P46" s="62"/>
      <c r="Q46" s="62"/>
      <c r="R46" s="64"/>
      <c r="S46" s="62"/>
      <c r="T46" s="65"/>
      <c r="U46" s="62"/>
      <c r="V46" s="62"/>
      <c r="W46" s="64"/>
      <c r="X46" s="62"/>
      <c r="Y46" s="62"/>
      <c r="Z46" s="62"/>
      <c r="AA46" s="66"/>
      <c r="AB46" s="67"/>
      <c r="AC46" s="66"/>
      <c r="AD46" s="75"/>
      <c r="AE46" s="62"/>
      <c r="AF46" s="62"/>
      <c r="AG46" s="64"/>
      <c r="AH46" s="67"/>
      <c r="AI46" s="65"/>
      <c r="AJ46" s="78"/>
      <c r="AK46" s="66"/>
      <c r="AL46" s="67"/>
      <c r="AM46" s="66"/>
      <c r="AN46" s="75"/>
    </row>
    <row r="47" spans="1:40" s="76" customFormat="1" ht="100.05" customHeight="1" x14ac:dyDescent="0.3">
      <c r="A47" s="62"/>
      <c r="B47" s="62"/>
      <c r="C47" s="64"/>
      <c r="D47" s="62"/>
      <c r="E47" s="65"/>
      <c r="F47" s="62"/>
      <c r="G47" s="62"/>
      <c r="H47" s="64"/>
      <c r="I47" s="62"/>
      <c r="J47" s="62"/>
      <c r="K47" s="62"/>
      <c r="L47" s="62"/>
      <c r="M47" s="67"/>
      <c r="N47" s="66">
        <f t="shared" si="5"/>
        <v>0</v>
      </c>
      <c r="P47" s="68"/>
      <c r="Q47" s="68"/>
      <c r="R47" s="69"/>
      <c r="S47" s="68"/>
      <c r="T47" s="70"/>
      <c r="U47" s="68"/>
      <c r="V47" s="68"/>
      <c r="W47" s="69"/>
      <c r="X47" s="68"/>
      <c r="Y47" s="68"/>
      <c r="Z47" s="68"/>
      <c r="AA47" s="66">
        <f>SUM(AA27:AA30)</f>
        <v>0</v>
      </c>
      <c r="AB47" s="71">
        <f>SUM(AB27:AB30)</f>
        <v>0</v>
      </c>
      <c r="AC47" s="66">
        <f>SUM(AC27:AC30)</f>
        <v>0</v>
      </c>
      <c r="AD47" s="75"/>
      <c r="AE47" s="62"/>
      <c r="AF47" s="62"/>
      <c r="AG47" s="64"/>
      <c r="AH47" s="67"/>
      <c r="AI47" s="65"/>
      <c r="AJ47" s="78"/>
      <c r="AK47" s="66"/>
      <c r="AL47" s="67"/>
      <c r="AM47" s="66">
        <f t="shared" si="0"/>
        <v>0</v>
      </c>
      <c r="AN47" s="75"/>
    </row>
    <row r="48" spans="1:40" s="76" customFormat="1" ht="100.05" customHeight="1" x14ac:dyDescent="0.3">
      <c r="A48" s="68"/>
      <c r="B48" s="68"/>
      <c r="C48" s="69"/>
      <c r="D48" s="68"/>
      <c r="E48" s="70"/>
      <c r="F48" s="68"/>
      <c r="G48" s="68"/>
      <c r="H48" s="69"/>
      <c r="I48" s="68"/>
      <c r="J48" s="68"/>
      <c r="K48" s="68"/>
      <c r="L48" s="66">
        <f>SUM(L27:L47)</f>
        <v>14990</v>
      </c>
      <c r="M48" s="71">
        <f>SUM(M27:M47)</f>
        <v>3180</v>
      </c>
      <c r="N48" s="66">
        <f>SUM(N27:N47)</f>
        <v>11810</v>
      </c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68"/>
      <c r="AF48" s="68"/>
      <c r="AG48" s="69"/>
      <c r="AH48" s="68"/>
      <c r="AI48" s="70"/>
      <c r="AJ48" s="80"/>
      <c r="AK48" s="66">
        <f>SUM(AK4:AK47)</f>
        <v>36800</v>
      </c>
      <c r="AL48" s="71">
        <f>SUM(AL4:AL47)</f>
        <v>4500</v>
      </c>
      <c r="AM48" s="66">
        <f>SUM(AM4:AM47)</f>
        <v>32300</v>
      </c>
      <c r="AN48" s="75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5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E50" s="79"/>
      <c r="AF50" s="79"/>
      <c r="AG50" s="79"/>
      <c r="AH50" s="79"/>
      <c r="AI50" s="79"/>
      <c r="AJ50" s="79"/>
      <c r="AK50" s="79"/>
      <c r="AL50" s="79"/>
      <c r="AM50" s="79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76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5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5"/>
      <c r="AE56" s="79"/>
      <c r="AF56" s="79"/>
      <c r="AG56" s="79"/>
      <c r="AH56" s="79"/>
      <c r="AI56" s="79"/>
      <c r="AJ56" s="79"/>
      <c r="AK56" s="79"/>
      <c r="AL56" s="79"/>
      <c r="AM56" s="79"/>
      <c r="AN56" s="75"/>
    </row>
    <row r="57" spans="1:40" s="76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5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5"/>
      <c r="AE57" s="79"/>
      <c r="AF57" s="79"/>
      <c r="AG57" s="79"/>
      <c r="AH57" s="79"/>
      <c r="AI57" s="79"/>
      <c r="AJ57" s="79"/>
      <c r="AK57" s="79"/>
      <c r="AL57" s="79"/>
      <c r="AM57" s="79"/>
      <c r="AN57" s="75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76" customFormat="1" ht="100.0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5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5"/>
      <c r="AE60" s="79"/>
      <c r="AF60" s="79"/>
      <c r="AG60" s="79"/>
      <c r="AH60" s="79"/>
      <c r="AI60" s="79"/>
      <c r="AJ60" s="79"/>
      <c r="AK60" s="79"/>
      <c r="AL60" s="79"/>
      <c r="AM60" s="79"/>
      <c r="AN60" s="75"/>
    </row>
    <row r="61" spans="1:40" s="76" customFormat="1" ht="100.05" customHeight="1" x14ac:dyDescent="0.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5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5"/>
      <c r="AE61" s="79"/>
      <c r="AF61" s="79"/>
      <c r="AG61" s="79"/>
      <c r="AH61" s="79"/>
      <c r="AI61" s="79"/>
      <c r="AJ61" s="79"/>
      <c r="AK61" s="79"/>
      <c r="AL61" s="79"/>
      <c r="AM61" s="79"/>
      <c r="AN61" s="75"/>
    </row>
    <row r="62" spans="1:40" s="75" customFormat="1" ht="100.05" customHeight="1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E62" s="79"/>
      <c r="AF62" s="79"/>
      <c r="AG62" s="79"/>
      <c r="AH62" s="79"/>
      <c r="AI62" s="79"/>
      <c r="AJ62" s="79"/>
      <c r="AK62" s="79"/>
      <c r="AL62" s="79"/>
      <c r="AM62" s="79"/>
    </row>
    <row r="63" spans="1:40" s="75" customFormat="1" ht="100.05" customHeight="1" x14ac:dyDescent="0.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E63" s="79"/>
      <c r="AF63" s="79"/>
      <c r="AG63" s="79"/>
      <c r="AH63" s="79"/>
      <c r="AI63" s="79"/>
      <c r="AJ63" s="79"/>
      <c r="AK63" s="79"/>
      <c r="AL63" s="79"/>
      <c r="AM63" s="79"/>
    </row>
    <row r="64" spans="1:40" s="75" customFormat="1" ht="100.05" customHeight="1" x14ac:dyDescent="0.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1:40" s="76" customFormat="1" ht="100.05" customHeight="1" x14ac:dyDescent="0.3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5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5"/>
      <c r="AE65" s="79"/>
      <c r="AF65" s="79"/>
      <c r="AG65" s="79"/>
      <c r="AH65" s="79"/>
      <c r="AI65" s="79"/>
      <c r="AJ65" s="79"/>
      <c r="AK65" s="79"/>
      <c r="AL65" s="79"/>
      <c r="AM65" s="79"/>
      <c r="AN65" s="75"/>
    </row>
    <row r="66" spans="1:40" s="76" customFormat="1" ht="100.05" customHeight="1" x14ac:dyDescent="0.3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5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5"/>
      <c r="AE66" s="79"/>
      <c r="AF66" s="79"/>
      <c r="AG66" s="79"/>
      <c r="AH66" s="79"/>
      <c r="AI66" s="79"/>
      <c r="AJ66" s="79"/>
      <c r="AK66" s="79"/>
      <c r="AL66" s="79"/>
      <c r="AM66" s="79"/>
      <c r="AN66" s="75"/>
    </row>
    <row r="67" spans="1:40" s="56" customFormat="1" ht="100.0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2"/>
      <c r="AN67" s="3"/>
    </row>
    <row r="68" spans="1:40" s="56" customFormat="1" ht="100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2"/>
      <c r="AK68" s="2"/>
      <c r="AL68" s="2"/>
      <c r="AM68" s="2"/>
      <c r="AN68" s="3"/>
    </row>
    <row r="69" spans="1:40" s="56" customFormat="1" ht="100.0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"/>
      <c r="AE69" s="2"/>
      <c r="AF69" s="2"/>
      <c r="AG69" s="2"/>
      <c r="AH69" s="2"/>
      <c r="AI69" s="2"/>
      <c r="AJ69" s="2"/>
      <c r="AK69" s="2"/>
      <c r="AL69" s="2"/>
      <c r="AM69" s="2"/>
      <c r="AN69" s="3"/>
    </row>
    <row r="70" spans="1:40" s="56" customFormat="1" ht="100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"/>
      <c r="AE70" s="2"/>
      <c r="AF70" s="2"/>
      <c r="AG70" s="2"/>
      <c r="AH70" s="2"/>
      <c r="AI70" s="2"/>
      <c r="AJ70" s="2"/>
      <c r="AK70" s="2"/>
      <c r="AL70" s="2"/>
      <c r="AM70" s="2"/>
      <c r="AN70" s="3"/>
    </row>
    <row r="71" spans="1:40" s="56" customFormat="1" ht="100.0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"/>
      <c r="AE71" s="2"/>
      <c r="AF71" s="2"/>
      <c r="AG71" s="2"/>
      <c r="AH71" s="2"/>
      <c r="AI71" s="2"/>
      <c r="AJ71" s="2"/>
      <c r="AK71" s="2"/>
      <c r="AL71" s="2"/>
      <c r="AM71" s="2"/>
      <c r="AN71" s="3"/>
    </row>
    <row r="72" spans="1:40" s="56" customFormat="1" ht="100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"/>
      <c r="AE72" s="2"/>
      <c r="AF72" s="2"/>
      <c r="AG72" s="2"/>
      <c r="AH72" s="2"/>
      <c r="AI72" s="2"/>
      <c r="AJ72" s="2"/>
      <c r="AK72" s="2"/>
      <c r="AL72" s="2"/>
      <c r="AM72" s="2"/>
      <c r="AN72" s="3"/>
    </row>
    <row r="73" spans="1:40" s="56" customFormat="1" ht="100.0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"/>
      <c r="AE73" s="2"/>
      <c r="AF73" s="2"/>
      <c r="AG73" s="2"/>
      <c r="AH73" s="2"/>
      <c r="AI73" s="2"/>
      <c r="AJ73" s="2"/>
      <c r="AK73" s="2"/>
      <c r="AL73" s="2"/>
      <c r="AM73" s="2"/>
      <c r="AN73" s="3"/>
    </row>
    <row r="74" spans="1:40" s="56" customFormat="1" ht="100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2"/>
      <c r="AK74" s="2"/>
      <c r="AL74" s="2"/>
      <c r="AM74" s="2"/>
      <c r="AN74" s="3"/>
    </row>
  </sheetData>
  <mergeCells count="11">
    <mergeCell ref="A2:N2"/>
    <mergeCell ref="P2:AC2"/>
    <mergeCell ref="AE2:AM2"/>
    <mergeCell ref="A25:N25"/>
    <mergeCell ref="P25:AC25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5" orientation="portrait" horizontalDpi="1200" verticalDpi="1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N74"/>
  <sheetViews>
    <sheetView topLeftCell="U1" zoomScale="25" zoomScaleNormal="25" workbookViewId="0">
      <selection activeCell="AR7" sqref="AR7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45939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45939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160925</v>
      </c>
      <c r="B4" s="62">
        <v>304</v>
      </c>
      <c r="C4" s="64">
        <v>0.7</v>
      </c>
      <c r="D4" s="62">
        <v>362</v>
      </c>
      <c r="E4" s="86" t="s">
        <v>217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86</v>
      </c>
      <c r="L4" s="66">
        <v>1100</v>
      </c>
      <c r="M4" s="67">
        <f>450+655</f>
        <v>1105</v>
      </c>
      <c r="N4" s="66">
        <f>L4-M4</f>
        <v>-5</v>
      </c>
      <c r="P4" s="62">
        <v>290925</v>
      </c>
      <c r="Q4" s="62">
        <v>304</v>
      </c>
      <c r="R4" s="64">
        <v>0.8</v>
      </c>
      <c r="S4" s="62">
        <v>330</v>
      </c>
      <c r="T4" s="65" t="s">
        <v>195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3000</v>
      </c>
      <c r="AB4" s="67">
        <f>1000+1760</f>
        <v>2760</v>
      </c>
      <c r="AC4" s="66">
        <f>AA4-AB4</f>
        <v>240</v>
      </c>
      <c r="AE4" s="62">
        <v>100925</v>
      </c>
      <c r="AF4" s="62">
        <v>304</v>
      </c>
      <c r="AG4" s="64">
        <v>0.9</v>
      </c>
      <c r="AH4" s="67"/>
      <c r="AI4" s="65" t="s">
        <v>157</v>
      </c>
      <c r="AJ4" s="78" t="s">
        <v>119</v>
      </c>
      <c r="AK4" s="66">
        <v>1500</v>
      </c>
      <c r="AL4" s="67">
        <v>1600</v>
      </c>
      <c r="AM4" s="66">
        <f t="shared" ref="AM4:AM47" si="0">AK4-AL4</f>
        <v>-100</v>
      </c>
    </row>
    <row r="5" spans="1:39" s="76" customFormat="1" ht="100.05" customHeight="1" x14ac:dyDescent="0.3">
      <c r="A5" s="62">
        <v>160925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1100</v>
      </c>
      <c r="M5" s="67"/>
      <c r="N5" s="66">
        <f>L5-M5</f>
        <v>1100</v>
      </c>
      <c r="P5" s="62">
        <v>230925</v>
      </c>
      <c r="Q5" s="62">
        <v>430</v>
      </c>
      <c r="R5" s="64">
        <v>0.8</v>
      </c>
      <c r="S5" s="62">
        <v>425</v>
      </c>
      <c r="T5" s="65" t="s">
        <v>238</v>
      </c>
      <c r="U5" s="62" t="s">
        <v>23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 t="shared" ref="AC5:AC22" si="1">AA5-AB5</f>
        <v>6000</v>
      </c>
      <c r="AE5" s="62">
        <v>100925</v>
      </c>
      <c r="AF5" s="62">
        <v>304</v>
      </c>
      <c r="AG5" s="64">
        <v>0.9</v>
      </c>
      <c r="AH5" s="67"/>
      <c r="AI5" s="65" t="s">
        <v>158</v>
      </c>
      <c r="AJ5" s="78" t="s">
        <v>119</v>
      </c>
      <c r="AK5" s="66">
        <v>600</v>
      </c>
      <c r="AL5" s="67">
        <f>500+150</f>
        <v>650</v>
      </c>
      <c r="AM5" s="66">
        <f t="shared" si="0"/>
        <v>-50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510</v>
      </c>
      <c r="E6" s="86" t="s">
        <v>211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>
        <v>230925</v>
      </c>
      <c r="Q6" s="62">
        <v>430</v>
      </c>
      <c r="R6" s="64">
        <v>0.8</v>
      </c>
      <c r="S6" s="62">
        <v>425</v>
      </c>
      <c r="T6" s="65" t="s">
        <v>239</v>
      </c>
      <c r="U6" s="62" t="s">
        <v>24</v>
      </c>
      <c r="V6" s="62" t="s">
        <v>24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6000</v>
      </c>
      <c r="AB6" s="67"/>
      <c r="AC6" s="66">
        <f t="shared" si="1"/>
        <v>6000</v>
      </c>
      <c r="AE6" s="62" t="s">
        <v>126</v>
      </c>
      <c r="AF6" s="62">
        <v>304</v>
      </c>
      <c r="AG6" s="64">
        <v>0.9</v>
      </c>
      <c r="AH6" s="77"/>
      <c r="AI6" s="65" t="s">
        <v>165</v>
      </c>
      <c r="AJ6" s="78" t="s">
        <v>119</v>
      </c>
      <c r="AK6" s="66">
        <v>1200</v>
      </c>
      <c r="AL6" s="67"/>
      <c r="AM6" s="66">
        <f t="shared" si="0"/>
        <v>1200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543</v>
      </c>
      <c r="E7" s="86" t="s">
        <v>224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 t="s">
        <v>126</v>
      </c>
      <c r="AF7" s="62">
        <v>304</v>
      </c>
      <c r="AG7" s="64">
        <v>0.9</v>
      </c>
      <c r="AH7" s="77"/>
      <c r="AI7" s="65" t="s">
        <v>164</v>
      </c>
      <c r="AJ7" s="78" t="s">
        <v>119</v>
      </c>
      <c r="AK7" s="66">
        <v>1500</v>
      </c>
      <c r="AL7" s="67"/>
      <c r="AM7" s="66">
        <f t="shared" si="0"/>
        <v>1500</v>
      </c>
    </row>
    <row r="8" spans="1:39" s="76" customFormat="1" ht="100.05" customHeight="1" x14ac:dyDescent="0.3">
      <c r="A8" s="62">
        <v>250042</v>
      </c>
      <c r="B8" s="62">
        <v>304</v>
      </c>
      <c r="C8" s="64">
        <v>0.9</v>
      </c>
      <c r="D8" s="62">
        <v>560</v>
      </c>
      <c r="E8" s="86" t="s">
        <v>225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223</v>
      </c>
      <c r="L8" s="66">
        <v>750</v>
      </c>
      <c r="M8" s="67"/>
      <c r="N8" s="66">
        <f t="shared" ref="N8:N22" si="2">L8-M8</f>
        <v>750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 t="s">
        <v>126</v>
      </c>
      <c r="AF8" s="62">
        <v>304</v>
      </c>
      <c r="AG8" s="64">
        <v>0.9</v>
      </c>
      <c r="AH8" s="77"/>
      <c r="AI8" s="65" t="s">
        <v>162</v>
      </c>
      <c r="AJ8" s="78" t="s">
        <v>119</v>
      </c>
      <c r="AK8" s="66">
        <v>1500</v>
      </c>
      <c r="AL8" s="67">
        <v>200</v>
      </c>
      <c r="AM8" s="66">
        <f t="shared" si="0"/>
        <v>1300</v>
      </c>
    </row>
    <row r="9" spans="1:39" s="76" customFormat="1" ht="100.05" customHeight="1" x14ac:dyDescent="0.3">
      <c r="A9" s="62">
        <v>250052</v>
      </c>
      <c r="B9" s="62">
        <v>304</v>
      </c>
      <c r="C9" s="64">
        <v>0.7</v>
      </c>
      <c r="D9" s="62">
        <v>435</v>
      </c>
      <c r="E9" s="91" t="s">
        <v>226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800</v>
      </c>
      <c r="M9" s="67"/>
      <c r="N9" s="66">
        <f t="shared" si="2"/>
        <v>800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 t="s">
        <v>126</v>
      </c>
      <c r="AF9" s="62">
        <v>304</v>
      </c>
      <c r="AG9" s="64">
        <v>0.9</v>
      </c>
      <c r="AH9" s="67"/>
      <c r="AI9" s="65" t="s">
        <v>163</v>
      </c>
      <c r="AJ9" s="78" t="s">
        <v>119</v>
      </c>
      <c r="AK9" s="66">
        <v>1500</v>
      </c>
      <c r="AL9" s="67"/>
      <c r="AM9" s="66">
        <f t="shared" si="0"/>
        <v>1500</v>
      </c>
    </row>
    <row r="10" spans="1:39" s="76" customFormat="1" ht="100.05" customHeight="1" x14ac:dyDescent="0.3">
      <c r="A10" s="62">
        <v>250055</v>
      </c>
      <c r="B10" s="62">
        <v>304</v>
      </c>
      <c r="C10" s="64">
        <v>0.7</v>
      </c>
      <c r="D10" s="62">
        <v>435</v>
      </c>
      <c r="E10" s="91" t="s">
        <v>226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830</v>
      </c>
      <c r="M10" s="67"/>
      <c r="N10" s="66">
        <f t="shared" si="2"/>
        <v>830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160925</v>
      </c>
      <c r="AF10" s="62">
        <v>304</v>
      </c>
      <c r="AG10" s="64">
        <v>0.9</v>
      </c>
      <c r="AH10" s="67"/>
      <c r="AI10" s="65" t="s">
        <v>167</v>
      </c>
      <c r="AJ10" s="78" t="s">
        <v>119</v>
      </c>
      <c r="AK10" s="66">
        <v>1100</v>
      </c>
      <c r="AL10" s="67"/>
      <c r="AM10" s="66">
        <f t="shared" si="0"/>
        <v>1100</v>
      </c>
    </row>
    <row r="11" spans="1:39" s="76" customFormat="1" ht="100.05" customHeight="1" x14ac:dyDescent="0.3">
      <c r="A11" s="62">
        <v>250057</v>
      </c>
      <c r="B11" s="62">
        <v>304</v>
      </c>
      <c r="C11" s="64">
        <v>0.7</v>
      </c>
      <c r="D11" s="62">
        <v>435</v>
      </c>
      <c r="E11" s="91" t="s">
        <v>226</v>
      </c>
      <c r="F11" s="62" t="s">
        <v>23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79</v>
      </c>
      <c r="L11" s="66">
        <v>410</v>
      </c>
      <c r="M11" s="67"/>
      <c r="N11" s="66">
        <f t="shared" si="2"/>
        <v>410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290925</v>
      </c>
      <c r="AF11" s="62">
        <v>304</v>
      </c>
      <c r="AG11" s="64" t="s">
        <v>24</v>
      </c>
      <c r="AH11" s="67" t="s">
        <v>24</v>
      </c>
      <c r="AI11" s="65" t="s">
        <v>202</v>
      </c>
      <c r="AJ11" s="78" t="s">
        <v>119</v>
      </c>
      <c r="AK11" s="66">
        <v>4000</v>
      </c>
      <c r="AL11" s="67"/>
      <c r="AM11" s="66">
        <f t="shared" si="0"/>
        <v>4000</v>
      </c>
    </row>
    <row r="12" spans="1:39" s="76" customFormat="1" ht="100.05" customHeight="1" x14ac:dyDescent="0.3">
      <c r="A12" s="62">
        <v>250061</v>
      </c>
      <c r="B12" s="62">
        <v>304</v>
      </c>
      <c r="C12" s="64">
        <v>0.7</v>
      </c>
      <c r="D12" s="62">
        <v>435</v>
      </c>
      <c r="E12" s="91" t="s">
        <v>226</v>
      </c>
      <c r="F12" s="62" t="s">
        <v>23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79</v>
      </c>
      <c r="L12" s="66">
        <v>540</v>
      </c>
      <c r="M12" s="67"/>
      <c r="N12" s="66">
        <f t="shared" si="2"/>
        <v>540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290925</v>
      </c>
      <c r="AF12" s="62">
        <v>304</v>
      </c>
      <c r="AG12" s="64" t="s">
        <v>24</v>
      </c>
      <c r="AH12" s="67" t="s">
        <v>24</v>
      </c>
      <c r="AI12" s="65" t="s">
        <v>203</v>
      </c>
      <c r="AJ12" s="78" t="s">
        <v>119</v>
      </c>
      <c r="AK12" s="66">
        <v>3000</v>
      </c>
      <c r="AL12" s="67"/>
      <c r="AM12" s="66">
        <f t="shared" si="0"/>
        <v>3000</v>
      </c>
    </row>
    <row r="13" spans="1:39" s="76" customFormat="1" ht="99.6" customHeight="1" x14ac:dyDescent="0.3">
      <c r="A13" s="62">
        <v>250057</v>
      </c>
      <c r="B13" s="62">
        <v>304</v>
      </c>
      <c r="C13" s="64">
        <v>0.7</v>
      </c>
      <c r="D13" s="62">
        <v>362</v>
      </c>
      <c r="E13" s="91" t="s">
        <v>227</v>
      </c>
      <c r="F13" s="62" t="s">
        <v>23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79</v>
      </c>
      <c r="L13" s="66">
        <v>410</v>
      </c>
      <c r="M13" s="67">
        <v>415</v>
      </c>
      <c r="N13" s="66">
        <f t="shared" si="2"/>
        <v>-5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290925</v>
      </c>
      <c r="AF13" s="62">
        <v>304</v>
      </c>
      <c r="AG13" s="64" t="s">
        <v>24</v>
      </c>
      <c r="AH13" s="67" t="s">
        <v>24</v>
      </c>
      <c r="AI13" s="65" t="s">
        <v>204</v>
      </c>
      <c r="AJ13" s="78" t="s">
        <v>119</v>
      </c>
      <c r="AK13" s="66">
        <v>3000</v>
      </c>
      <c r="AL13" s="67"/>
      <c r="AM13" s="66">
        <f t="shared" si="0"/>
        <v>3000</v>
      </c>
    </row>
    <row r="14" spans="1:39" s="76" customFormat="1" ht="99.6" customHeight="1" x14ac:dyDescent="0.3">
      <c r="A14" s="62">
        <v>250061</v>
      </c>
      <c r="B14" s="62">
        <v>304</v>
      </c>
      <c r="C14" s="64">
        <v>0.7</v>
      </c>
      <c r="D14" s="62">
        <v>362</v>
      </c>
      <c r="E14" s="91" t="s">
        <v>227</v>
      </c>
      <c r="F14" s="62" t="s">
        <v>23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79</v>
      </c>
      <c r="L14" s="66">
        <v>540</v>
      </c>
      <c r="M14" s="67">
        <v>480</v>
      </c>
      <c r="N14" s="66">
        <f t="shared" si="2"/>
        <v>60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250057</v>
      </c>
      <c r="AF14" s="62">
        <v>304</v>
      </c>
      <c r="AG14" s="64" t="s">
        <v>24</v>
      </c>
      <c r="AH14" s="67" t="s">
        <v>24</v>
      </c>
      <c r="AI14" s="65" t="s">
        <v>243</v>
      </c>
      <c r="AJ14" s="78" t="s">
        <v>119</v>
      </c>
      <c r="AK14" s="66">
        <v>410</v>
      </c>
      <c r="AL14" s="67"/>
      <c r="AM14" s="66">
        <f t="shared" si="0"/>
        <v>410</v>
      </c>
    </row>
    <row r="15" spans="1:39" s="76" customFormat="1" ht="99.6" customHeight="1" x14ac:dyDescent="0.3">
      <c r="A15" s="62">
        <v>250057</v>
      </c>
      <c r="B15" s="62">
        <v>304</v>
      </c>
      <c r="C15" s="64">
        <v>0.7</v>
      </c>
      <c r="D15" s="62" t="s">
        <v>24</v>
      </c>
      <c r="E15" s="91" t="s">
        <v>228</v>
      </c>
      <c r="F15" s="62" t="s">
        <v>23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79</v>
      </c>
      <c r="L15" s="66">
        <v>410</v>
      </c>
      <c r="M15" s="67"/>
      <c r="N15" s="66">
        <f t="shared" si="2"/>
        <v>410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250057</v>
      </c>
      <c r="AF15" s="62">
        <v>304</v>
      </c>
      <c r="AG15" s="64" t="s">
        <v>24</v>
      </c>
      <c r="AH15" s="67" t="s">
        <v>24</v>
      </c>
      <c r="AI15" s="65" t="s">
        <v>244</v>
      </c>
      <c r="AJ15" s="78" t="s">
        <v>119</v>
      </c>
      <c r="AK15" s="66">
        <v>410</v>
      </c>
      <c r="AL15" s="67"/>
      <c r="AM15" s="66">
        <f>AK15-AL15</f>
        <v>410</v>
      </c>
    </row>
    <row r="16" spans="1:39" s="76" customFormat="1" ht="100.05" customHeight="1" x14ac:dyDescent="0.3">
      <c r="A16" s="62">
        <v>250061</v>
      </c>
      <c r="B16" s="62">
        <v>304</v>
      </c>
      <c r="C16" s="64">
        <v>0.7</v>
      </c>
      <c r="D16" s="62" t="s">
        <v>24</v>
      </c>
      <c r="E16" s="91" t="s">
        <v>228</v>
      </c>
      <c r="F16" s="62" t="s">
        <v>23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79</v>
      </c>
      <c r="L16" s="66">
        <v>540</v>
      </c>
      <c r="M16" s="67"/>
      <c r="N16" s="66">
        <f t="shared" si="2"/>
        <v>540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250061</v>
      </c>
      <c r="AF16" s="62">
        <v>304</v>
      </c>
      <c r="AG16" s="64" t="s">
        <v>24</v>
      </c>
      <c r="AH16" s="67" t="s">
        <v>24</v>
      </c>
      <c r="AI16" s="65" t="s">
        <v>245</v>
      </c>
      <c r="AJ16" s="78" t="s">
        <v>119</v>
      </c>
      <c r="AK16" s="66">
        <v>540</v>
      </c>
      <c r="AL16" s="67"/>
      <c r="AM16" s="66">
        <f>AK16-AL16</f>
        <v>540</v>
      </c>
    </row>
    <row r="17" spans="1:40" s="76" customFormat="1" ht="100.05" customHeight="1" x14ac:dyDescent="0.3">
      <c r="A17" s="62">
        <v>250052</v>
      </c>
      <c r="B17" s="62">
        <v>304</v>
      </c>
      <c r="C17" s="64">
        <v>0.7</v>
      </c>
      <c r="D17" s="62">
        <v>615</v>
      </c>
      <c r="E17" s="91" t="s">
        <v>230</v>
      </c>
      <c r="F17" s="62" t="s">
        <v>23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800</v>
      </c>
      <c r="M17" s="67"/>
      <c r="N17" s="66">
        <f t="shared" si="2"/>
        <v>800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250061</v>
      </c>
      <c r="AF17" s="62">
        <v>304</v>
      </c>
      <c r="AG17" s="64" t="s">
        <v>24</v>
      </c>
      <c r="AH17" s="67" t="s">
        <v>24</v>
      </c>
      <c r="AI17" s="65" t="s">
        <v>244</v>
      </c>
      <c r="AJ17" s="78" t="s">
        <v>119</v>
      </c>
      <c r="AK17" s="66">
        <v>540</v>
      </c>
      <c r="AL17" s="67"/>
      <c r="AM17" s="66">
        <f t="shared" si="0"/>
        <v>540</v>
      </c>
    </row>
    <row r="18" spans="1:40" s="76" customFormat="1" ht="100.05" customHeight="1" x14ac:dyDescent="0.3">
      <c r="A18" s="62">
        <v>250057</v>
      </c>
      <c r="B18" s="62">
        <v>304</v>
      </c>
      <c r="C18" s="64">
        <v>0.7</v>
      </c>
      <c r="D18" s="62">
        <v>324</v>
      </c>
      <c r="E18" s="91" t="s">
        <v>236</v>
      </c>
      <c r="F18" s="62" t="s">
        <v>23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79</v>
      </c>
      <c r="L18" s="66">
        <v>410</v>
      </c>
      <c r="M18" s="67"/>
      <c r="N18" s="66">
        <f t="shared" si="2"/>
        <v>410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>
        <v>230925</v>
      </c>
      <c r="AF18" s="62">
        <v>430</v>
      </c>
      <c r="AG18" s="64">
        <v>0.8</v>
      </c>
      <c r="AH18" s="67" t="s">
        <v>24</v>
      </c>
      <c r="AI18" s="65" t="s">
        <v>240</v>
      </c>
      <c r="AJ18" s="78" t="s">
        <v>241</v>
      </c>
      <c r="AK18" s="66">
        <v>6000</v>
      </c>
      <c r="AL18" s="67"/>
      <c r="AM18" s="66">
        <f t="shared" si="0"/>
        <v>6000</v>
      </c>
    </row>
    <row r="19" spans="1:40" s="76" customFormat="1" ht="100.05" customHeight="1" x14ac:dyDescent="0.3">
      <c r="A19" s="62">
        <v>250061</v>
      </c>
      <c r="B19" s="62">
        <v>304</v>
      </c>
      <c r="C19" s="64">
        <v>0.7</v>
      </c>
      <c r="D19" s="62">
        <v>324</v>
      </c>
      <c r="E19" s="91" t="s">
        <v>236</v>
      </c>
      <c r="F19" s="62" t="s">
        <v>23</v>
      </c>
      <c r="G19" s="62">
        <v>304</v>
      </c>
      <c r="H19" s="64">
        <v>0.6</v>
      </c>
      <c r="I19" s="62" t="s">
        <v>24</v>
      </c>
      <c r="J19" s="62" t="s">
        <v>24</v>
      </c>
      <c r="K19" s="62" t="s">
        <v>79</v>
      </c>
      <c r="L19" s="66">
        <v>540</v>
      </c>
      <c r="M19" s="67"/>
      <c r="N19" s="66">
        <f t="shared" si="2"/>
        <v>540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/>
      <c r="AE19" s="62">
        <v>230925</v>
      </c>
      <c r="AF19" s="62">
        <v>430</v>
      </c>
      <c r="AG19" s="64">
        <v>0.8</v>
      </c>
      <c r="AH19" s="67" t="s">
        <v>24</v>
      </c>
      <c r="AI19" s="65" t="s">
        <v>242</v>
      </c>
      <c r="AJ19" s="78" t="s">
        <v>241</v>
      </c>
      <c r="AK19" s="66">
        <v>6000</v>
      </c>
      <c r="AL19" s="67"/>
      <c r="AM19" s="66">
        <f t="shared" si="0"/>
        <v>6000</v>
      </c>
    </row>
    <row r="20" spans="1:40" s="76" customFormat="1" ht="100.05" customHeight="1" x14ac:dyDescent="0.3">
      <c r="A20" s="62">
        <v>250057</v>
      </c>
      <c r="B20" s="62">
        <v>304</v>
      </c>
      <c r="C20" s="64">
        <v>0.7</v>
      </c>
      <c r="D20" s="62">
        <v>543</v>
      </c>
      <c r="E20" s="91" t="s">
        <v>237</v>
      </c>
      <c r="F20" s="62" t="s">
        <v>121</v>
      </c>
      <c r="G20" s="62">
        <v>304</v>
      </c>
      <c r="H20" s="64">
        <v>0.6</v>
      </c>
      <c r="I20" s="62" t="s">
        <v>24</v>
      </c>
      <c r="J20" s="62" t="s">
        <v>24</v>
      </c>
      <c r="K20" s="62" t="s">
        <v>212</v>
      </c>
      <c r="L20" s="66">
        <v>410</v>
      </c>
      <c r="M20" s="67"/>
      <c r="N20" s="66">
        <f t="shared" si="2"/>
        <v>410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6"/>
      <c r="AB20" s="67"/>
      <c r="AC20" s="66"/>
      <c r="AE20" s="62"/>
      <c r="AF20" s="62"/>
      <c r="AG20" s="64"/>
      <c r="AH20" s="67"/>
      <c r="AI20" s="65"/>
      <c r="AJ20" s="78"/>
      <c r="AK20" s="66"/>
      <c r="AL20" s="67"/>
      <c r="AM20" s="66">
        <f>AK20-AL20</f>
        <v>0</v>
      </c>
    </row>
    <row r="21" spans="1:40" s="76" customFormat="1" ht="100.05" customHeight="1" x14ac:dyDescent="0.3">
      <c r="A21" s="62"/>
      <c r="B21" s="62"/>
      <c r="C21" s="64"/>
      <c r="D21" s="62"/>
      <c r="E21" s="91"/>
      <c r="F21" s="62"/>
      <c r="G21" s="62"/>
      <c r="H21" s="64"/>
      <c r="I21" s="62"/>
      <c r="J21" s="62"/>
      <c r="K21" s="62"/>
      <c r="L21" s="66"/>
      <c r="M21" s="67"/>
      <c r="N21" s="66">
        <f t="shared" si="2"/>
        <v>0</v>
      </c>
      <c r="P21" s="62"/>
      <c r="Q21" s="62"/>
      <c r="R21" s="64"/>
      <c r="S21" s="62"/>
      <c r="T21" s="65"/>
      <c r="U21" s="62"/>
      <c r="V21" s="62"/>
      <c r="W21" s="64"/>
      <c r="X21" s="62"/>
      <c r="Y21" s="62"/>
      <c r="Z21" s="62"/>
      <c r="AA21" s="66"/>
      <c r="AB21" s="67"/>
      <c r="AC21" s="66"/>
      <c r="AE21" s="62"/>
      <c r="AF21" s="62"/>
      <c r="AG21" s="64"/>
      <c r="AH21" s="67"/>
      <c r="AI21" s="65"/>
      <c r="AJ21" s="78"/>
      <c r="AK21" s="66"/>
      <c r="AL21" s="67"/>
      <c r="AM21" s="66">
        <f>AK21-AL21</f>
        <v>0</v>
      </c>
    </row>
    <row r="22" spans="1:40" s="76" customFormat="1" ht="100.05" customHeight="1" x14ac:dyDescent="0.3">
      <c r="A22" s="62"/>
      <c r="B22" s="62"/>
      <c r="C22" s="64"/>
      <c r="D22" s="62"/>
      <c r="E22" s="65"/>
      <c r="F22" s="62"/>
      <c r="G22" s="62"/>
      <c r="H22" s="64"/>
      <c r="I22" s="62"/>
      <c r="J22" s="62"/>
      <c r="K22" s="62"/>
      <c r="L22" s="62"/>
      <c r="M22" s="67"/>
      <c r="N22" s="66">
        <f t="shared" si="2"/>
        <v>0</v>
      </c>
      <c r="P22" s="62"/>
      <c r="Q22" s="62"/>
      <c r="R22" s="64"/>
      <c r="S22" s="62"/>
      <c r="T22" s="65"/>
      <c r="U22" s="62"/>
      <c r="V22" s="62"/>
      <c r="W22" s="64"/>
      <c r="X22" s="62"/>
      <c r="Y22" s="62"/>
      <c r="Z22" s="62"/>
      <c r="AA22" s="62"/>
      <c r="AB22" s="67"/>
      <c r="AC22" s="66">
        <f t="shared" si="1"/>
        <v>0</v>
      </c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</row>
    <row r="23" spans="1:40" s="76" customFormat="1" ht="100.05" customHeight="1" x14ac:dyDescent="0.3">
      <c r="A23" s="68"/>
      <c r="B23" s="68"/>
      <c r="C23" s="69"/>
      <c r="D23" s="68"/>
      <c r="E23" s="70"/>
      <c r="F23" s="68"/>
      <c r="G23" s="68"/>
      <c r="H23" s="69"/>
      <c r="I23" s="68"/>
      <c r="J23" s="68"/>
      <c r="K23" s="68"/>
      <c r="L23" s="66">
        <f>SUM(L4:L22)</f>
        <v>11090</v>
      </c>
      <c r="M23" s="71">
        <f>SUM(M4:M22)</f>
        <v>2000</v>
      </c>
      <c r="N23" s="66">
        <f>SUM(N4:N22)</f>
        <v>9090</v>
      </c>
      <c r="P23" s="68"/>
      <c r="Q23" s="68"/>
      <c r="R23" s="69"/>
      <c r="S23" s="68"/>
      <c r="T23" s="70"/>
      <c r="U23" s="68"/>
      <c r="V23" s="68"/>
      <c r="W23" s="69"/>
      <c r="X23" s="68"/>
      <c r="Y23" s="68"/>
      <c r="Z23" s="68"/>
      <c r="AA23" s="66">
        <f>AA4+AA5+AA6+AA7+AA22</f>
        <v>15000</v>
      </c>
      <c r="AB23" s="71">
        <f>SUM(AB4:AB22)</f>
        <v>2760</v>
      </c>
      <c r="AC23" s="66">
        <f>SUM(AC4:AC22)</f>
        <v>12240</v>
      </c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</row>
    <row r="24" spans="1:40" s="75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6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6"/>
    </row>
    <row r="25" spans="1:40" s="75" customFormat="1" ht="100.05" customHeight="1" x14ac:dyDescent="0.3">
      <c r="A25" s="109" t="s">
        <v>101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1"/>
      <c r="P25" s="109" t="s">
        <v>99</v>
      </c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1"/>
      <c r="AD25" s="76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6"/>
    </row>
    <row r="26" spans="1:40" s="75" customFormat="1" ht="145.80000000000001" x14ac:dyDescent="0.3">
      <c r="A26" s="81" t="s">
        <v>0</v>
      </c>
      <c r="B26" s="81" t="s">
        <v>9</v>
      </c>
      <c r="C26" s="82" t="s">
        <v>11</v>
      </c>
      <c r="D26" s="81" t="s">
        <v>2</v>
      </c>
      <c r="E26" s="81" t="s">
        <v>1</v>
      </c>
      <c r="F26" s="81" t="s">
        <v>14</v>
      </c>
      <c r="G26" s="81" t="s">
        <v>8</v>
      </c>
      <c r="H26" s="82" t="s">
        <v>10</v>
      </c>
      <c r="I26" s="82" t="s">
        <v>12</v>
      </c>
      <c r="J26" s="82" t="s">
        <v>13</v>
      </c>
      <c r="K26" s="81" t="s">
        <v>3</v>
      </c>
      <c r="L26" s="81" t="s">
        <v>7</v>
      </c>
      <c r="M26" s="81" t="s">
        <v>5</v>
      </c>
      <c r="N26" s="81" t="s">
        <v>6</v>
      </c>
      <c r="P26" s="81" t="s">
        <v>0</v>
      </c>
      <c r="Q26" s="81" t="s">
        <v>9</v>
      </c>
      <c r="R26" s="82" t="s">
        <v>11</v>
      </c>
      <c r="S26" s="81" t="s">
        <v>2</v>
      </c>
      <c r="T26" s="81" t="s">
        <v>1</v>
      </c>
      <c r="U26" s="81" t="s">
        <v>14</v>
      </c>
      <c r="V26" s="81" t="s">
        <v>8</v>
      </c>
      <c r="W26" s="82" t="s">
        <v>10</v>
      </c>
      <c r="X26" s="82" t="s">
        <v>12</v>
      </c>
      <c r="Y26" s="82" t="s">
        <v>13</v>
      </c>
      <c r="Z26" s="81" t="s">
        <v>3</v>
      </c>
      <c r="AA26" s="81" t="s">
        <v>7</v>
      </c>
      <c r="AB26" s="81" t="s">
        <v>5</v>
      </c>
      <c r="AC26" s="81" t="s">
        <v>6</v>
      </c>
      <c r="AD26" s="76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6"/>
    </row>
    <row r="27" spans="1:40" s="76" customFormat="1" ht="100.05" customHeight="1" x14ac:dyDescent="0.3">
      <c r="A27" s="62">
        <v>180925</v>
      </c>
      <c r="B27" s="62">
        <v>304</v>
      </c>
      <c r="C27" s="64">
        <v>0.7</v>
      </c>
      <c r="D27" s="62">
        <v>467</v>
      </c>
      <c r="E27" s="65" t="s">
        <v>219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2100</v>
      </c>
      <c r="M27" s="67">
        <f>450+1250+460</f>
        <v>2160</v>
      </c>
      <c r="N27" s="66">
        <f t="shared" ref="N27" si="3">L27-M27</f>
        <v>-60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ref="AC27:AC44" si="4">AA27-AB27</f>
        <v>0</v>
      </c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</row>
    <row r="28" spans="1:40" s="76" customFormat="1" ht="100.05" customHeight="1" x14ac:dyDescent="0.3">
      <c r="A28" s="62">
        <v>180925</v>
      </c>
      <c r="B28" s="62">
        <v>304</v>
      </c>
      <c r="C28" s="64">
        <v>0.7</v>
      </c>
      <c r="D28" s="62">
        <v>388</v>
      </c>
      <c r="E28" s="65" t="s">
        <v>220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2100</v>
      </c>
      <c r="M28" s="67">
        <v>825</v>
      </c>
      <c r="N28" s="66">
        <f>L28-M28</f>
        <v>1275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250052</v>
      </c>
      <c r="B29" s="62">
        <v>304</v>
      </c>
      <c r="C29" s="64">
        <v>0.7</v>
      </c>
      <c r="D29" s="62">
        <v>323</v>
      </c>
      <c r="E29" s="91" t="s">
        <v>229</v>
      </c>
      <c r="F29" s="62" t="s">
        <v>23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800</v>
      </c>
      <c r="M29" s="67"/>
      <c r="N29" s="90">
        <f t="shared" ref="N29:N47" si="5">L29-M29</f>
        <v>800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250055</v>
      </c>
      <c r="B30" s="62">
        <v>304</v>
      </c>
      <c r="C30" s="64">
        <v>0.7</v>
      </c>
      <c r="D30" s="62">
        <v>323</v>
      </c>
      <c r="E30" s="91" t="s">
        <v>229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830</v>
      </c>
      <c r="M30" s="67"/>
      <c r="N30" s="66">
        <f t="shared" si="5"/>
        <v>830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250057</v>
      </c>
      <c r="B31" s="62">
        <v>304</v>
      </c>
      <c r="C31" s="64">
        <v>0.7</v>
      </c>
      <c r="D31" s="62">
        <v>323</v>
      </c>
      <c r="E31" s="91" t="s">
        <v>229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79</v>
      </c>
      <c r="L31" s="66">
        <v>410</v>
      </c>
      <c r="M31" s="67"/>
      <c r="N31" s="66">
        <f t="shared" si="5"/>
        <v>410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250061</v>
      </c>
      <c r="B32" s="62">
        <v>304</v>
      </c>
      <c r="C32" s="64">
        <v>0.7</v>
      </c>
      <c r="D32" s="62">
        <v>323</v>
      </c>
      <c r="E32" s="91" t="s">
        <v>229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79</v>
      </c>
      <c r="L32" s="66">
        <v>540</v>
      </c>
      <c r="M32" s="67"/>
      <c r="N32" s="66">
        <f t="shared" si="5"/>
        <v>540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250055</v>
      </c>
      <c r="B33" s="62">
        <v>304</v>
      </c>
      <c r="C33" s="64">
        <v>0.7</v>
      </c>
      <c r="D33" s="62">
        <v>505</v>
      </c>
      <c r="E33" s="91" t="s">
        <v>231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830</v>
      </c>
      <c r="M33" s="67"/>
      <c r="N33" s="66">
        <f t="shared" si="5"/>
        <v>830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>
        <v>250057</v>
      </c>
      <c r="B34" s="62">
        <v>304</v>
      </c>
      <c r="C34" s="64">
        <v>0.7</v>
      </c>
      <c r="D34" s="62">
        <v>505</v>
      </c>
      <c r="E34" s="91" t="s">
        <v>231</v>
      </c>
      <c r="F34" s="62" t="s">
        <v>23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79</v>
      </c>
      <c r="L34" s="66">
        <v>410</v>
      </c>
      <c r="M34" s="67"/>
      <c r="N34" s="66">
        <f t="shared" si="5"/>
        <v>410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62">
        <v>250061</v>
      </c>
      <c r="B35" s="62">
        <v>304</v>
      </c>
      <c r="C35" s="64">
        <v>0.7</v>
      </c>
      <c r="D35" s="62">
        <v>505</v>
      </c>
      <c r="E35" s="91" t="s">
        <v>231</v>
      </c>
      <c r="F35" s="62" t="s">
        <v>23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79</v>
      </c>
      <c r="L35" s="66">
        <v>540</v>
      </c>
      <c r="M35" s="67"/>
      <c r="N35" s="66">
        <f t="shared" si="5"/>
        <v>540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62">
        <v>250057</v>
      </c>
      <c r="B36" s="62">
        <v>304</v>
      </c>
      <c r="C36" s="64">
        <v>0.7</v>
      </c>
      <c r="D36" s="62">
        <v>397</v>
      </c>
      <c r="E36" s="91" t="s">
        <v>232</v>
      </c>
      <c r="F36" s="62" t="s">
        <v>23</v>
      </c>
      <c r="G36" s="62">
        <v>304</v>
      </c>
      <c r="H36" s="64">
        <v>0.6</v>
      </c>
      <c r="I36" s="62" t="s">
        <v>24</v>
      </c>
      <c r="J36" s="62" t="s">
        <v>24</v>
      </c>
      <c r="K36" s="62" t="s">
        <v>79</v>
      </c>
      <c r="L36" s="66">
        <v>410</v>
      </c>
      <c r="M36" s="67"/>
      <c r="N36" s="66">
        <f t="shared" si="5"/>
        <v>410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4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2">
        <v>250052</v>
      </c>
      <c r="B37" s="62">
        <v>304</v>
      </c>
      <c r="C37" s="64">
        <v>0.7</v>
      </c>
      <c r="D37" s="62">
        <v>385</v>
      </c>
      <c r="E37" s="91" t="s">
        <v>233</v>
      </c>
      <c r="F37" s="62" t="s">
        <v>23</v>
      </c>
      <c r="G37" s="62">
        <v>304</v>
      </c>
      <c r="H37" s="64">
        <v>0.6</v>
      </c>
      <c r="I37" s="62" t="s">
        <v>24</v>
      </c>
      <c r="J37" s="62" t="s">
        <v>24</v>
      </c>
      <c r="K37" s="62" t="s">
        <v>79</v>
      </c>
      <c r="L37" s="66">
        <v>800</v>
      </c>
      <c r="M37" s="67"/>
      <c r="N37" s="66">
        <f t="shared" si="5"/>
        <v>800</v>
      </c>
      <c r="P37" s="62"/>
      <c r="Q37" s="62"/>
      <c r="R37" s="64"/>
      <c r="S37" s="62"/>
      <c r="T37" s="65"/>
      <c r="U37" s="62"/>
      <c r="V37" s="62"/>
      <c r="W37" s="64"/>
      <c r="X37" s="62"/>
      <c r="Y37" s="62"/>
      <c r="Z37" s="62"/>
      <c r="AA37" s="66"/>
      <c r="AB37" s="67"/>
      <c r="AC37" s="66">
        <f t="shared" si="4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62">
        <v>250055</v>
      </c>
      <c r="B38" s="62">
        <v>304</v>
      </c>
      <c r="C38" s="64">
        <v>0.7</v>
      </c>
      <c r="D38" s="62">
        <v>385</v>
      </c>
      <c r="E38" s="91" t="s">
        <v>233</v>
      </c>
      <c r="F38" s="62" t="s">
        <v>23</v>
      </c>
      <c r="G38" s="62">
        <v>304</v>
      </c>
      <c r="H38" s="64">
        <v>0.6</v>
      </c>
      <c r="I38" s="62" t="s">
        <v>24</v>
      </c>
      <c r="J38" s="62" t="s">
        <v>24</v>
      </c>
      <c r="K38" s="62" t="s">
        <v>79</v>
      </c>
      <c r="L38" s="66">
        <v>830</v>
      </c>
      <c r="M38" s="67"/>
      <c r="N38" s="66">
        <f t="shared" si="5"/>
        <v>830</v>
      </c>
      <c r="P38" s="62"/>
      <c r="Q38" s="62"/>
      <c r="R38" s="64"/>
      <c r="S38" s="62"/>
      <c r="T38" s="65"/>
      <c r="U38" s="62"/>
      <c r="V38" s="62"/>
      <c r="W38" s="64"/>
      <c r="X38" s="62"/>
      <c r="Y38" s="62"/>
      <c r="Z38" s="62"/>
      <c r="AA38" s="66"/>
      <c r="AB38" s="67"/>
      <c r="AC38" s="66">
        <f t="shared" si="4"/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>
        <f t="shared" si="0"/>
        <v>0</v>
      </c>
      <c r="AN38" s="75"/>
    </row>
    <row r="39" spans="1:40" s="76" customFormat="1" ht="100.05" customHeight="1" x14ac:dyDescent="0.3">
      <c r="A39" s="62">
        <v>250052</v>
      </c>
      <c r="B39" s="62">
        <v>304</v>
      </c>
      <c r="C39" s="64">
        <v>0.7</v>
      </c>
      <c r="D39" s="62">
        <v>355</v>
      </c>
      <c r="E39" s="91" t="s">
        <v>234</v>
      </c>
      <c r="F39" s="62" t="s">
        <v>23</v>
      </c>
      <c r="G39" s="62">
        <v>304</v>
      </c>
      <c r="H39" s="64">
        <v>0.6</v>
      </c>
      <c r="I39" s="62" t="s">
        <v>24</v>
      </c>
      <c r="J39" s="62" t="s">
        <v>24</v>
      </c>
      <c r="K39" s="62" t="s">
        <v>79</v>
      </c>
      <c r="L39" s="66">
        <v>800</v>
      </c>
      <c r="M39" s="67">
        <v>50</v>
      </c>
      <c r="N39" s="66">
        <f t="shared" si="5"/>
        <v>750</v>
      </c>
      <c r="P39" s="62"/>
      <c r="Q39" s="62"/>
      <c r="R39" s="64"/>
      <c r="S39" s="62"/>
      <c r="T39" s="65"/>
      <c r="U39" s="62"/>
      <c r="V39" s="62"/>
      <c r="W39" s="64"/>
      <c r="X39" s="62"/>
      <c r="Y39" s="62"/>
      <c r="Z39" s="62"/>
      <c r="AA39" s="66"/>
      <c r="AB39" s="67"/>
      <c r="AC39" s="66">
        <f t="shared" si="4"/>
        <v>0</v>
      </c>
      <c r="AD39" s="75"/>
      <c r="AE39" s="62"/>
      <c r="AF39" s="62"/>
      <c r="AG39" s="64"/>
      <c r="AH39" s="67"/>
      <c r="AI39" s="65"/>
      <c r="AJ39" s="78"/>
      <c r="AK39" s="66"/>
      <c r="AL39" s="67"/>
      <c r="AM39" s="66">
        <f t="shared" si="0"/>
        <v>0</v>
      </c>
      <c r="AN39" s="75"/>
    </row>
    <row r="40" spans="1:40" s="76" customFormat="1" ht="100.05" customHeight="1" x14ac:dyDescent="0.3">
      <c r="A40" s="62">
        <v>250055</v>
      </c>
      <c r="B40" s="62">
        <v>304</v>
      </c>
      <c r="C40" s="64">
        <v>0.7</v>
      </c>
      <c r="D40" s="62">
        <v>355</v>
      </c>
      <c r="E40" s="91" t="s">
        <v>234</v>
      </c>
      <c r="F40" s="62" t="s">
        <v>23</v>
      </c>
      <c r="G40" s="62">
        <v>304</v>
      </c>
      <c r="H40" s="64">
        <v>0.6</v>
      </c>
      <c r="I40" s="62" t="s">
        <v>24</v>
      </c>
      <c r="J40" s="62" t="s">
        <v>24</v>
      </c>
      <c r="K40" s="62" t="s">
        <v>79</v>
      </c>
      <c r="L40" s="66">
        <v>830</v>
      </c>
      <c r="M40" s="67"/>
      <c r="N40" s="66">
        <f t="shared" si="5"/>
        <v>830</v>
      </c>
      <c r="P40" s="62"/>
      <c r="Q40" s="62"/>
      <c r="R40" s="64"/>
      <c r="S40" s="62"/>
      <c r="T40" s="65"/>
      <c r="U40" s="62"/>
      <c r="V40" s="62"/>
      <c r="W40" s="64"/>
      <c r="X40" s="62"/>
      <c r="Y40" s="62"/>
      <c r="Z40" s="62"/>
      <c r="AA40" s="66"/>
      <c r="AB40" s="67"/>
      <c r="AC40" s="66">
        <f t="shared" si="4"/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100.05" customHeight="1" x14ac:dyDescent="0.3">
      <c r="A41" s="62">
        <v>250057</v>
      </c>
      <c r="B41" s="62">
        <v>304</v>
      </c>
      <c r="C41" s="64">
        <v>0.7</v>
      </c>
      <c r="D41" s="62">
        <v>355</v>
      </c>
      <c r="E41" s="91" t="s">
        <v>234</v>
      </c>
      <c r="F41" s="62" t="s">
        <v>23</v>
      </c>
      <c r="G41" s="62">
        <v>304</v>
      </c>
      <c r="H41" s="64">
        <v>0.6</v>
      </c>
      <c r="I41" s="62" t="s">
        <v>24</v>
      </c>
      <c r="J41" s="62" t="s">
        <v>24</v>
      </c>
      <c r="K41" s="62" t="s">
        <v>79</v>
      </c>
      <c r="L41" s="66">
        <v>410</v>
      </c>
      <c r="M41" s="67"/>
      <c r="N41" s="66">
        <f t="shared" si="5"/>
        <v>410</v>
      </c>
      <c r="P41" s="62"/>
      <c r="Q41" s="62"/>
      <c r="R41" s="64"/>
      <c r="S41" s="62"/>
      <c r="T41" s="65"/>
      <c r="U41" s="62"/>
      <c r="V41" s="62"/>
      <c r="W41" s="64"/>
      <c r="X41" s="62"/>
      <c r="Y41" s="62"/>
      <c r="Z41" s="62"/>
      <c r="AA41" s="66"/>
      <c r="AB41" s="67"/>
      <c r="AC41" s="66">
        <f t="shared" si="4"/>
        <v>0</v>
      </c>
      <c r="AD41" s="75"/>
      <c r="AE41" s="62"/>
      <c r="AF41" s="62"/>
      <c r="AG41" s="64"/>
      <c r="AH41" s="67"/>
      <c r="AI41" s="65"/>
      <c r="AJ41" s="78"/>
      <c r="AK41" s="66"/>
      <c r="AL41" s="67"/>
      <c r="AM41" s="66">
        <f t="shared" si="0"/>
        <v>0</v>
      </c>
      <c r="AN41" s="75"/>
    </row>
    <row r="42" spans="1:40" s="76" customFormat="1" ht="100.05" customHeight="1" x14ac:dyDescent="0.3">
      <c r="A42" s="62">
        <v>250061</v>
      </c>
      <c r="B42" s="62">
        <v>304</v>
      </c>
      <c r="C42" s="64">
        <v>0.7</v>
      </c>
      <c r="D42" s="62">
        <v>355</v>
      </c>
      <c r="E42" s="91" t="s">
        <v>234</v>
      </c>
      <c r="F42" s="62" t="s">
        <v>23</v>
      </c>
      <c r="G42" s="62">
        <v>304</v>
      </c>
      <c r="H42" s="64">
        <v>0.6</v>
      </c>
      <c r="I42" s="62" t="s">
        <v>24</v>
      </c>
      <c r="J42" s="62" t="s">
        <v>24</v>
      </c>
      <c r="K42" s="62" t="s">
        <v>79</v>
      </c>
      <c r="L42" s="66">
        <v>540</v>
      </c>
      <c r="M42" s="67"/>
      <c r="N42" s="66">
        <f t="shared" si="5"/>
        <v>540</v>
      </c>
      <c r="P42" s="62"/>
      <c r="Q42" s="62"/>
      <c r="R42" s="64"/>
      <c r="S42" s="62"/>
      <c r="T42" s="65"/>
      <c r="U42" s="62"/>
      <c r="V42" s="62"/>
      <c r="W42" s="64"/>
      <c r="X42" s="62"/>
      <c r="Y42" s="62"/>
      <c r="Z42" s="62"/>
      <c r="AA42" s="66"/>
      <c r="AB42" s="67"/>
      <c r="AC42" s="66">
        <f t="shared" si="4"/>
        <v>0</v>
      </c>
      <c r="AD42" s="75"/>
      <c r="AE42" s="62"/>
      <c r="AF42" s="62"/>
      <c r="AG42" s="64"/>
      <c r="AH42" s="67"/>
      <c r="AI42" s="65"/>
      <c r="AJ42" s="78"/>
      <c r="AK42" s="66"/>
      <c r="AL42" s="67"/>
      <c r="AM42" s="66">
        <f t="shared" si="0"/>
        <v>0</v>
      </c>
      <c r="AN42" s="75"/>
    </row>
    <row r="43" spans="1:40" s="76" customFormat="1" ht="100.05" customHeight="1" x14ac:dyDescent="0.3">
      <c r="A43" s="62">
        <v>250057</v>
      </c>
      <c r="B43" s="62">
        <v>304</v>
      </c>
      <c r="C43" s="64">
        <v>0.7</v>
      </c>
      <c r="D43" s="62">
        <v>293</v>
      </c>
      <c r="E43" s="86" t="s">
        <v>235</v>
      </c>
      <c r="F43" s="62" t="s">
        <v>23</v>
      </c>
      <c r="G43" s="62">
        <v>304</v>
      </c>
      <c r="H43" s="64">
        <v>0.6</v>
      </c>
      <c r="I43" s="62" t="s">
        <v>24</v>
      </c>
      <c r="J43" s="62" t="s">
        <v>24</v>
      </c>
      <c r="K43" s="62" t="s">
        <v>79</v>
      </c>
      <c r="L43" s="66">
        <v>410</v>
      </c>
      <c r="M43" s="67"/>
      <c r="N43" s="66">
        <f t="shared" si="5"/>
        <v>410</v>
      </c>
      <c r="P43" s="62"/>
      <c r="Q43" s="62"/>
      <c r="R43" s="64"/>
      <c r="S43" s="62"/>
      <c r="T43" s="65"/>
      <c r="U43" s="62"/>
      <c r="V43" s="62"/>
      <c r="W43" s="64"/>
      <c r="X43" s="62"/>
      <c r="Y43" s="62"/>
      <c r="Z43" s="62"/>
      <c r="AA43" s="66"/>
      <c r="AB43" s="67"/>
      <c r="AC43" s="66">
        <f t="shared" si="4"/>
        <v>0</v>
      </c>
      <c r="AD43" s="75"/>
      <c r="AE43" s="62"/>
      <c r="AF43" s="62"/>
      <c r="AG43" s="64"/>
      <c r="AH43" s="67"/>
      <c r="AI43" s="65"/>
      <c r="AJ43" s="78"/>
      <c r="AK43" s="66"/>
      <c r="AL43" s="67"/>
      <c r="AM43" s="66">
        <f t="shared" si="0"/>
        <v>0</v>
      </c>
      <c r="AN43" s="75"/>
    </row>
    <row r="44" spans="1:40" s="76" customFormat="1" ht="100.05" customHeight="1" x14ac:dyDescent="0.3">
      <c r="A44" s="62"/>
      <c r="B44" s="62"/>
      <c r="C44" s="64"/>
      <c r="D44" s="62"/>
      <c r="E44" s="86"/>
      <c r="F44" s="62"/>
      <c r="G44" s="62"/>
      <c r="H44" s="64"/>
      <c r="I44" s="62"/>
      <c r="J44" s="62"/>
      <c r="K44" s="62"/>
      <c r="L44" s="66"/>
      <c r="M44" s="67"/>
      <c r="N44" s="66">
        <f t="shared" si="5"/>
        <v>0</v>
      </c>
      <c r="P44" s="62"/>
      <c r="Q44" s="62"/>
      <c r="R44" s="64"/>
      <c r="S44" s="62"/>
      <c r="T44" s="65"/>
      <c r="U44" s="62"/>
      <c r="V44" s="62"/>
      <c r="W44" s="64"/>
      <c r="X44" s="62"/>
      <c r="Y44" s="62"/>
      <c r="Z44" s="62"/>
      <c r="AA44" s="66"/>
      <c r="AB44" s="67"/>
      <c r="AC44" s="66">
        <f t="shared" si="4"/>
        <v>0</v>
      </c>
      <c r="AD44" s="75"/>
      <c r="AE44" s="62"/>
      <c r="AF44" s="62"/>
      <c r="AG44" s="64"/>
      <c r="AH44" s="67"/>
      <c r="AI44" s="65"/>
      <c r="AJ44" s="78"/>
      <c r="AK44" s="66"/>
      <c r="AL44" s="67"/>
      <c r="AM44" s="66">
        <f t="shared" si="0"/>
        <v>0</v>
      </c>
      <c r="AN44" s="75"/>
    </row>
    <row r="45" spans="1:40" s="76" customFormat="1" ht="100.05" hidden="1" customHeight="1" x14ac:dyDescent="0.3">
      <c r="A45" s="62"/>
      <c r="B45" s="62"/>
      <c r="C45" s="64"/>
      <c r="D45" s="62"/>
      <c r="E45" s="65"/>
      <c r="F45" s="62"/>
      <c r="G45" s="62"/>
      <c r="H45" s="64"/>
      <c r="I45" s="62"/>
      <c r="J45" s="62"/>
      <c r="K45" s="62"/>
      <c r="L45" s="66"/>
      <c r="M45" s="67"/>
      <c r="N45" s="66"/>
      <c r="P45" s="62"/>
      <c r="Q45" s="62"/>
      <c r="R45" s="64"/>
      <c r="S45" s="62"/>
      <c r="T45" s="65"/>
      <c r="U45" s="62"/>
      <c r="V45" s="62"/>
      <c r="W45" s="64"/>
      <c r="X45" s="62"/>
      <c r="Y45" s="62"/>
      <c r="Z45" s="62"/>
      <c r="AA45" s="66"/>
      <c r="AB45" s="67"/>
      <c r="AC45" s="66"/>
      <c r="AD45" s="75"/>
      <c r="AE45" s="62"/>
      <c r="AF45" s="62"/>
      <c r="AG45" s="64"/>
      <c r="AH45" s="67"/>
      <c r="AI45" s="65"/>
      <c r="AJ45" s="78"/>
      <c r="AK45" s="66"/>
      <c r="AL45" s="67"/>
      <c r="AM45" s="66"/>
      <c r="AN45" s="75"/>
    </row>
    <row r="46" spans="1:40" s="76" customFormat="1" ht="100.05" hidden="1" customHeight="1" x14ac:dyDescent="0.3">
      <c r="A46" s="62"/>
      <c r="B46" s="62"/>
      <c r="C46" s="64"/>
      <c r="D46" s="62"/>
      <c r="E46" s="65"/>
      <c r="F46" s="62"/>
      <c r="G46" s="62"/>
      <c r="H46" s="64"/>
      <c r="I46" s="62"/>
      <c r="J46" s="62"/>
      <c r="K46" s="62"/>
      <c r="L46" s="66"/>
      <c r="M46" s="67"/>
      <c r="N46" s="66"/>
      <c r="P46" s="62"/>
      <c r="Q46" s="62"/>
      <c r="R46" s="64"/>
      <c r="S46" s="62"/>
      <c r="T46" s="65"/>
      <c r="U46" s="62"/>
      <c r="V46" s="62"/>
      <c r="W46" s="64"/>
      <c r="X46" s="62"/>
      <c r="Y46" s="62"/>
      <c r="Z46" s="62"/>
      <c r="AA46" s="66"/>
      <c r="AB46" s="67"/>
      <c r="AC46" s="66"/>
      <c r="AD46" s="75"/>
      <c r="AE46" s="62"/>
      <c r="AF46" s="62"/>
      <c r="AG46" s="64"/>
      <c r="AH46" s="67"/>
      <c r="AI46" s="65"/>
      <c r="AJ46" s="78"/>
      <c r="AK46" s="66"/>
      <c r="AL46" s="67"/>
      <c r="AM46" s="66"/>
      <c r="AN46" s="75"/>
    </row>
    <row r="47" spans="1:40" s="76" customFormat="1" ht="100.05" customHeight="1" x14ac:dyDescent="0.3">
      <c r="A47" s="62"/>
      <c r="B47" s="62"/>
      <c r="C47" s="64"/>
      <c r="D47" s="62"/>
      <c r="E47" s="65"/>
      <c r="F47" s="62"/>
      <c r="G47" s="62"/>
      <c r="H47" s="64"/>
      <c r="I47" s="62"/>
      <c r="J47" s="62"/>
      <c r="K47" s="62"/>
      <c r="L47" s="62"/>
      <c r="M47" s="67"/>
      <c r="N47" s="66">
        <f t="shared" si="5"/>
        <v>0</v>
      </c>
      <c r="P47" s="68"/>
      <c r="Q47" s="68"/>
      <c r="R47" s="69"/>
      <c r="S47" s="68"/>
      <c r="T47" s="70"/>
      <c r="U47" s="68"/>
      <c r="V47" s="68"/>
      <c r="W47" s="69"/>
      <c r="X47" s="68"/>
      <c r="Y47" s="68"/>
      <c r="Z47" s="68"/>
      <c r="AA47" s="66">
        <f>SUM(AA27:AA30)</f>
        <v>0</v>
      </c>
      <c r="AB47" s="71">
        <f>SUM(AB27:AB30)</f>
        <v>0</v>
      </c>
      <c r="AC47" s="66">
        <f>SUM(AC27:AC30)</f>
        <v>0</v>
      </c>
      <c r="AD47" s="75"/>
      <c r="AE47" s="62"/>
      <c r="AF47" s="62"/>
      <c r="AG47" s="64"/>
      <c r="AH47" s="67"/>
      <c r="AI47" s="65"/>
      <c r="AJ47" s="78"/>
      <c r="AK47" s="66"/>
      <c r="AL47" s="67"/>
      <c r="AM47" s="66">
        <f t="shared" si="0"/>
        <v>0</v>
      </c>
      <c r="AN47" s="75"/>
    </row>
    <row r="48" spans="1:40" s="76" customFormat="1" ht="100.05" customHeight="1" x14ac:dyDescent="0.3">
      <c r="A48" s="68"/>
      <c r="B48" s="68"/>
      <c r="C48" s="69"/>
      <c r="D48" s="68"/>
      <c r="E48" s="70"/>
      <c r="F48" s="68"/>
      <c r="G48" s="68"/>
      <c r="H48" s="69"/>
      <c r="I48" s="68"/>
      <c r="J48" s="68"/>
      <c r="K48" s="68"/>
      <c r="L48" s="66">
        <f>SUM(L27:L47)</f>
        <v>13590</v>
      </c>
      <c r="M48" s="71">
        <f>SUM(M27:M47)</f>
        <v>3035</v>
      </c>
      <c r="N48" s="66">
        <f>SUM(N27:N47)</f>
        <v>10555</v>
      </c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68"/>
      <c r="AF48" s="68"/>
      <c r="AG48" s="69"/>
      <c r="AH48" s="68"/>
      <c r="AI48" s="70"/>
      <c r="AJ48" s="80"/>
      <c r="AK48" s="66">
        <f>SUM(AK4:AK47)</f>
        <v>32800</v>
      </c>
      <c r="AL48" s="71">
        <f>SUM(AL4:AL47)</f>
        <v>2450</v>
      </c>
      <c r="AM48" s="66">
        <f>SUM(AM4:AM47)</f>
        <v>30350</v>
      </c>
      <c r="AN48" s="75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5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E50" s="79"/>
      <c r="AF50" s="79"/>
      <c r="AG50" s="79"/>
      <c r="AH50" s="79"/>
      <c r="AI50" s="79"/>
      <c r="AJ50" s="79"/>
      <c r="AK50" s="79"/>
      <c r="AL50" s="79"/>
      <c r="AM50" s="79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76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5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5"/>
      <c r="AE56" s="79"/>
      <c r="AF56" s="79"/>
      <c r="AG56" s="79"/>
      <c r="AH56" s="79"/>
      <c r="AI56" s="79"/>
      <c r="AJ56" s="79"/>
      <c r="AK56" s="79"/>
      <c r="AL56" s="79"/>
      <c r="AM56" s="79"/>
      <c r="AN56" s="75"/>
    </row>
    <row r="57" spans="1:40" s="76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5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5"/>
      <c r="AE57" s="79"/>
      <c r="AF57" s="79"/>
      <c r="AG57" s="79"/>
      <c r="AH57" s="79"/>
      <c r="AI57" s="79"/>
      <c r="AJ57" s="79"/>
      <c r="AK57" s="79"/>
      <c r="AL57" s="79"/>
      <c r="AM57" s="79"/>
      <c r="AN57" s="75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76" customFormat="1" ht="100.0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5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5"/>
      <c r="AE60" s="79"/>
      <c r="AF60" s="79"/>
      <c r="AG60" s="79"/>
      <c r="AH60" s="79"/>
      <c r="AI60" s="79"/>
      <c r="AJ60" s="79"/>
      <c r="AK60" s="79"/>
      <c r="AL60" s="79"/>
      <c r="AM60" s="79"/>
      <c r="AN60" s="75"/>
    </row>
    <row r="61" spans="1:40" s="76" customFormat="1" ht="100.05" customHeight="1" x14ac:dyDescent="0.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5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5"/>
      <c r="AE61" s="79"/>
      <c r="AF61" s="79"/>
      <c r="AG61" s="79"/>
      <c r="AH61" s="79"/>
      <c r="AI61" s="79"/>
      <c r="AJ61" s="79"/>
      <c r="AK61" s="79"/>
      <c r="AL61" s="79"/>
      <c r="AM61" s="79"/>
      <c r="AN61" s="75"/>
    </row>
    <row r="62" spans="1:40" s="75" customFormat="1" ht="100.05" customHeight="1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E62" s="79"/>
      <c r="AF62" s="79"/>
      <c r="AG62" s="79"/>
      <c r="AH62" s="79"/>
      <c r="AI62" s="79"/>
      <c r="AJ62" s="79"/>
      <c r="AK62" s="79"/>
      <c r="AL62" s="79"/>
      <c r="AM62" s="79"/>
    </row>
    <row r="63" spans="1:40" s="75" customFormat="1" ht="100.05" customHeight="1" x14ac:dyDescent="0.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E63" s="79"/>
      <c r="AF63" s="79"/>
      <c r="AG63" s="79"/>
      <c r="AH63" s="79"/>
      <c r="AI63" s="79"/>
      <c r="AJ63" s="79"/>
      <c r="AK63" s="79"/>
      <c r="AL63" s="79"/>
      <c r="AM63" s="79"/>
    </row>
    <row r="64" spans="1:40" s="75" customFormat="1" ht="100.05" customHeight="1" x14ac:dyDescent="0.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E64" s="79"/>
      <c r="AF64" s="79"/>
      <c r="AG64" s="79"/>
      <c r="AH64" s="79"/>
      <c r="AI64" s="79"/>
      <c r="AJ64" s="79"/>
      <c r="AK64" s="79"/>
      <c r="AL64" s="79"/>
      <c r="AM64" s="79"/>
    </row>
    <row r="65" spans="1:40" s="76" customFormat="1" ht="100.05" customHeight="1" x14ac:dyDescent="0.3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5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5"/>
      <c r="AE65" s="79"/>
      <c r="AF65" s="79"/>
      <c r="AG65" s="79"/>
      <c r="AH65" s="79"/>
      <c r="AI65" s="79"/>
      <c r="AJ65" s="79"/>
      <c r="AK65" s="79"/>
      <c r="AL65" s="79"/>
      <c r="AM65" s="79"/>
      <c r="AN65" s="75"/>
    </row>
    <row r="66" spans="1:40" s="76" customFormat="1" ht="100.05" customHeight="1" x14ac:dyDescent="0.3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5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5"/>
      <c r="AE66" s="79"/>
      <c r="AF66" s="79"/>
      <c r="AG66" s="79"/>
      <c r="AH66" s="79"/>
      <c r="AI66" s="79"/>
      <c r="AJ66" s="79"/>
      <c r="AK66" s="79"/>
      <c r="AL66" s="79"/>
      <c r="AM66" s="79"/>
      <c r="AN66" s="75"/>
    </row>
    <row r="67" spans="1:40" s="56" customFormat="1" ht="100.0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2"/>
      <c r="AN67" s="3"/>
    </row>
    <row r="68" spans="1:40" s="56" customFormat="1" ht="100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2"/>
      <c r="AK68" s="2"/>
      <c r="AL68" s="2"/>
      <c r="AM68" s="2"/>
      <c r="AN68" s="3"/>
    </row>
    <row r="69" spans="1:40" s="56" customFormat="1" ht="100.0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"/>
      <c r="AE69" s="2"/>
      <c r="AF69" s="2"/>
      <c r="AG69" s="2"/>
      <c r="AH69" s="2"/>
      <c r="AI69" s="2"/>
      <c r="AJ69" s="2"/>
      <c r="AK69" s="2"/>
      <c r="AL69" s="2"/>
      <c r="AM69" s="2"/>
      <c r="AN69" s="3"/>
    </row>
    <row r="70" spans="1:40" s="56" customFormat="1" ht="100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"/>
      <c r="AE70" s="2"/>
      <c r="AF70" s="2"/>
      <c r="AG70" s="2"/>
      <c r="AH70" s="2"/>
      <c r="AI70" s="2"/>
      <c r="AJ70" s="2"/>
      <c r="AK70" s="2"/>
      <c r="AL70" s="2"/>
      <c r="AM70" s="2"/>
      <c r="AN70" s="3"/>
    </row>
    <row r="71" spans="1:40" s="56" customFormat="1" ht="100.0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"/>
      <c r="AE71" s="2"/>
      <c r="AF71" s="2"/>
      <c r="AG71" s="2"/>
      <c r="AH71" s="2"/>
      <c r="AI71" s="2"/>
      <c r="AJ71" s="2"/>
      <c r="AK71" s="2"/>
      <c r="AL71" s="2"/>
      <c r="AM71" s="2"/>
      <c r="AN71" s="3"/>
    </row>
    <row r="72" spans="1:40" s="56" customFormat="1" ht="100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"/>
      <c r="AE72" s="2"/>
      <c r="AF72" s="2"/>
      <c r="AG72" s="2"/>
      <c r="AH72" s="2"/>
      <c r="AI72" s="2"/>
      <c r="AJ72" s="2"/>
      <c r="AK72" s="2"/>
      <c r="AL72" s="2"/>
      <c r="AM72" s="2"/>
      <c r="AN72" s="3"/>
    </row>
    <row r="73" spans="1:40" s="56" customFormat="1" ht="100.0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"/>
      <c r="AE73" s="2"/>
      <c r="AF73" s="2"/>
      <c r="AG73" s="2"/>
      <c r="AH73" s="2"/>
      <c r="AI73" s="2"/>
      <c r="AJ73" s="2"/>
      <c r="AK73" s="2"/>
      <c r="AL73" s="2"/>
      <c r="AM73" s="2"/>
      <c r="AN73" s="3"/>
    </row>
    <row r="74" spans="1:40" s="56" customFormat="1" ht="100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2"/>
      <c r="AK74" s="2"/>
      <c r="AL74" s="2"/>
      <c r="AM74" s="2"/>
      <c r="AN74" s="3"/>
    </row>
  </sheetData>
  <mergeCells count="11">
    <mergeCell ref="A2:N2"/>
    <mergeCell ref="P2:AC2"/>
    <mergeCell ref="AE2:AM2"/>
    <mergeCell ref="A25:N25"/>
    <mergeCell ref="P25:AC25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5" orientation="portrait" horizontalDpi="1200" verticalDpi="1200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7"/>
  <sheetViews>
    <sheetView zoomScale="25" zoomScaleNormal="25" workbookViewId="0">
      <selection activeCell="AP10" sqref="AP10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45940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45940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/>
      <c r="B4" s="62"/>
      <c r="C4" s="64"/>
      <c r="D4" s="62"/>
      <c r="E4" s="86"/>
      <c r="F4" s="62"/>
      <c r="G4" s="62"/>
      <c r="H4" s="64"/>
      <c r="I4" s="62"/>
      <c r="J4" s="62"/>
      <c r="K4" s="62"/>
      <c r="L4" s="66"/>
      <c r="M4" s="67"/>
      <c r="N4" s="66">
        <f>L4-M4</f>
        <v>0</v>
      </c>
      <c r="P4" s="62">
        <v>290925</v>
      </c>
      <c r="Q4" s="62">
        <v>304</v>
      </c>
      <c r="R4" s="64">
        <v>0.8</v>
      </c>
      <c r="S4" s="62">
        <v>330</v>
      </c>
      <c r="T4" s="65" t="s">
        <v>195</v>
      </c>
      <c r="U4" s="62" t="s">
        <v>42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3000</v>
      </c>
      <c r="AB4" s="67">
        <f>1000+1760+350</f>
        <v>3110</v>
      </c>
      <c r="AC4" s="66">
        <f>AA4-AB4</f>
        <v>-110</v>
      </c>
      <c r="AE4" s="62" t="s">
        <v>126</v>
      </c>
      <c r="AF4" s="62">
        <v>304</v>
      </c>
      <c r="AG4" s="64">
        <v>0.9</v>
      </c>
      <c r="AH4" s="77"/>
      <c r="AI4" s="65" t="s">
        <v>165</v>
      </c>
      <c r="AJ4" s="78" t="s">
        <v>119</v>
      </c>
      <c r="AK4" s="66">
        <v>1200</v>
      </c>
      <c r="AL4" s="67"/>
      <c r="AM4" s="66">
        <f t="shared" ref="AM4:AM40" si="0">AK4-AL4</f>
        <v>1200</v>
      </c>
    </row>
    <row r="5" spans="1:39" s="76" customFormat="1" ht="100.05" customHeight="1" x14ac:dyDescent="0.3">
      <c r="A5" s="62">
        <v>160925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1100</v>
      </c>
      <c r="M5" s="67"/>
      <c r="N5" s="66">
        <f>L5-M5</f>
        <v>1100</v>
      </c>
      <c r="P5" s="62">
        <v>230925</v>
      </c>
      <c r="Q5" s="62">
        <v>430</v>
      </c>
      <c r="R5" s="64">
        <v>0.8</v>
      </c>
      <c r="S5" s="62">
        <v>425</v>
      </c>
      <c r="T5" s="65" t="s">
        <v>238</v>
      </c>
      <c r="U5" s="62" t="s">
        <v>23</v>
      </c>
      <c r="V5" s="62">
        <v>430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>
        <v>400</v>
      </c>
      <c r="AC5" s="66">
        <f t="shared" ref="AC5:AC19" si="1">AA5-AB5</f>
        <v>5600</v>
      </c>
      <c r="AE5" s="62" t="s">
        <v>126</v>
      </c>
      <c r="AF5" s="62">
        <v>304</v>
      </c>
      <c r="AG5" s="64">
        <v>0.9</v>
      </c>
      <c r="AH5" s="77"/>
      <c r="AI5" s="65" t="s">
        <v>164</v>
      </c>
      <c r="AJ5" s="78" t="s">
        <v>119</v>
      </c>
      <c r="AK5" s="66">
        <v>1500</v>
      </c>
      <c r="AL5" s="67"/>
      <c r="AM5" s="66">
        <f t="shared" si="0"/>
        <v>1500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510</v>
      </c>
      <c r="E6" s="86" t="s">
        <v>211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>
        <v>230925</v>
      </c>
      <c r="Q6" s="62">
        <v>430</v>
      </c>
      <c r="R6" s="64">
        <v>0.8</v>
      </c>
      <c r="S6" s="62">
        <v>425</v>
      </c>
      <c r="T6" s="65" t="s">
        <v>239</v>
      </c>
      <c r="U6" s="62" t="s">
        <v>24</v>
      </c>
      <c r="V6" s="62" t="s">
        <v>24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6000</v>
      </c>
      <c r="AB6" s="67"/>
      <c r="AC6" s="66">
        <f t="shared" si="1"/>
        <v>6000</v>
      </c>
      <c r="AE6" s="62" t="s">
        <v>126</v>
      </c>
      <c r="AF6" s="62">
        <v>304</v>
      </c>
      <c r="AG6" s="64">
        <v>0.9</v>
      </c>
      <c r="AH6" s="77"/>
      <c r="AI6" s="65" t="s">
        <v>162</v>
      </c>
      <c r="AJ6" s="78" t="s">
        <v>119</v>
      </c>
      <c r="AK6" s="66">
        <v>1500</v>
      </c>
      <c r="AL6" s="67">
        <f>200+1370</f>
        <v>1570</v>
      </c>
      <c r="AM6" s="66">
        <f t="shared" si="0"/>
        <v>-70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543</v>
      </c>
      <c r="E7" s="86" t="s">
        <v>224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 t="s">
        <v>126</v>
      </c>
      <c r="AF7" s="62">
        <v>304</v>
      </c>
      <c r="AG7" s="64">
        <v>0.9</v>
      </c>
      <c r="AH7" s="67"/>
      <c r="AI7" s="65" t="s">
        <v>163</v>
      </c>
      <c r="AJ7" s="78" t="s">
        <v>119</v>
      </c>
      <c r="AK7" s="66">
        <v>1500</v>
      </c>
      <c r="AL7" s="67"/>
      <c r="AM7" s="66">
        <f t="shared" si="0"/>
        <v>1500</v>
      </c>
    </row>
    <row r="8" spans="1:39" s="76" customFormat="1" ht="100.05" customHeight="1" x14ac:dyDescent="0.3">
      <c r="A8" s="62">
        <v>250042</v>
      </c>
      <c r="B8" s="62">
        <v>304</v>
      </c>
      <c r="C8" s="64">
        <v>0.9</v>
      </c>
      <c r="D8" s="62">
        <v>560</v>
      </c>
      <c r="E8" s="86" t="s">
        <v>225</v>
      </c>
      <c r="F8" s="62" t="s">
        <v>121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223</v>
      </c>
      <c r="L8" s="66">
        <v>750</v>
      </c>
      <c r="M8" s="67"/>
      <c r="N8" s="66">
        <f t="shared" ref="N8:N19" si="2">L8-M8</f>
        <v>750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160925</v>
      </c>
      <c r="AF8" s="62">
        <v>304</v>
      </c>
      <c r="AG8" s="64">
        <v>0.9</v>
      </c>
      <c r="AH8" s="67"/>
      <c r="AI8" s="65" t="s">
        <v>167</v>
      </c>
      <c r="AJ8" s="78" t="s">
        <v>119</v>
      </c>
      <c r="AK8" s="66">
        <v>1100</v>
      </c>
      <c r="AL8" s="67"/>
      <c r="AM8" s="66">
        <f t="shared" si="0"/>
        <v>1100</v>
      </c>
    </row>
    <row r="9" spans="1:39" s="76" customFormat="1" ht="100.05" customHeight="1" x14ac:dyDescent="0.3">
      <c r="A9" s="62">
        <v>250052</v>
      </c>
      <c r="B9" s="62">
        <v>304</v>
      </c>
      <c r="C9" s="64">
        <v>0.7</v>
      </c>
      <c r="D9" s="62">
        <v>435</v>
      </c>
      <c r="E9" s="91" t="s">
        <v>226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800</v>
      </c>
      <c r="M9" s="67">
        <v>805</v>
      </c>
      <c r="N9" s="66">
        <f t="shared" si="2"/>
        <v>-5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290925</v>
      </c>
      <c r="AF9" s="62">
        <v>304</v>
      </c>
      <c r="AG9" s="64" t="s">
        <v>24</v>
      </c>
      <c r="AH9" s="67" t="s">
        <v>24</v>
      </c>
      <c r="AI9" s="65" t="s">
        <v>246</v>
      </c>
      <c r="AJ9" s="78" t="s">
        <v>119</v>
      </c>
      <c r="AK9" s="66">
        <v>4000</v>
      </c>
      <c r="AL9" s="67">
        <v>1400</v>
      </c>
      <c r="AM9" s="66">
        <f t="shared" si="0"/>
        <v>2600</v>
      </c>
    </row>
    <row r="10" spans="1:39" s="76" customFormat="1" ht="100.05" customHeight="1" x14ac:dyDescent="0.3">
      <c r="A10" s="62">
        <v>250055</v>
      </c>
      <c r="B10" s="62">
        <v>304</v>
      </c>
      <c r="C10" s="64">
        <v>0.7</v>
      </c>
      <c r="D10" s="62">
        <v>435</v>
      </c>
      <c r="E10" s="91" t="s">
        <v>226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830</v>
      </c>
      <c r="M10" s="67">
        <v>625</v>
      </c>
      <c r="N10" s="66">
        <f t="shared" si="2"/>
        <v>205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290925</v>
      </c>
      <c r="AF10" s="62">
        <v>304</v>
      </c>
      <c r="AG10" s="64" t="s">
        <v>24</v>
      </c>
      <c r="AH10" s="67" t="s">
        <v>24</v>
      </c>
      <c r="AI10" s="65" t="s">
        <v>203</v>
      </c>
      <c r="AJ10" s="78" t="s">
        <v>119</v>
      </c>
      <c r="AK10" s="66">
        <v>3000</v>
      </c>
      <c r="AL10" s="67"/>
      <c r="AM10" s="66">
        <f t="shared" si="0"/>
        <v>3000</v>
      </c>
    </row>
    <row r="11" spans="1:39" s="76" customFormat="1" ht="100.05" customHeight="1" x14ac:dyDescent="0.3">
      <c r="A11" s="62">
        <v>250057</v>
      </c>
      <c r="B11" s="62">
        <v>304</v>
      </c>
      <c r="C11" s="64">
        <v>0.7</v>
      </c>
      <c r="D11" s="62">
        <v>435</v>
      </c>
      <c r="E11" s="91" t="s">
        <v>226</v>
      </c>
      <c r="F11" s="62" t="s">
        <v>23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79</v>
      </c>
      <c r="L11" s="66">
        <v>410</v>
      </c>
      <c r="M11" s="67"/>
      <c r="N11" s="66">
        <f t="shared" si="2"/>
        <v>410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290925</v>
      </c>
      <c r="AF11" s="62">
        <v>304</v>
      </c>
      <c r="AG11" s="64" t="s">
        <v>24</v>
      </c>
      <c r="AH11" s="67" t="s">
        <v>24</v>
      </c>
      <c r="AI11" s="65" t="s">
        <v>204</v>
      </c>
      <c r="AJ11" s="78" t="s">
        <v>119</v>
      </c>
      <c r="AK11" s="66">
        <v>3000</v>
      </c>
      <c r="AL11" s="67"/>
      <c r="AM11" s="66">
        <f t="shared" si="0"/>
        <v>3000</v>
      </c>
    </row>
    <row r="12" spans="1:39" s="76" customFormat="1" ht="100.05" customHeight="1" x14ac:dyDescent="0.3">
      <c r="A12" s="62">
        <v>250061</v>
      </c>
      <c r="B12" s="62">
        <v>304</v>
      </c>
      <c r="C12" s="64">
        <v>0.7</v>
      </c>
      <c r="D12" s="62">
        <v>435</v>
      </c>
      <c r="E12" s="91" t="s">
        <v>226</v>
      </c>
      <c r="F12" s="62" t="s">
        <v>23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79</v>
      </c>
      <c r="L12" s="66">
        <v>540</v>
      </c>
      <c r="M12" s="67"/>
      <c r="N12" s="66">
        <f t="shared" si="2"/>
        <v>540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250057</v>
      </c>
      <c r="AF12" s="62">
        <v>304</v>
      </c>
      <c r="AG12" s="64" t="s">
        <v>24</v>
      </c>
      <c r="AH12" s="67" t="s">
        <v>24</v>
      </c>
      <c r="AI12" s="65" t="s">
        <v>243</v>
      </c>
      <c r="AJ12" s="78" t="s">
        <v>119</v>
      </c>
      <c r="AK12" s="66">
        <v>410</v>
      </c>
      <c r="AL12" s="67"/>
      <c r="AM12" s="66">
        <f t="shared" si="0"/>
        <v>410</v>
      </c>
    </row>
    <row r="13" spans="1:39" s="76" customFormat="1" ht="99.6" customHeight="1" x14ac:dyDescent="0.3">
      <c r="A13" s="62">
        <v>250057</v>
      </c>
      <c r="B13" s="62">
        <v>304</v>
      </c>
      <c r="C13" s="64">
        <v>0.7</v>
      </c>
      <c r="D13" s="62" t="s">
        <v>24</v>
      </c>
      <c r="E13" s="91" t="s">
        <v>228</v>
      </c>
      <c r="F13" s="62" t="s">
        <v>23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79</v>
      </c>
      <c r="L13" s="66">
        <v>410</v>
      </c>
      <c r="M13" s="67"/>
      <c r="N13" s="66">
        <f t="shared" si="2"/>
        <v>410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250057</v>
      </c>
      <c r="AF13" s="62">
        <v>304</v>
      </c>
      <c r="AG13" s="64" t="s">
        <v>24</v>
      </c>
      <c r="AH13" s="67" t="s">
        <v>24</v>
      </c>
      <c r="AI13" s="65" t="s">
        <v>244</v>
      </c>
      <c r="AJ13" s="78" t="s">
        <v>119</v>
      </c>
      <c r="AK13" s="66">
        <v>410</v>
      </c>
      <c r="AL13" s="67"/>
      <c r="AM13" s="66">
        <f t="shared" si="0"/>
        <v>410</v>
      </c>
    </row>
    <row r="14" spans="1:39" s="76" customFormat="1" ht="99.6" customHeight="1" x14ac:dyDescent="0.3">
      <c r="A14" s="62">
        <v>250061</v>
      </c>
      <c r="B14" s="62">
        <v>304</v>
      </c>
      <c r="C14" s="64">
        <v>0.7</v>
      </c>
      <c r="D14" s="62" t="s">
        <v>24</v>
      </c>
      <c r="E14" s="91" t="s">
        <v>228</v>
      </c>
      <c r="F14" s="62" t="s">
        <v>23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79</v>
      </c>
      <c r="L14" s="66">
        <v>540</v>
      </c>
      <c r="M14" s="67"/>
      <c r="N14" s="66">
        <f t="shared" si="2"/>
        <v>540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250061</v>
      </c>
      <c r="AF14" s="62">
        <v>304</v>
      </c>
      <c r="AG14" s="64" t="s">
        <v>24</v>
      </c>
      <c r="AH14" s="67" t="s">
        <v>24</v>
      </c>
      <c r="AI14" s="65" t="s">
        <v>245</v>
      </c>
      <c r="AJ14" s="78" t="s">
        <v>119</v>
      </c>
      <c r="AK14" s="66">
        <v>540</v>
      </c>
      <c r="AL14" s="67"/>
      <c r="AM14" s="66">
        <f t="shared" si="0"/>
        <v>540</v>
      </c>
    </row>
    <row r="15" spans="1:39" s="76" customFormat="1" ht="99.6" customHeight="1" x14ac:dyDescent="0.3">
      <c r="A15" s="62">
        <v>250052</v>
      </c>
      <c r="B15" s="62">
        <v>304</v>
      </c>
      <c r="C15" s="64">
        <v>0.7</v>
      </c>
      <c r="D15" s="62">
        <v>615</v>
      </c>
      <c r="E15" s="91" t="s">
        <v>230</v>
      </c>
      <c r="F15" s="62" t="s">
        <v>23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79</v>
      </c>
      <c r="L15" s="66">
        <v>800</v>
      </c>
      <c r="M15" s="67"/>
      <c r="N15" s="66">
        <f t="shared" si="2"/>
        <v>800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250061</v>
      </c>
      <c r="AF15" s="62">
        <v>304</v>
      </c>
      <c r="AG15" s="64" t="s">
        <v>24</v>
      </c>
      <c r="AH15" s="67" t="s">
        <v>24</v>
      </c>
      <c r="AI15" s="65" t="s">
        <v>244</v>
      </c>
      <c r="AJ15" s="78" t="s">
        <v>119</v>
      </c>
      <c r="AK15" s="66">
        <v>540</v>
      </c>
      <c r="AL15" s="67"/>
      <c r="AM15" s="66">
        <f>AK15-AL15</f>
        <v>540</v>
      </c>
    </row>
    <row r="16" spans="1:39" s="76" customFormat="1" ht="100.05" customHeight="1" x14ac:dyDescent="0.3">
      <c r="A16" s="62">
        <v>250057</v>
      </c>
      <c r="B16" s="62">
        <v>304</v>
      </c>
      <c r="C16" s="64">
        <v>0.7</v>
      </c>
      <c r="D16" s="62">
        <v>324</v>
      </c>
      <c r="E16" s="91" t="s">
        <v>236</v>
      </c>
      <c r="F16" s="62" t="s">
        <v>23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79</v>
      </c>
      <c r="L16" s="66">
        <v>410</v>
      </c>
      <c r="M16" s="67"/>
      <c r="N16" s="66">
        <f t="shared" si="2"/>
        <v>410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230925</v>
      </c>
      <c r="AF16" s="62">
        <v>430</v>
      </c>
      <c r="AG16" s="64">
        <v>0.8</v>
      </c>
      <c r="AH16" s="67" t="s">
        <v>24</v>
      </c>
      <c r="AI16" s="65" t="s">
        <v>240</v>
      </c>
      <c r="AJ16" s="78" t="s">
        <v>241</v>
      </c>
      <c r="AK16" s="66">
        <v>6000</v>
      </c>
      <c r="AL16" s="67"/>
      <c r="AM16" s="66">
        <f>AK16-AL16</f>
        <v>6000</v>
      </c>
    </row>
    <row r="17" spans="1:40" s="76" customFormat="1" ht="100.05" customHeight="1" x14ac:dyDescent="0.3">
      <c r="A17" s="62">
        <v>250061</v>
      </c>
      <c r="B17" s="62">
        <v>304</v>
      </c>
      <c r="C17" s="64">
        <v>0.7</v>
      </c>
      <c r="D17" s="62">
        <v>324</v>
      </c>
      <c r="E17" s="91" t="s">
        <v>236</v>
      </c>
      <c r="F17" s="62" t="s">
        <v>23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540</v>
      </c>
      <c r="M17" s="67"/>
      <c r="N17" s="66">
        <f t="shared" si="2"/>
        <v>540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>
        <v>230925</v>
      </c>
      <c r="AF17" s="62">
        <v>430</v>
      </c>
      <c r="AG17" s="64">
        <v>0.8</v>
      </c>
      <c r="AH17" s="67" t="s">
        <v>24</v>
      </c>
      <c r="AI17" s="65" t="s">
        <v>242</v>
      </c>
      <c r="AJ17" s="78" t="s">
        <v>241</v>
      </c>
      <c r="AK17" s="66">
        <v>6000</v>
      </c>
      <c r="AL17" s="67"/>
      <c r="AM17" s="66">
        <f t="shared" si="0"/>
        <v>6000</v>
      </c>
    </row>
    <row r="18" spans="1:40" s="76" customFormat="1" ht="100.05" customHeight="1" x14ac:dyDescent="0.3">
      <c r="A18" s="62">
        <v>250057</v>
      </c>
      <c r="B18" s="62">
        <v>304</v>
      </c>
      <c r="C18" s="64">
        <v>0.7</v>
      </c>
      <c r="D18" s="62">
        <v>543</v>
      </c>
      <c r="E18" s="91" t="s">
        <v>237</v>
      </c>
      <c r="F18" s="62" t="s">
        <v>121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212</v>
      </c>
      <c r="L18" s="66">
        <v>410</v>
      </c>
      <c r="M18" s="67"/>
      <c r="N18" s="66">
        <f t="shared" si="2"/>
        <v>410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9040</v>
      </c>
      <c r="M20" s="71">
        <f>SUM(M4:M19)</f>
        <v>1430</v>
      </c>
      <c r="N20" s="66">
        <f>SUM(N4:N19)</f>
        <v>7610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15000</v>
      </c>
      <c r="AB20" s="71">
        <f>SUM(AB4:AB19)</f>
        <v>3510</v>
      </c>
      <c r="AC20" s="66">
        <f>SUM(AC4:AC19)</f>
        <v>11490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45.8000000000000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180925</v>
      </c>
      <c r="B24" s="62">
        <v>304</v>
      </c>
      <c r="C24" s="64">
        <v>0.7</v>
      </c>
      <c r="D24" s="62">
        <v>388</v>
      </c>
      <c r="E24" s="65" t="s">
        <v>220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2100</v>
      </c>
      <c r="M24" s="67">
        <f>825+1300</f>
        <v>2125</v>
      </c>
      <c r="N24" s="66">
        <f t="shared" ref="N24" si="3">L24-M24</f>
        <v>-25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7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250052</v>
      </c>
      <c r="B25" s="62">
        <v>304</v>
      </c>
      <c r="C25" s="64">
        <v>0.7</v>
      </c>
      <c r="D25" s="62">
        <v>323</v>
      </c>
      <c r="E25" s="91" t="s">
        <v>229</v>
      </c>
      <c r="F25" s="62" t="s">
        <v>23</v>
      </c>
      <c r="G25" s="62">
        <v>304</v>
      </c>
      <c r="H25" s="64">
        <v>0.6</v>
      </c>
      <c r="I25" s="62" t="s">
        <v>24</v>
      </c>
      <c r="J25" s="62" t="s">
        <v>24</v>
      </c>
      <c r="K25" s="62" t="s">
        <v>79</v>
      </c>
      <c r="L25" s="66">
        <v>800</v>
      </c>
      <c r="M25" s="67"/>
      <c r="N25" s="66">
        <f>L25-M25</f>
        <v>800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250055</v>
      </c>
      <c r="B26" s="62">
        <v>304</v>
      </c>
      <c r="C26" s="64">
        <v>0.7</v>
      </c>
      <c r="D26" s="62">
        <v>323</v>
      </c>
      <c r="E26" s="91" t="s">
        <v>229</v>
      </c>
      <c r="F26" s="62" t="s">
        <v>23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79</v>
      </c>
      <c r="L26" s="66">
        <v>830</v>
      </c>
      <c r="M26" s="67"/>
      <c r="N26" s="90">
        <f t="shared" ref="N26:N40" si="5">L26-M26</f>
        <v>830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250057</v>
      </c>
      <c r="B27" s="62">
        <v>304</v>
      </c>
      <c r="C27" s="64">
        <v>0.7</v>
      </c>
      <c r="D27" s="62">
        <v>323</v>
      </c>
      <c r="E27" s="91" t="s">
        <v>229</v>
      </c>
      <c r="F27" s="62" t="s">
        <v>23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79</v>
      </c>
      <c r="L27" s="66">
        <v>410</v>
      </c>
      <c r="M27" s="67"/>
      <c r="N27" s="66">
        <f t="shared" si="5"/>
        <v>410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250061</v>
      </c>
      <c r="B28" s="62">
        <v>304</v>
      </c>
      <c r="C28" s="64">
        <v>0.7</v>
      </c>
      <c r="D28" s="62">
        <v>323</v>
      </c>
      <c r="E28" s="91" t="s">
        <v>229</v>
      </c>
      <c r="F28" s="62" t="s">
        <v>23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79</v>
      </c>
      <c r="L28" s="66">
        <v>540</v>
      </c>
      <c r="M28" s="67"/>
      <c r="N28" s="66">
        <f t="shared" si="5"/>
        <v>540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250055</v>
      </c>
      <c r="B29" s="62">
        <v>304</v>
      </c>
      <c r="C29" s="64">
        <v>0.7</v>
      </c>
      <c r="D29" s="62">
        <v>505</v>
      </c>
      <c r="E29" s="91" t="s">
        <v>231</v>
      </c>
      <c r="F29" s="62" t="s">
        <v>23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830</v>
      </c>
      <c r="M29" s="67"/>
      <c r="N29" s="66">
        <f t="shared" si="5"/>
        <v>830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250057</v>
      </c>
      <c r="B30" s="62">
        <v>304</v>
      </c>
      <c r="C30" s="64">
        <v>0.7</v>
      </c>
      <c r="D30" s="62">
        <v>505</v>
      </c>
      <c r="E30" s="91" t="s">
        <v>231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410</v>
      </c>
      <c r="M30" s="67"/>
      <c r="N30" s="66">
        <f t="shared" si="5"/>
        <v>410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250061</v>
      </c>
      <c r="B31" s="62">
        <v>304</v>
      </c>
      <c r="C31" s="64">
        <v>0.7</v>
      </c>
      <c r="D31" s="62">
        <v>505</v>
      </c>
      <c r="E31" s="91" t="s">
        <v>231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79</v>
      </c>
      <c r="L31" s="66">
        <v>540</v>
      </c>
      <c r="M31" s="67"/>
      <c r="N31" s="66">
        <f t="shared" si="5"/>
        <v>540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250057</v>
      </c>
      <c r="B32" s="62">
        <v>304</v>
      </c>
      <c r="C32" s="64">
        <v>0.7</v>
      </c>
      <c r="D32" s="62">
        <v>397</v>
      </c>
      <c r="E32" s="91" t="s">
        <v>232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79</v>
      </c>
      <c r="L32" s="66">
        <v>410</v>
      </c>
      <c r="M32" s="67"/>
      <c r="N32" s="66">
        <f t="shared" si="5"/>
        <v>410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250052</v>
      </c>
      <c r="B33" s="62">
        <v>304</v>
      </c>
      <c r="C33" s="64">
        <v>0.7</v>
      </c>
      <c r="D33" s="62">
        <v>385</v>
      </c>
      <c r="E33" s="91" t="s">
        <v>233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800</v>
      </c>
      <c r="M33" s="67">
        <v>600</v>
      </c>
      <c r="N33" s="66">
        <f t="shared" si="5"/>
        <v>200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>
        <v>250055</v>
      </c>
      <c r="B34" s="62">
        <v>304</v>
      </c>
      <c r="C34" s="64">
        <v>0.7</v>
      </c>
      <c r="D34" s="62">
        <v>385</v>
      </c>
      <c r="E34" s="91" t="s">
        <v>233</v>
      </c>
      <c r="F34" s="62" t="s">
        <v>23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79</v>
      </c>
      <c r="L34" s="66">
        <v>830</v>
      </c>
      <c r="M34" s="67"/>
      <c r="N34" s="66">
        <f t="shared" si="5"/>
        <v>830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62">
        <v>250057</v>
      </c>
      <c r="B35" s="62">
        <v>304</v>
      </c>
      <c r="C35" s="64">
        <v>0.7</v>
      </c>
      <c r="D35" s="62">
        <v>355</v>
      </c>
      <c r="E35" s="91" t="s">
        <v>234</v>
      </c>
      <c r="F35" s="62" t="s">
        <v>23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79</v>
      </c>
      <c r="L35" s="66">
        <v>410</v>
      </c>
      <c r="M35" s="67">
        <f>60+355</f>
        <v>415</v>
      </c>
      <c r="N35" s="66">
        <f t="shared" si="5"/>
        <v>-5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62">
        <v>250061</v>
      </c>
      <c r="B36" s="62">
        <v>304</v>
      </c>
      <c r="C36" s="64">
        <v>0.7</v>
      </c>
      <c r="D36" s="62">
        <v>355</v>
      </c>
      <c r="E36" s="91" t="s">
        <v>234</v>
      </c>
      <c r="F36" s="62" t="s">
        <v>23</v>
      </c>
      <c r="G36" s="62">
        <v>304</v>
      </c>
      <c r="H36" s="64">
        <v>0.6</v>
      </c>
      <c r="I36" s="62" t="s">
        <v>24</v>
      </c>
      <c r="J36" s="62" t="s">
        <v>24</v>
      </c>
      <c r="K36" s="62" t="s">
        <v>79</v>
      </c>
      <c r="L36" s="66">
        <v>540</v>
      </c>
      <c r="M36" s="67">
        <v>645</v>
      </c>
      <c r="N36" s="66">
        <f t="shared" si="5"/>
        <v>-105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4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2">
        <v>250057</v>
      </c>
      <c r="B37" s="62">
        <v>304</v>
      </c>
      <c r="C37" s="64">
        <v>0.7</v>
      </c>
      <c r="D37" s="62">
        <v>293</v>
      </c>
      <c r="E37" s="86" t="s">
        <v>235</v>
      </c>
      <c r="F37" s="62" t="s">
        <v>23</v>
      </c>
      <c r="G37" s="62">
        <v>304</v>
      </c>
      <c r="H37" s="64">
        <v>0.6</v>
      </c>
      <c r="I37" s="62" t="s">
        <v>24</v>
      </c>
      <c r="J37" s="62" t="s">
        <v>24</v>
      </c>
      <c r="K37" s="62" t="s">
        <v>79</v>
      </c>
      <c r="L37" s="66">
        <v>410</v>
      </c>
      <c r="M37" s="67"/>
      <c r="N37" s="66">
        <f t="shared" si="5"/>
        <v>410</v>
      </c>
      <c r="P37" s="62"/>
      <c r="Q37" s="62"/>
      <c r="R37" s="64"/>
      <c r="S37" s="62"/>
      <c r="T37" s="65"/>
      <c r="U37" s="62"/>
      <c r="V37" s="62"/>
      <c r="W37" s="64"/>
      <c r="X37" s="62"/>
      <c r="Y37" s="62"/>
      <c r="Z37" s="62"/>
      <c r="AA37" s="66"/>
      <c r="AB37" s="67"/>
      <c r="AC37" s="66">
        <f t="shared" si="4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hidden="1" customHeight="1" x14ac:dyDescent="0.3">
      <c r="A38" s="62"/>
      <c r="B38" s="62"/>
      <c r="C38" s="64"/>
      <c r="D38" s="62"/>
      <c r="E38" s="65"/>
      <c r="F38" s="62"/>
      <c r="G38" s="62"/>
      <c r="H38" s="64"/>
      <c r="I38" s="62"/>
      <c r="J38" s="62"/>
      <c r="K38" s="62"/>
      <c r="L38" s="66"/>
      <c r="M38" s="67"/>
      <c r="N38" s="66"/>
      <c r="P38" s="62"/>
      <c r="Q38" s="62"/>
      <c r="R38" s="64"/>
      <c r="S38" s="62"/>
      <c r="T38" s="65"/>
      <c r="U38" s="62"/>
      <c r="V38" s="62"/>
      <c r="W38" s="64"/>
      <c r="X38" s="62"/>
      <c r="Y38" s="62"/>
      <c r="Z38" s="62"/>
      <c r="AA38" s="66"/>
      <c r="AB38" s="67"/>
      <c r="AC38" s="66"/>
      <c r="AD38" s="75"/>
      <c r="AE38" s="62"/>
      <c r="AF38" s="62"/>
      <c r="AG38" s="64"/>
      <c r="AH38" s="67"/>
      <c r="AI38" s="65"/>
      <c r="AJ38" s="78"/>
      <c r="AK38" s="66"/>
      <c r="AL38" s="67"/>
      <c r="AM38" s="66"/>
      <c r="AN38" s="75"/>
    </row>
    <row r="39" spans="1:40" s="76" customFormat="1" ht="100.05" hidden="1" customHeight="1" x14ac:dyDescent="0.3">
      <c r="A39" s="62"/>
      <c r="B39" s="62"/>
      <c r="C39" s="64"/>
      <c r="D39" s="62"/>
      <c r="E39" s="65"/>
      <c r="F39" s="62"/>
      <c r="G39" s="62"/>
      <c r="H39" s="64"/>
      <c r="I39" s="62"/>
      <c r="J39" s="62"/>
      <c r="K39" s="62"/>
      <c r="L39" s="66"/>
      <c r="M39" s="67"/>
      <c r="N39" s="66"/>
      <c r="P39" s="62"/>
      <c r="Q39" s="62"/>
      <c r="R39" s="64"/>
      <c r="S39" s="62"/>
      <c r="T39" s="65"/>
      <c r="U39" s="62"/>
      <c r="V39" s="62"/>
      <c r="W39" s="64"/>
      <c r="X39" s="62"/>
      <c r="Y39" s="62"/>
      <c r="Z39" s="62"/>
      <c r="AA39" s="66"/>
      <c r="AB39" s="67"/>
      <c r="AC39" s="66"/>
      <c r="AD39" s="75"/>
      <c r="AE39" s="62"/>
      <c r="AF39" s="62"/>
      <c r="AG39" s="64"/>
      <c r="AH39" s="67"/>
      <c r="AI39" s="65"/>
      <c r="AJ39" s="78"/>
      <c r="AK39" s="66"/>
      <c r="AL39" s="67"/>
      <c r="AM39" s="66"/>
      <c r="AN39" s="75"/>
    </row>
    <row r="40" spans="1:40" s="76" customFormat="1" ht="100.05" customHeight="1" x14ac:dyDescent="0.3">
      <c r="A40" s="62"/>
      <c r="B40" s="62"/>
      <c r="C40" s="64"/>
      <c r="D40" s="62"/>
      <c r="E40" s="65"/>
      <c r="F40" s="62"/>
      <c r="G40" s="62"/>
      <c r="H40" s="64"/>
      <c r="I40" s="62"/>
      <c r="J40" s="62"/>
      <c r="K40" s="62"/>
      <c r="L40" s="62"/>
      <c r="M40" s="67"/>
      <c r="N40" s="66">
        <f t="shared" si="5"/>
        <v>0</v>
      </c>
      <c r="P40" s="68"/>
      <c r="Q40" s="68"/>
      <c r="R40" s="69"/>
      <c r="S40" s="68"/>
      <c r="T40" s="70"/>
      <c r="U40" s="68"/>
      <c r="V40" s="68"/>
      <c r="W40" s="69"/>
      <c r="X40" s="68"/>
      <c r="Y40" s="68"/>
      <c r="Z40" s="68"/>
      <c r="AA40" s="66">
        <f>SUM(AA24:AA27)</f>
        <v>0</v>
      </c>
      <c r="AB40" s="71">
        <f>SUM(AB24:AB27)</f>
        <v>0</v>
      </c>
      <c r="AC40" s="66">
        <f>SUM(AC24:AC27)</f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100.05" customHeight="1" x14ac:dyDescent="0.3">
      <c r="A41" s="68"/>
      <c r="B41" s="68"/>
      <c r="C41" s="69"/>
      <c r="D41" s="68"/>
      <c r="E41" s="70"/>
      <c r="F41" s="68"/>
      <c r="G41" s="68"/>
      <c r="H41" s="69"/>
      <c r="I41" s="68"/>
      <c r="J41" s="68"/>
      <c r="K41" s="68"/>
      <c r="L41" s="66">
        <f>SUM(L24:L40)</f>
        <v>9860</v>
      </c>
      <c r="M41" s="71">
        <f>SUM(M24:M40)</f>
        <v>3785</v>
      </c>
      <c r="N41" s="66">
        <f>SUM(N24:N40)</f>
        <v>6075</v>
      </c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68"/>
      <c r="AF41" s="68"/>
      <c r="AG41" s="69"/>
      <c r="AH41" s="68"/>
      <c r="AI41" s="70"/>
      <c r="AJ41" s="80"/>
      <c r="AK41" s="66">
        <f>SUM(AK4:AK40)</f>
        <v>30700</v>
      </c>
      <c r="AL41" s="71">
        <f>SUM(AL4:AL40)</f>
        <v>2970</v>
      </c>
      <c r="AM41" s="66">
        <f>SUM(AM4:AM40)</f>
        <v>27730</v>
      </c>
      <c r="AN41" s="75"/>
    </row>
    <row r="42" spans="1:40" s="75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5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 spans="1:40" s="75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E56" s="79"/>
      <c r="AF56" s="79"/>
      <c r="AG56" s="79"/>
      <c r="AH56" s="79"/>
      <c r="AI56" s="79"/>
      <c r="AJ56" s="79"/>
      <c r="AK56" s="79"/>
      <c r="AL56" s="79"/>
      <c r="AM56" s="79"/>
    </row>
    <row r="57" spans="1:40" s="75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E57" s="79"/>
      <c r="AF57" s="79"/>
      <c r="AG57" s="79"/>
      <c r="AH57" s="79"/>
      <c r="AI57" s="79"/>
      <c r="AJ57" s="79"/>
      <c r="AK57" s="79"/>
      <c r="AL57" s="79"/>
      <c r="AM57" s="79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  <row r="64" spans="1:40" s="56" customFormat="1" ht="100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2"/>
      <c r="AN64" s="3"/>
    </row>
    <row r="65" spans="1:40" s="56" customFormat="1" ht="100.0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2"/>
      <c r="AN65" s="3"/>
    </row>
    <row r="66" spans="1:40" s="56" customFormat="1" ht="100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2"/>
      <c r="AN66" s="3"/>
    </row>
    <row r="67" spans="1:40" s="56" customFormat="1" ht="100.0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2"/>
      <c r="AN67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5" orientation="portrait" horizontalDpi="1200" verticalDpi="120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7"/>
  <sheetViews>
    <sheetView zoomScale="25" zoomScaleNormal="25" workbookViewId="0">
      <selection activeCell="M29" sqref="M29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45941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45941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160925</v>
      </c>
      <c r="B4" s="62">
        <v>304</v>
      </c>
      <c r="C4" s="64">
        <v>0.9</v>
      </c>
      <c r="D4" s="62">
        <v>510</v>
      </c>
      <c r="E4" s="86" t="s">
        <v>211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1100</v>
      </c>
      <c r="M4" s="67"/>
      <c r="N4" s="66">
        <f>L4-M4</f>
        <v>1100</v>
      </c>
      <c r="P4" s="62">
        <v>230925</v>
      </c>
      <c r="Q4" s="62">
        <v>430</v>
      </c>
      <c r="R4" s="64">
        <v>0.8</v>
      </c>
      <c r="S4" s="62">
        <v>425</v>
      </c>
      <c r="T4" s="65" t="s">
        <v>238</v>
      </c>
      <c r="U4" s="62" t="s">
        <v>23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>
        <f>400+1000</f>
        <v>1400</v>
      </c>
      <c r="AC4" s="66">
        <f>AA4-AB4</f>
        <v>4600</v>
      </c>
      <c r="AE4" s="62" t="s">
        <v>126</v>
      </c>
      <c r="AF4" s="62">
        <v>304</v>
      </c>
      <c r="AG4" s="64">
        <v>0.9</v>
      </c>
      <c r="AH4" s="77"/>
      <c r="AI4" s="65" t="s">
        <v>165</v>
      </c>
      <c r="AJ4" s="78" t="s">
        <v>119</v>
      </c>
      <c r="AK4" s="66">
        <v>1200</v>
      </c>
      <c r="AL4" s="67"/>
      <c r="AM4" s="66">
        <f t="shared" ref="AM4:AM40" si="0">AK4-AL4</f>
        <v>1200</v>
      </c>
    </row>
    <row r="5" spans="1:39" s="76" customFormat="1" ht="100.05" customHeight="1" x14ac:dyDescent="0.3">
      <c r="A5" s="62">
        <v>250042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/>
      <c r="N5" s="66">
        <f>L5-M5</f>
        <v>750</v>
      </c>
      <c r="P5" s="62">
        <v>230925</v>
      </c>
      <c r="Q5" s="62">
        <v>430</v>
      </c>
      <c r="R5" s="64">
        <v>0.8</v>
      </c>
      <c r="S5" s="62">
        <v>425</v>
      </c>
      <c r="T5" s="65" t="s">
        <v>239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 t="shared" ref="AC5:AC19" si="1">AA5-AB5</f>
        <v>6000</v>
      </c>
      <c r="AE5" s="62" t="s">
        <v>126</v>
      </c>
      <c r="AF5" s="62">
        <v>304</v>
      </c>
      <c r="AG5" s="64">
        <v>0.9</v>
      </c>
      <c r="AH5" s="77"/>
      <c r="AI5" s="65" t="s">
        <v>164</v>
      </c>
      <c r="AJ5" s="78" t="s">
        <v>119</v>
      </c>
      <c r="AK5" s="66">
        <v>1500</v>
      </c>
      <c r="AL5" s="67"/>
      <c r="AM5" s="66">
        <f t="shared" si="0"/>
        <v>1500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543</v>
      </c>
      <c r="E6" s="86" t="s">
        <v>224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 t="s">
        <v>126</v>
      </c>
      <c r="AF6" s="62">
        <v>304</v>
      </c>
      <c r="AG6" s="64">
        <v>0.9</v>
      </c>
      <c r="AH6" s="67"/>
      <c r="AI6" s="65" t="s">
        <v>163</v>
      </c>
      <c r="AJ6" s="78" t="s">
        <v>119</v>
      </c>
      <c r="AK6" s="66">
        <v>1500</v>
      </c>
      <c r="AL6" s="67"/>
      <c r="AM6" s="66">
        <f t="shared" si="0"/>
        <v>1500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560</v>
      </c>
      <c r="E7" s="86" t="s">
        <v>225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160925</v>
      </c>
      <c r="AF7" s="62">
        <v>304</v>
      </c>
      <c r="AG7" s="64">
        <v>0.9</v>
      </c>
      <c r="AH7" s="67"/>
      <c r="AI7" s="65" t="s">
        <v>167</v>
      </c>
      <c r="AJ7" s="78" t="s">
        <v>119</v>
      </c>
      <c r="AK7" s="66">
        <v>1100</v>
      </c>
      <c r="AL7" s="67"/>
      <c r="AM7" s="66">
        <f t="shared" si="0"/>
        <v>1100</v>
      </c>
    </row>
    <row r="8" spans="1:39" s="76" customFormat="1" ht="100.05" customHeight="1" x14ac:dyDescent="0.3">
      <c r="A8" s="62">
        <v>250055</v>
      </c>
      <c r="B8" s="62">
        <v>304</v>
      </c>
      <c r="C8" s="64">
        <v>0.7</v>
      </c>
      <c r="D8" s="62">
        <v>435</v>
      </c>
      <c r="E8" s="91" t="s">
        <v>226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830</v>
      </c>
      <c r="M8" s="67">
        <f>625+210</f>
        <v>835</v>
      </c>
      <c r="N8" s="66">
        <f t="shared" ref="N8:N19" si="2">L8-M8</f>
        <v>-5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290925</v>
      </c>
      <c r="AF8" s="62">
        <v>304</v>
      </c>
      <c r="AG8" s="64" t="s">
        <v>24</v>
      </c>
      <c r="AH8" s="67" t="s">
        <v>24</v>
      </c>
      <c r="AI8" s="65" t="s">
        <v>246</v>
      </c>
      <c r="AJ8" s="78" t="s">
        <v>119</v>
      </c>
      <c r="AK8" s="66">
        <v>4000</v>
      </c>
      <c r="AL8" s="67">
        <f>1400+1700</f>
        <v>3100</v>
      </c>
      <c r="AM8" s="66">
        <f t="shared" si="0"/>
        <v>900</v>
      </c>
    </row>
    <row r="9" spans="1:39" s="76" customFormat="1" ht="100.05" customHeight="1" x14ac:dyDescent="0.3">
      <c r="A9" s="62">
        <v>250057</v>
      </c>
      <c r="B9" s="62">
        <v>304</v>
      </c>
      <c r="C9" s="64">
        <v>0.7</v>
      </c>
      <c r="D9" s="62">
        <v>435</v>
      </c>
      <c r="E9" s="91" t="s">
        <v>226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410</v>
      </c>
      <c r="M9" s="67">
        <v>415</v>
      </c>
      <c r="N9" s="66">
        <f t="shared" si="2"/>
        <v>-5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290925</v>
      </c>
      <c r="AF9" s="62">
        <v>304</v>
      </c>
      <c r="AG9" s="64" t="s">
        <v>24</v>
      </c>
      <c r="AH9" s="67" t="s">
        <v>24</v>
      </c>
      <c r="AI9" s="65" t="s">
        <v>203</v>
      </c>
      <c r="AJ9" s="78" t="s">
        <v>119</v>
      </c>
      <c r="AK9" s="66">
        <v>3000</v>
      </c>
      <c r="AL9" s="67"/>
      <c r="AM9" s="66">
        <f t="shared" si="0"/>
        <v>3000</v>
      </c>
    </row>
    <row r="10" spans="1:39" s="76" customFormat="1" ht="100.05" customHeight="1" x14ac:dyDescent="0.3">
      <c r="A10" s="62">
        <v>250061</v>
      </c>
      <c r="B10" s="62">
        <v>304</v>
      </c>
      <c r="C10" s="64">
        <v>0.7</v>
      </c>
      <c r="D10" s="62">
        <v>435</v>
      </c>
      <c r="E10" s="91" t="s">
        <v>226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540</v>
      </c>
      <c r="M10" s="67">
        <f>375</f>
        <v>375</v>
      </c>
      <c r="N10" s="66">
        <f t="shared" si="2"/>
        <v>165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290925</v>
      </c>
      <c r="AF10" s="62">
        <v>304</v>
      </c>
      <c r="AG10" s="64" t="s">
        <v>24</v>
      </c>
      <c r="AH10" s="67" t="s">
        <v>24</v>
      </c>
      <c r="AI10" s="65" t="s">
        <v>204</v>
      </c>
      <c r="AJ10" s="78" t="s">
        <v>119</v>
      </c>
      <c r="AK10" s="66">
        <v>3000</v>
      </c>
      <c r="AL10" s="67"/>
      <c r="AM10" s="66">
        <f t="shared" si="0"/>
        <v>3000</v>
      </c>
    </row>
    <row r="11" spans="1:39" s="76" customFormat="1" ht="100.05" customHeight="1" x14ac:dyDescent="0.3">
      <c r="A11" s="62">
        <v>250057</v>
      </c>
      <c r="B11" s="62">
        <v>304</v>
      </c>
      <c r="C11" s="64">
        <v>0.7</v>
      </c>
      <c r="D11" s="62" t="s">
        <v>24</v>
      </c>
      <c r="E11" s="91" t="s">
        <v>228</v>
      </c>
      <c r="F11" s="62" t="s">
        <v>23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79</v>
      </c>
      <c r="L11" s="66">
        <v>410</v>
      </c>
      <c r="M11" s="67"/>
      <c r="N11" s="66">
        <f t="shared" si="2"/>
        <v>410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250057</v>
      </c>
      <c r="AF11" s="62">
        <v>304</v>
      </c>
      <c r="AG11" s="64" t="s">
        <v>24</v>
      </c>
      <c r="AH11" s="67" t="s">
        <v>24</v>
      </c>
      <c r="AI11" s="65" t="s">
        <v>243</v>
      </c>
      <c r="AJ11" s="78" t="s">
        <v>119</v>
      </c>
      <c r="AK11" s="66">
        <v>410</v>
      </c>
      <c r="AL11" s="67"/>
      <c r="AM11" s="66">
        <f t="shared" si="0"/>
        <v>410</v>
      </c>
    </row>
    <row r="12" spans="1:39" s="76" customFormat="1" ht="100.05" customHeight="1" x14ac:dyDescent="0.3">
      <c r="A12" s="62">
        <v>250061</v>
      </c>
      <c r="B12" s="62">
        <v>304</v>
      </c>
      <c r="C12" s="64">
        <v>0.7</v>
      </c>
      <c r="D12" s="62" t="s">
        <v>24</v>
      </c>
      <c r="E12" s="91" t="s">
        <v>228</v>
      </c>
      <c r="F12" s="62" t="s">
        <v>23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79</v>
      </c>
      <c r="L12" s="66">
        <v>540</v>
      </c>
      <c r="M12" s="67"/>
      <c r="N12" s="66">
        <f t="shared" si="2"/>
        <v>540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250057</v>
      </c>
      <c r="AF12" s="62">
        <v>304</v>
      </c>
      <c r="AG12" s="64" t="s">
        <v>24</v>
      </c>
      <c r="AH12" s="67" t="s">
        <v>24</v>
      </c>
      <c r="AI12" s="65" t="s">
        <v>244</v>
      </c>
      <c r="AJ12" s="78" t="s">
        <v>119</v>
      </c>
      <c r="AK12" s="66">
        <v>410</v>
      </c>
      <c r="AL12" s="67"/>
      <c r="AM12" s="66">
        <f t="shared" si="0"/>
        <v>410</v>
      </c>
    </row>
    <row r="13" spans="1:39" s="76" customFormat="1" ht="99.6" customHeight="1" x14ac:dyDescent="0.3">
      <c r="A13" s="62">
        <v>250052</v>
      </c>
      <c r="B13" s="62">
        <v>304</v>
      </c>
      <c r="C13" s="64">
        <v>0.7</v>
      </c>
      <c r="D13" s="62">
        <v>615</v>
      </c>
      <c r="E13" s="91" t="s">
        <v>230</v>
      </c>
      <c r="F13" s="62" t="s">
        <v>23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79</v>
      </c>
      <c r="L13" s="66">
        <v>800</v>
      </c>
      <c r="M13" s="67"/>
      <c r="N13" s="66">
        <f t="shared" si="2"/>
        <v>800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250061</v>
      </c>
      <c r="AF13" s="62">
        <v>304</v>
      </c>
      <c r="AG13" s="64" t="s">
        <v>24</v>
      </c>
      <c r="AH13" s="67" t="s">
        <v>24</v>
      </c>
      <c r="AI13" s="65" t="s">
        <v>245</v>
      </c>
      <c r="AJ13" s="78" t="s">
        <v>119</v>
      </c>
      <c r="AK13" s="66">
        <v>540</v>
      </c>
      <c r="AL13" s="67"/>
      <c r="AM13" s="66">
        <f t="shared" si="0"/>
        <v>540</v>
      </c>
    </row>
    <row r="14" spans="1:39" s="76" customFormat="1" ht="99.6" customHeight="1" x14ac:dyDescent="0.3">
      <c r="A14" s="62">
        <v>250057</v>
      </c>
      <c r="B14" s="62">
        <v>304</v>
      </c>
      <c r="C14" s="64">
        <v>0.7</v>
      </c>
      <c r="D14" s="62">
        <v>324</v>
      </c>
      <c r="E14" s="91" t="s">
        <v>236</v>
      </c>
      <c r="F14" s="62" t="s">
        <v>23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79</v>
      </c>
      <c r="L14" s="66">
        <v>410</v>
      </c>
      <c r="M14" s="67"/>
      <c r="N14" s="66">
        <f t="shared" si="2"/>
        <v>410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250061</v>
      </c>
      <c r="AF14" s="62">
        <v>304</v>
      </c>
      <c r="AG14" s="64" t="s">
        <v>24</v>
      </c>
      <c r="AH14" s="67" t="s">
        <v>24</v>
      </c>
      <c r="AI14" s="65" t="s">
        <v>244</v>
      </c>
      <c r="AJ14" s="78" t="s">
        <v>119</v>
      </c>
      <c r="AK14" s="66">
        <v>540</v>
      </c>
      <c r="AL14" s="67"/>
      <c r="AM14" s="66">
        <f t="shared" si="0"/>
        <v>540</v>
      </c>
    </row>
    <row r="15" spans="1:39" s="76" customFormat="1" ht="99.6" customHeight="1" x14ac:dyDescent="0.3">
      <c r="A15" s="62">
        <v>250061</v>
      </c>
      <c r="B15" s="62">
        <v>304</v>
      </c>
      <c r="C15" s="64">
        <v>0.7</v>
      </c>
      <c r="D15" s="62">
        <v>324</v>
      </c>
      <c r="E15" s="91" t="s">
        <v>236</v>
      </c>
      <c r="F15" s="62" t="s">
        <v>23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79</v>
      </c>
      <c r="L15" s="66">
        <v>540</v>
      </c>
      <c r="M15" s="67"/>
      <c r="N15" s="66">
        <f t="shared" si="2"/>
        <v>540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230925</v>
      </c>
      <c r="AF15" s="62">
        <v>430</v>
      </c>
      <c r="AG15" s="64">
        <v>0.8</v>
      </c>
      <c r="AH15" s="67" t="s">
        <v>24</v>
      </c>
      <c r="AI15" s="65" t="s">
        <v>240</v>
      </c>
      <c r="AJ15" s="78" t="s">
        <v>241</v>
      </c>
      <c r="AK15" s="66">
        <v>6000</v>
      </c>
      <c r="AL15" s="67"/>
      <c r="AM15" s="66">
        <f>AK15-AL15</f>
        <v>6000</v>
      </c>
    </row>
    <row r="16" spans="1:39" s="76" customFormat="1" ht="100.05" customHeight="1" x14ac:dyDescent="0.3">
      <c r="A16" s="62">
        <v>250057</v>
      </c>
      <c r="B16" s="62">
        <v>304</v>
      </c>
      <c r="C16" s="64">
        <v>0.7</v>
      </c>
      <c r="D16" s="62">
        <v>543</v>
      </c>
      <c r="E16" s="91" t="s">
        <v>237</v>
      </c>
      <c r="F16" s="62" t="s">
        <v>121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212</v>
      </c>
      <c r="L16" s="66">
        <v>410</v>
      </c>
      <c r="M16" s="67"/>
      <c r="N16" s="66">
        <f t="shared" si="2"/>
        <v>410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230925</v>
      </c>
      <c r="AF16" s="62">
        <v>430</v>
      </c>
      <c r="AG16" s="64">
        <v>0.8</v>
      </c>
      <c r="AH16" s="67" t="s">
        <v>24</v>
      </c>
      <c r="AI16" s="65" t="s">
        <v>242</v>
      </c>
      <c r="AJ16" s="78" t="s">
        <v>241</v>
      </c>
      <c r="AK16" s="66">
        <v>6000</v>
      </c>
      <c r="AL16" s="67"/>
      <c r="AM16" s="66">
        <f>AK16-AL16</f>
        <v>6000</v>
      </c>
    </row>
    <row r="17" spans="1:40" s="76" customFormat="1" ht="100.05" customHeight="1" x14ac:dyDescent="0.3">
      <c r="A17" s="62"/>
      <c r="B17" s="62"/>
      <c r="C17" s="64"/>
      <c r="D17" s="62"/>
      <c r="E17" s="91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/>
      <c r="B18" s="62"/>
      <c r="C18" s="64"/>
      <c r="D18" s="62"/>
      <c r="E18" s="91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8240</v>
      </c>
      <c r="M20" s="71">
        <f>SUM(M4:M19)</f>
        <v>1625</v>
      </c>
      <c r="N20" s="66">
        <f>SUM(N4:N19)</f>
        <v>6615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12000</v>
      </c>
      <c r="AB20" s="71">
        <f>SUM(AB4:AB19)</f>
        <v>1400</v>
      </c>
      <c r="AC20" s="66">
        <f>SUM(AC4:AC19)</f>
        <v>10600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45.8000000000000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250052</v>
      </c>
      <c r="B24" s="62">
        <v>304</v>
      </c>
      <c r="C24" s="64">
        <v>0.7</v>
      </c>
      <c r="D24" s="62">
        <v>323</v>
      </c>
      <c r="E24" s="91" t="s">
        <v>229</v>
      </c>
      <c r="F24" s="62" t="s">
        <v>23</v>
      </c>
      <c r="G24" s="62">
        <v>304</v>
      </c>
      <c r="H24" s="64">
        <v>0.6</v>
      </c>
      <c r="I24" s="62" t="s">
        <v>24</v>
      </c>
      <c r="J24" s="62" t="s">
        <v>24</v>
      </c>
      <c r="K24" s="62" t="s">
        <v>79</v>
      </c>
      <c r="L24" s="66">
        <v>800</v>
      </c>
      <c r="M24" s="67"/>
      <c r="N24" s="66">
        <f t="shared" ref="N24" si="3">L24-M24</f>
        <v>800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7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250055</v>
      </c>
      <c r="B25" s="62">
        <v>304</v>
      </c>
      <c r="C25" s="64">
        <v>0.7</v>
      </c>
      <c r="D25" s="62">
        <v>323</v>
      </c>
      <c r="E25" s="91" t="s">
        <v>229</v>
      </c>
      <c r="F25" s="62" t="s">
        <v>23</v>
      </c>
      <c r="G25" s="62">
        <v>304</v>
      </c>
      <c r="H25" s="64">
        <v>0.6</v>
      </c>
      <c r="I25" s="62" t="s">
        <v>24</v>
      </c>
      <c r="J25" s="62" t="s">
        <v>24</v>
      </c>
      <c r="K25" s="62" t="s">
        <v>79</v>
      </c>
      <c r="L25" s="66">
        <v>830</v>
      </c>
      <c r="M25" s="67"/>
      <c r="N25" s="66">
        <f>L25-M25</f>
        <v>830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250057</v>
      </c>
      <c r="B26" s="62">
        <v>304</v>
      </c>
      <c r="C26" s="64">
        <v>0.7</v>
      </c>
      <c r="D26" s="62">
        <v>323</v>
      </c>
      <c r="E26" s="91" t="s">
        <v>229</v>
      </c>
      <c r="F26" s="62" t="s">
        <v>23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79</v>
      </c>
      <c r="L26" s="66">
        <v>410</v>
      </c>
      <c r="M26" s="67"/>
      <c r="N26" s="90">
        <f t="shared" ref="N26:N40" si="5">L26-M26</f>
        <v>410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250061</v>
      </c>
      <c r="B27" s="62">
        <v>304</v>
      </c>
      <c r="C27" s="64">
        <v>0.7</v>
      </c>
      <c r="D27" s="62">
        <v>323</v>
      </c>
      <c r="E27" s="91" t="s">
        <v>229</v>
      </c>
      <c r="F27" s="62" t="s">
        <v>23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79</v>
      </c>
      <c r="L27" s="66">
        <v>540</v>
      </c>
      <c r="M27" s="67"/>
      <c r="N27" s="66">
        <f t="shared" si="5"/>
        <v>540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250055</v>
      </c>
      <c r="B28" s="62">
        <v>304</v>
      </c>
      <c r="C28" s="64">
        <v>0.7</v>
      </c>
      <c r="D28" s="62">
        <v>505</v>
      </c>
      <c r="E28" s="91" t="s">
        <v>231</v>
      </c>
      <c r="F28" s="62" t="s">
        <v>23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79</v>
      </c>
      <c r="L28" s="66">
        <v>830</v>
      </c>
      <c r="M28" s="67">
        <v>450</v>
      </c>
      <c r="N28" s="66">
        <f t="shared" si="5"/>
        <v>380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250057</v>
      </c>
      <c r="B29" s="62">
        <v>304</v>
      </c>
      <c r="C29" s="64">
        <v>0.7</v>
      </c>
      <c r="D29" s="62">
        <v>505</v>
      </c>
      <c r="E29" s="91" t="s">
        <v>231</v>
      </c>
      <c r="F29" s="62" t="s">
        <v>23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410</v>
      </c>
      <c r="M29" s="67"/>
      <c r="N29" s="66">
        <f t="shared" si="5"/>
        <v>410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250061</v>
      </c>
      <c r="B30" s="62">
        <v>304</v>
      </c>
      <c r="C30" s="64">
        <v>0.7</v>
      </c>
      <c r="D30" s="62">
        <v>505</v>
      </c>
      <c r="E30" s="91" t="s">
        <v>231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540</v>
      </c>
      <c r="M30" s="67"/>
      <c r="N30" s="66">
        <f t="shared" si="5"/>
        <v>540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250057</v>
      </c>
      <c r="B31" s="62">
        <v>304</v>
      </c>
      <c r="C31" s="64">
        <v>0.7</v>
      </c>
      <c r="D31" s="62">
        <v>397</v>
      </c>
      <c r="E31" s="91" t="s">
        <v>232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79</v>
      </c>
      <c r="L31" s="66">
        <v>410</v>
      </c>
      <c r="M31" s="67"/>
      <c r="N31" s="66">
        <f t="shared" si="5"/>
        <v>410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250052</v>
      </c>
      <c r="B32" s="62">
        <v>304</v>
      </c>
      <c r="C32" s="64">
        <v>0.7</v>
      </c>
      <c r="D32" s="62">
        <v>385</v>
      </c>
      <c r="E32" s="91" t="s">
        <v>233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79</v>
      </c>
      <c r="L32" s="66">
        <v>800</v>
      </c>
      <c r="M32" s="67">
        <f>600+205</f>
        <v>805</v>
      </c>
      <c r="N32" s="66">
        <f t="shared" si="5"/>
        <v>-5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250055</v>
      </c>
      <c r="B33" s="62">
        <v>304</v>
      </c>
      <c r="C33" s="64">
        <v>0.7</v>
      </c>
      <c r="D33" s="62">
        <v>385</v>
      </c>
      <c r="E33" s="91" t="s">
        <v>233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830</v>
      </c>
      <c r="M33" s="67">
        <f>545</f>
        <v>545</v>
      </c>
      <c r="N33" s="66">
        <f t="shared" si="5"/>
        <v>285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>
        <v>250057</v>
      </c>
      <c r="B34" s="62">
        <v>304</v>
      </c>
      <c r="C34" s="64">
        <v>0.7</v>
      </c>
      <c r="D34" s="62">
        <v>293</v>
      </c>
      <c r="E34" s="86" t="s">
        <v>235</v>
      </c>
      <c r="F34" s="62" t="s">
        <v>23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79</v>
      </c>
      <c r="L34" s="66">
        <v>410</v>
      </c>
      <c r="M34" s="67"/>
      <c r="N34" s="66">
        <f t="shared" si="5"/>
        <v>410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62"/>
      <c r="B35" s="62"/>
      <c r="C35" s="64"/>
      <c r="D35" s="62"/>
      <c r="E35" s="86"/>
      <c r="F35" s="62"/>
      <c r="G35" s="62"/>
      <c r="H35" s="64"/>
      <c r="I35" s="62"/>
      <c r="J35" s="62"/>
      <c r="K35" s="62"/>
      <c r="L35" s="66"/>
      <c r="M35" s="67"/>
      <c r="N35" s="66">
        <f t="shared" si="5"/>
        <v>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62"/>
      <c r="B36" s="62"/>
      <c r="C36" s="64"/>
      <c r="D36" s="62"/>
      <c r="E36" s="91"/>
      <c r="F36" s="62"/>
      <c r="G36" s="62"/>
      <c r="H36" s="64"/>
      <c r="I36" s="62"/>
      <c r="J36" s="62"/>
      <c r="K36" s="62"/>
      <c r="L36" s="66"/>
      <c r="M36" s="67"/>
      <c r="N36" s="66">
        <f t="shared" si="5"/>
        <v>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4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2"/>
      <c r="B37" s="62"/>
      <c r="C37" s="64"/>
      <c r="D37" s="62"/>
      <c r="E37" s="86"/>
      <c r="F37" s="62"/>
      <c r="G37" s="62"/>
      <c r="H37" s="64"/>
      <c r="I37" s="62"/>
      <c r="J37" s="62"/>
      <c r="K37" s="62"/>
      <c r="L37" s="66"/>
      <c r="M37" s="67"/>
      <c r="N37" s="66">
        <f t="shared" si="5"/>
        <v>0</v>
      </c>
      <c r="P37" s="62"/>
      <c r="Q37" s="62"/>
      <c r="R37" s="64"/>
      <c r="S37" s="62"/>
      <c r="T37" s="65"/>
      <c r="U37" s="62"/>
      <c r="V37" s="62"/>
      <c r="W37" s="64"/>
      <c r="X37" s="62"/>
      <c r="Y37" s="62"/>
      <c r="Z37" s="62"/>
      <c r="AA37" s="66"/>
      <c r="AB37" s="67"/>
      <c r="AC37" s="66">
        <f t="shared" si="4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hidden="1" customHeight="1" x14ac:dyDescent="0.3">
      <c r="A38" s="62"/>
      <c r="B38" s="62"/>
      <c r="C38" s="64"/>
      <c r="D38" s="62"/>
      <c r="E38" s="65"/>
      <c r="F38" s="62"/>
      <c r="G38" s="62"/>
      <c r="H38" s="64"/>
      <c r="I38" s="62"/>
      <c r="J38" s="62"/>
      <c r="K38" s="62"/>
      <c r="L38" s="66"/>
      <c r="M38" s="67"/>
      <c r="N38" s="66"/>
      <c r="P38" s="62"/>
      <c r="Q38" s="62"/>
      <c r="R38" s="64"/>
      <c r="S38" s="62"/>
      <c r="T38" s="65"/>
      <c r="U38" s="62"/>
      <c r="V38" s="62"/>
      <c r="W38" s="64"/>
      <c r="X38" s="62"/>
      <c r="Y38" s="62"/>
      <c r="Z38" s="62"/>
      <c r="AA38" s="66"/>
      <c r="AB38" s="67"/>
      <c r="AC38" s="66"/>
      <c r="AD38" s="75"/>
      <c r="AE38" s="62"/>
      <c r="AF38" s="62"/>
      <c r="AG38" s="64"/>
      <c r="AH38" s="67"/>
      <c r="AI38" s="65"/>
      <c r="AJ38" s="78"/>
      <c r="AK38" s="66"/>
      <c r="AL38" s="67"/>
      <c r="AM38" s="66"/>
      <c r="AN38" s="75"/>
    </row>
    <row r="39" spans="1:40" s="76" customFormat="1" ht="100.05" hidden="1" customHeight="1" x14ac:dyDescent="0.3">
      <c r="A39" s="62"/>
      <c r="B39" s="62"/>
      <c r="C39" s="64"/>
      <c r="D39" s="62"/>
      <c r="E39" s="65"/>
      <c r="F39" s="62"/>
      <c r="G39" s="62"/>
      <c r="H39" s="64"/>
      <c r="I39" s="62"/>
      <c r="J39" s="62"/>
      <c r="K39" s="62"/>
      <c r="L39" s="66"/>
      <c r="M39" s="67"/>
      <c r="N39" s="66"/>
      <c r="P39" s="62"/>
      <c r="Q39" s="62"/>
      <c r="R39" s="64"/>
      <c r="S39" s="62"/>
      <c r="T39" s="65"/>
      <c r="U39" s="62"/>
      <c r="V39" s="62"/>
      <c r="W39" s="64"/>
      <c r="X39" s="62"/>
      <c r="Y39" s="62"/>
      <c r="Z39" s="62"/>
      <c r="AA39" s="66"/>
      <c r="AB39" s="67"/>
      <c r="AC39" s="66"/>
      <c r="AD39" s="75"/>
      <c r="AE39" s="62"/>
      <c r="AF39" s="62"/>
      <c r="AG39" s="64"/>
      <c r="AH39" s="67"/>
      <c r="AI39" s="65"/>
      <c r="AJ39" s="78"/>
      <c r="AK39" s="66"/>
      <c r="AL39" s="67"/>
      <c r="AM39" s="66"/>
      <c r="AN39" s="75"/>
    </row>
    <row r="40" spans="1:40" s="76" customFormat="1" ht="100.05" customHeight="1" x14ac:dyDescent="0.3">
      <c r="A40" s="62"/>
      <c r="B40" s="62"/>
      <c r="C40" s="64"/>
      <c r="D40" s="62"/>
      <c r="E40" s="65"/>
      <c r="F40" s="62"/>
      <c r="G40" s="62"/>
      <c r="H40" s="64"/>
      <c r="I40" s="62"/>
      <c r="J40" s="62"/>
      <c r="K40" s="62"/>
      <c r="L40" s="62"/>
      <c r="M40" s="67"/>
      <c r="N40" s="66">
        <f t="shared" si="5"/>
        <v>0</v>
      </c>
      <c r="P40" s="68"/>
      <c r="Q40" s="68"/>
      <c r="R40" s="69"/>
      <c r="S40" s="68"/>
      <c r="T40" s="70"/>
      <c r="U40" s="68"/>
      <c r="V40" s="68"/>
      <c r="W40" s="69"/>
      <c r="X40" s="68"/>
      <c r="Y40" s="68"/>
      <c r="Z40" s="68"/>
      <c r="AA40" s="66">
        <f>SUM(AA24:AA27)</f>
        <v>0</v>
      </c>
      <c r="AB40" s="71">
        <f>SUM(AB24:AB27)</f>
        <v>0</v>
      </c>
      <c r="AC40" s="66">
        <f>SUM(AC24:AC27)</f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100.05" customHeight="1" x14ac:dyDescent="0.3">
      <c r="A41" s="68"/>
      <c r="B41" s="68"/>
      <c r="C41" s="69"/>
      <c r="D41" s="68"/>
      <c r="E41" s="70"/>
      <c r="F41" s="68"/>
      <c r="G41" s="68"/>
      <c r="H41" s="69"/>
      <c r="I41" s="68"/>
      <c r="J41" s="68"/>
      <c r="K41" s="68"/>
      <c r="L41" s="66">
        <f>SUM(L24:L40)</f>
        <v>6810</v>
      </c>
      <c r="M41" s="71">
        <f>SUM(M24:M40)</f>
        <v>1800</v>
      </c>
      <c r="N41" s="66">
        <f>SUM(N24:N40)</f>
        <v>5010</v>
      </c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68"/>
      <c r="AF41" s="68"/>
      <c r="AG41" s="69"/>
      <c r="AH41" s="68"/>
      <c r="AI41" s="70"/>
      <c r="AJ41" s="80"/>
      <c r="AK41" s="66">
        <f>SUM(AK4:AK40)</f>
        <v>29200</v>
      </c>
      <c r="AL41" s="71">
        <f>SUM(AL4:AL40)</f>
        <v>3100</v>
      </c>
      <c r="AM41" s="66">
        <f>SUM(AM4:AM40)</f>
        <v>26100</v>
      </c>
      <c r="AN41" s="75"/>
    </row>
    <row r="42" spans="1:40" s="75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5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 spans="1:40" s="75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E56" s="79"/>
      <c r="AF56" s="79"/>
      <c r="AG56" s="79"/>
      <c r="AH56" s="79"/>
      <c r="AI56" s="79"/>
      <c r="AJ56" s="79"/>
      <c r="AK56" s="79"/>
      <c r="AL56" s="79"/>
      <c r="AM56" s="79"/>
    </row>
    <row r="57" spans="1:40" s="75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E57" s="79"/>
      <c r="AF57" s="79"/>
      <c r="AG57" s="79"/>
      <c r="AH57" s="79"/>
      <c r="AI57" s="79"/>
      <c r="AJ57" s="79"/>
      <c r="AK57" s="79"/>
      <c r="AL57" s="79"/>
      <c r="AM57" s="79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  <row r="64" spans="1:40" s="56" customFormat="1" ht="100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2"/>
      <c r="AN64" s="3"/>
    </row>
    <row r="65" spans="1:40" s="56" customFormat="1" ht="100.0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2"/>
      <c r="AN65" s="3"/>
    </row>
    <row r="66" spans="1:40" s="56" customFormat="1" ht="100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2"/>
      <c r="AN66" s="3"/>
    </row>
    <row r="67" spans="1:40" s="56" customFormat="1" ht="100.0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2"/>
      <c r="AN67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15" orientation="portrait" horizontalDpi="1200" verticalDpi="120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3"/>
  <sheetViews>
    <sheetView zoomScale="25" zoomScaleNormal="25" workbookViewId="0">
      <selection activeCell="AI14" sqref="AI14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45943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45943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160925</v>
      </c>
      <c r="B4" s="62">
        <v>304</v>
      </c>
      <c r="C4" s="64">
        <v>0.9</v>
      </c>
      <c r="D4" s="62">
        <v>510</v>
      </c>
      <c r="E4" s="86" t="s">
        <v>211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1100</v>
      </c>
      <c r="M4" s="67"/>
      <c r="N4" s="66">
        <f>L4-M4</f>
        <v>1100</v>
      </c>
      <c r="P4" s="62">
        <v>230925</v>
      </c>
      <c r="Q4" s="62">
        <v>430</v>
      </c>
      <c r="R4" s="64">
        <v>0.8</v>
      </c>
      <c r="S4" s="62">
        <v>425</v>
      </c>
      <c r="T4" s="65" t="s">
        <v>238</v>
      </c>
      <c r="U4" s="62" t="s">
        <v>23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>
        <f>400+1000+1000</f>
        <v>2400</v>
      </c>
      <c r="AC4" s="66">
        <f>AA4-AB4</f>
        <v>3600</v>
      </c>
      <c r="AE4" s="62" t="s">
        <v>126</v>
      </c>
      <c r="AF4" s="62">
        <v>304</v>
      </c>
      <c r="AG4" s="64">
        <v>0.9</v>
      </c>
      <c r="AH4" s="77"/>
      <c r="AI4" s="65" t="s">
        <v>165</v>
      </c>
      <c r="AJ4" s="78" t="s">
        <v>119</v>
      </c>
      <c r="AK4" s="66">
        <v>1200</v>
      </c>
      <c r="AL4" s="67"/>
      <c r="AM4" s="66">
        <f t="shared" ref="AM4:AM36" si="0">AK4-AL4</f>
        <v>1200</v>
      </c>
    </row>
    <row r="5" spans="1:39" s="76" customFormat="1" ht="100.05" customHeight="1" x14ac:dyDescent="0.3">
      <c r="A5" s="62">
        <v>250042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/>
      <c r="N5" s="66">
        <f>L5-M5</f>
        <v>750</v>
      </c>
      <c r="P5" s="62">
        <v>230925</v>
      </c>
      <c r="Q5" s="62">
        <v>430</v>
      </c>
      <c r="R5" s="64">
        <v>0.8</v>
      </c>
      <c r="S5" s="62">
        <v>425</v>
      </c>
      <c r="T5" s="65" t="s">
        <v>239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 t="shared" ref="AC5:AC19" si="1">AA5-AB5</f>
        <v>6000</v>
      </c>
      <c r="AE5" s="62" t="s">
        <v>126</v>
      </c>
      <c r="AF5" s="62">
        <v>304</v>
      </c>
      <c r="AG5" s="64">
        <v>0.9</v>
      </c>
      <c r="AH5" s="77"/>
      <c r="AI5" s="65" t="s">
        <v>164</v>
      </c>
      <c r="AJ5" s="78" t="s">
        <v>119</v>
      </c>
      <c r="AK5" s="66">
        <v>1500</v>
      </c>
      <c r="AL5" s="67"/>
      <c r="AM5" s="66">
        <f t="shared" si="0"/>
        <v>1500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543</v>
      </c>
      <c r="E6" s="86" t="s">
        <v>224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 t="s">
        <v>126</v>
      </c>
      <c r="AF6" s="62">
        <v>304</v>
      </c>
      <c r="AG6" s="64">
        <v>0.9</v>
      </c>
      <c r="AH6" s="67"/>
      <c r="AI6" s="65" t="s">
        <v>163</v>
      </c>
      <c r="AJ6" s="78" t="s">
        <v>119</v>
      </c>
      <c r="AK6" s="66">
        <v>1500</v>
      </c>
      <c r="AL6" s="67"/>
      <c r="AM6" s="66">
        <f t="shared" si="0"/>
        <v>1500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560</v>
      </c>
      <c r="E7" s="86" t="s">
        <v>225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160925</v>
      </c>
      <c r="AF7" s="62">
        <v>304</v>
      </c>
      <c r="AG7" s="64">
        <v>0.9</v>
      </c>
      <c r="AH7" s="67"/>
      <c r="AI7" s="65" t="s">
        <v>167</v>
      </c>
      <c r="AJ7" s="78" t="s">
        <v>119</v>
      </c>
      <c r="AK7" s="66">
        <v>1100</v>
      </c>
      <c r="AL7" s="67"/>
      <c r="AM7" s="66">
        <f t="shared" si="0"/>
        <v>1100</v>
      </c>
    </row>
    <row r="8" spans="1:39" s="76" customFormat="1" ht="100.05" customHeight="1" x14ac:dyDescent="0.3">
      <c r="A8" s="62">
        <v>250061</v>
      </c>
      <c r="B8" s="62">
        <v>304</v>
      </c>
      <c r="C8" s="64">
        <v>0.7</v>
      </c>
      <c r="D8" s="62">
        <v>435</v>
      </c>
      <c r="E8" s="91" t="s">
        <v>226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540</v>
      </c>
      <c r="M8" s="67">
        <f>375+175</f>
        <v>550</v>
      </c>
      <c r="N8" s="66">
        <f t="shared" ref="N8:N19" si="2">L8-M8</f>
        <v>-10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290925</v>
      </c>
      <c r="AF8" s="62">
        <v>304</v>
      </c>
      <c r="AG8" s="64" t="s">
        <v>24</v>
      </c>
      <c r="AH8" s="67" t="s">
        <v>24</v>
      </c>
      <c r="AI8" s="65" t="s">
        <v>246</v>
      </c>
      <c r="AJ8" s="78" t="s">
        <v>119</v>
      </c>
      <c r="AK8" s="66">
        <v>4000</v>
      </c>
      <c r="AL8" s="67">
        <f>1400+1700+1000</f>
        <v>4100</v>
      </c>
      <c r="AM8" s="66">
        <f t="shared" si="0"/>
        <v>-100</v>
      </c>
    </row>
    <row r="9" spans="1:39" s="76" customFormat="1" ht="100.05" customHeight="1" x14ac:dyDescent="0.3">
      <c r="A9" s="62">
        <v>250057</v>
      </c>
      <c r="B9" s="62">
        <v>304</v>
      </c>
      <c r="C9" s="64">
        <v>0.7</v>
      </c>
      <c r="D9" s="62" t="s">
        <v>24</v>
      </c>
      <c r="E9" s="91" t="s">
        <v>228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410</v>
      </c>
      <c r="M9" s="67">
        <v>415</v>
      </c>
      <c r="N9" s="66">
        <f t="shared" si="2"/>
        <v>-5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290925</v>
      </c>
      <c r="AF9" s="62">
        <v>304</v>
      </c>
      <c r="AG9" s="64" t="s">
        <v>24</v>
      </c>
      <c r="AH9" s="67" t="s">
        <v>24</v>
      </c>
      <c r="AI9" s="65" t="s">
        <v>203</v>
      </c>
      <c r="AJ9" s="78" t="s">
        <v>119</v>
      </c>
      <c r="AK9" s="66">
        <v>3000</v>
      </c>
      <c r="AL9" s="67"/>
      <c r="AM9" s="66">
        <f t="shared" si="0"/>
        <v>3000</v>
      </c>
    </row>
    <row r="10" spans="1:39" s="76" customFormat="1" ht="100.05" customHeight="1" x14ac:dyDescent="0.3">
      <c r="A10" s="62">
        <v>250061</v>
      </c>
      <c r="B10" s="62">
        <v>304</v>
      </c>
      <c r="C10" s="64">
        <v>0.7</v>
      </c>
      <c r="D10" s="62" t="s">
        <v>24</v>
      </c>
      <c r="E10" s="91" t="s">
        <v>228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540</v>
      </c>
      <c r="M10" s="67">
        <v>545</v>
      </c>
      <c r="N10" s="66">
        <f t="shared" si="2"/>
        <v>-5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290925</v>
      </c>
      <c r="AF10" s="62">
        <v>304</v>
      </c>
      <c r="AG10" s="64" t="s">
        <v>24</v>
      </c>
      <c r="AH10" s="67" t="s">
        <v>24</v>
      </c>
      <c r="AI10" s="65" t="s">
        <v>204</v>
      </c>
      <c r="AJ10" s="78" t="s">
        <v>119</v>
      </c>
      <c r="AK10" s="66">
        <v>3000</v>
      </c>
      <c r="AL10" s="67">
        <v>1650</v>
      </c>
      <c r="AM10" s="66">
        <f t="shared" si="0"/>
        <v>1350</v>
      </c>
    </row>
    <row r="11" spans="1:39" s="76" customFormat="1" ht="100.05" customHeight="1" x14ac:dyDescent="0.3">
      <c r="A11" s="62">
        <v>250052</v>
      </c>
      <c r="B11" s="62">
        <v>304</v>
      </c>
      <c r="C11" s="64">
        <v>0.7</v>
      </c>
      <c r="D11" s="62">
        <v>615</v>
      </c>
      <c r="E11" s="91" t="s">
        <v>230</v>
      </c>
      <c r="F11" s="62" t="s">
        <v>23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79</v>
      </c>
      <c r="L11" s="66">
        <v>800</v>
      </c>
      <c r="M11" s="67"/>
      <c r="N11" s="66">
        <f t="shared" si="2"/>
        <v>800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250057</v>
      </c>
      <c r="AF11" s="62">
        <v>304</v>
      </c>
      <c r="AG11" s="64" t="s">
        <v>24</v>
      </c>
      <c r="AH11" s="67" t="s">
        <v>24</v>
      </c>
      <c r="AI11" s="65" t="s">
        <v>243</v>
      </c>
      <c r="AJ11" s="78" t="s">
        <v>119</v>
      </c>
      <c r="AK11" s="66">
        <v>410</v>
      </c>
      <c r="AL11" s="67"/>
      <c r="AM11" s="66">
        <f t="shared" si="0"/>
        <v>410</v>
      </c>
    </row>
    <row r="12" spans="1:39" s="76" customFormat="1" ht="100.05" customHeight="1" x14ac:dyDescent="0.3">
      <c r="A12" s="62">
        <v>250057</v>
      </c>
      <c r="B12" s="62">
        <v>304</v>
      </c>
      <c r="C12" s="64">
        <v>0.7</v>
      </c>
      <c r="D12" s="62">
        <v>324</v>
      </c>
      <c r="E12" s="91" t="s">
        <v>236</v>
      </c>
      <c r="F12" s="62" t="s">
        <v>23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79</v>
      </c>
      <c r="L12" s="66">
        <v>410</v>
      </c>
      <c r="M12" s="67"/>
      <c r="N12" s="66">
        <f t="shared" si="2"/>
        <v>410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250057</v>
      </c>
      <c r="AF12" s="62">
        <v>304</v>
      </c>
      <c r="AG12" s="64" t="s">
        <v>24</v>
      </c>
      <c r="AH12" s="67" t="s">
        <v>24</v>
      </c>
      <c r="AI12" s="65" t="s">
        <v>244</v>
      </c>
      <c r="AJ12" s="78" t="s">
        <v>119</v>
      </c>
      <c r="AK12" s="66">
        <v>410</v>
      </c>
      <c r="AL12" s="67"/>
      <c r="AM12" s="66">
        <f t="shared" si="0"/>
        <v>410</v>
      </c>
    </row>
    <row r="13" spans="1:39" s="76" customFormat="1" ht="99.6" customHeight="1" x14ac:dyDescent="0.3">
      <c r="A13" s="62">
        <v>250061</v>
      </c>
      <c r="B13" s="62">
        <v>304</v>
      </c>
      <c r="C13" s="64">
        <v>0.7</v>
      </c>
      <c r="D13" s="62">
        <v>324</v>
      </c>
      <c r="E13" s="91" t="s">
        <v>236</v>
      </c>
      <c r="F13" s="62" t="s">
        <v>23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79</v>
      </c>
      <c r="L13" s="66">
        <v>540</v>
      </c>
      <c r="M13" s="67"/>
      <c r="N13" s="66">
        <f t="shared" si="2"/>
        <v>540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250061</v>
      </c>
      <c r="AF13" s="62">
        <v>304</v>
      </c>
      <c r="AG13" s="64" t="s">
        <v>24</v>
      </c>
      <c r="AH13" s="67" t="s">
        <v>24</v>
      </c>
      <c r="AI13" s="65" t="s">
        <v>245</v>
      </c>
      <c r="AJ13" s="78" t="s">
        <v>119</v>
      </c>
      <c r="AK13" s="66">
        <v>540</v>
      </c>
      <c r="AL13" s="67"/>
      <c r="AM13" s="66">
        <f t="shared" si="0"/>
        <v>540</v>
      </c>
    </row>
    <row r="14" spans="1:39" s="76" customFormat="1" ht="99.6" customHeight="1" x14ac:dyDescent="0.3">
      <c r="A14" s="62">
        <v>250057</v>
      </c>
      <c r="B14" s="62">
        <v>304</v>
      </c>
      <c r="C14" s="64">
        <v>0.7</v>
      </c>
      <c r="D14" s="62">
        <v>543</v>
      </c>
      <c r="E14" s="91" t="s">
        <v>237</v>
      </c>
      <c r="F14" s="62" t="s">
        <v>121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212</v>
      </c>
      <c r="L14" s="66">
        <v>410</v>
      </c>
      <c r="M14" s="67"/>
      <c r="N14" s="66">
        <f t="shared" si="2"/>
        <v>410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250061</v>
      </c>
      <c r="AF14" s="62">
        <v>304</v>
      </c>
      <c r="AG14" s="64" t="s">
        <v>24</v>
      </c>
      <c r="AH14" s="67" t="s">
        <v>24</v>
      </c>
      <c r="AI14" s="65" t="s">
        <v>244</v>
      </c>
      <c r="AJ14" s="78" t="s">
        <v>119</v>
      </c>
      <c r="AK14" s="66">
        <v>540</v>
      </c>
      <c r="AL14" s="67"/>
      <c r="AM14" s="66">
        <f t="shared" si="0"/>
        <v>540</v>
      </c>
    </row>
    <row r="15" spans="1:39" s="76" customFormat="1" ht="99.6" customHeight="1" x14ac:dyDescent="0.3">
      <c r="A15" s="62"/>
      <c r="B15" s="62"/>
      <c r="C15" s="64"/>
      <c r="D15" s="62"/>
      <c r="E15" s="91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230925</v>
      </c>
      <c r="AF15" s="62">
        <v>430</v>
      </c>
      <c r="AG15" s="64">
        <v>0.8</v>
      </c>
      <c r="AH15" s="67" t="s">
        <v>24</v>
      </c>
      <c r="AI15" s="65" t="s">
        <v>57</v>
      </c>
      <c r="AJ15" s="78" t="s">
        <v>241</v>
      </c>
      <c r="AK15" s="66">
        <v>6000</v>
      </c>
      <c r="AL15" s="67"/>
      <c r="AM15" s="66">
        <f>AK15-AL15</f>
        <v>6000</v>
      </c>
    </row>
    <row r="16" spans="1:39" s="76" customFormat="1" ht="100.05" customHeight="1" x14ac:dyDescent="0.3">
      <c r="A16" s="62"/>
      <c r="B16" s="62"/>
      <c r="C16" s="64"/>
      <c r="D16" s="62"/>
      <c r="E16" s="91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>
        <v>230925</v>
      </c>
      <c r="AF16" s="62">
        <v>430</v>
      </c>
      <c r="AG16" s="64">
        <v>0.8</v>
      </c>
      <c r="AH16" s="67" t="s">
        <v>24</v>
      </c>
      <c r="AI16" s="65" t="s">
        <v>247</v>
      </c>
      <c r="AJ16" s="78" t="s">
        <v>241</v>
      </c>
      <c r="AK16" s="66">
        <v>6000</v>
      </c>
      <c r="AL16" s="67"/>
      <c r="AM16" s="66">
        <f>AK16-AL16</f>
        <v>6000</v>
      </c>
    </row>
    <row r="17" spans="1:40" s="76" customFormat="1" ht="100.05" customHeight="1" x14ac:dyDescent="0.3">
      <c r="A17" s="62"/>
      <c r="B17" s="62"/>
      <c r="C17" s="64"/>
      <c r="D17" s="62"/>
      <c r="E17" s="91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/>
      <c r="B18" s="62"/>
      <c r="C18" s="64"/>
      <c r="D18" s="62"/>
      <c r="E18" s="91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7000</v>
      </c>
      <c r="M20" s="71">
        <f>SUM(M4:M19)</f>
        <v>1510</v>
      </c>
      <c r="N20" s="66">
        <f>SUM(N4:N19)</f>
        <v>5490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12000</v>
      </c>
      <c r="AB20" s="71">
        <f>SUM(AB4:AB19)</f>
        <v>2400</v>
      </c>
      <c r="AC20" s="66">
        <f>SUM(AC4:AC19)</f>
        <v>9600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45.8000000000000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250052</v>
      </c>
      <c r="B24" s="62">
        <v>304</v>
      </c>
      <c r="C24" s="64">
        <v>0.7</v>
      </c>
      <c r="D24" s="62">
        <v>323</v>
      </c>
      <c r="E24" s="91" t="s">
        <v>229</v>
      </c>
      <c r="F24" s="62" t="s">
        <v>23</v>
      </c>
      <c r="G24" s="62">
        <v>304</v>
      </c>
      <c r="H24" s="64">
        <v>0.6</v>
      </c>
      <c r="I24" s="62" t="s">
        <v>24</v>
      </c>
      <c r="J24" s="62" t="s">
        <v>24</v>
      </c>
      <c r="K24" s="62" t="s">
        <v>79</v>
      </c>
      <c r="L24" s="66">
        <v>800</v>
      </c>
      <c r="M24" s="67">
        <v>805</v>
      </c>
      <c r="N24" s="66">
        <f t="shared" ref="N24" si="3">L24-M24</f>
        <v>-5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3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250055</v>
      </c>
      <c r="B25" s="62">
        <v>304</v>
      </c>
      <c r="C25" s="64">
        <v>0.7</v>
      </c>
      <c r="D25" s="62">
        <v>323</v>
      </c>
      <c r="E25" s="91" t="s">
        <v>229</v>
      </c>
      <c r="F25" s="62" t="s">
        <v>23</v>
      </c>
      <c r="G25" s="62">
        <v>304</v>
      </c>
      <c r="H25" s="64">
        <v>0.6</v>
      </c>
      <c r="I25" s="62" t="s">
        <v>24</v>
      </c>
      <c r="J25" s="62" t="s">
        <v>24</v>
      </c>
      <c r="K25" s="62" t="s">
        <v>79</v>
      </c>
      <c r="L25" s="66">
        <v>830</v>
      </c>
      <c r="M25" s="67">
        <v>695</v>
      </c>
      <c r="N25" s="66">
        <f>L25-M25</f>
        <v>135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250057</v>
      </c>
      <c r="B26" s="62">
        <v>304</v>
      </c>
      <c r="C26" s="64">
        <v>0.7</v>
      </c>
      <c r="D26" s="62">
        <v>323</v>
      </c>
      <c r="E26" s="91" t="s">
        <v>229</v>
      </c>
      <c r="F26" s="62" t="s">
        <v>23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79</v>
      </c>
      <c r="L26" s="66">
        <v>410</v>
      </c>
      <c r="M26" s="67"/>
      <c r="N26" s="90">
        <f t="shared" ref="N26:N36" si="5">L26-M26</f>
        <v>410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250061</v>
      </c>
      <c r="B27" s="62">
        <v>304</v>
      </c>
      <c r="C27" s="64">
        <v>0.7</v>
      </c>
      <c r="D27" s="62">
        <v>323</v>
      </c>
      <c r="E27" s="91" t="s">
        <v>229</v>
      </c>
      <c r="F27" s="62" t="s">
        <v>23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79</v>
      </c>
      <c r="L27" s="66">
        <v>540</v>
      </c>
      <c r="M27" s="67"/>
      <c r="N27" s="66">
        <f t="shared" si="5"/>
        <v>540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250055</v>
      </c>
      <c r="B28" s="62">
        <v>304</v>
      </c>
      <c r="C28" s="64">
        <v>0.7</v>
      </c>
      <c r="D28" s="62">
        <v>505</v>
      </c>
      <c r="E28" s="91" t="s">
        <v>231</v>
      </c>
      <c r="F28" s="62" t="s">
        <v>23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79</v>
      </c>
      <c r="L28" s="66">
        <v>830</v>
      </c>
      <c r="M28" s="67">
        <f>450+385</f>
        <v>835</v>
      </c>
      <c r="N28" s="66">
        <f t="shared" si="5"/>
        <v>-5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250057</v>
      </c>
      <c r="B29" s="62">
        <v>304</v>
      </c>
      <c r="C29" s="64">
        <v>0.7</v>
      </c>
      <c r="D29" s="62">
        <v>505</v>
      </c>
      <c r="E29" s="91" t="s">
        <v>231</v>
      </c>
      <c r="F29" s="62" t="s">
        <v>23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410</v>
      </c>
      <c r="M29" s="67">
        <v>415</v>
      </c>
      <c r="N29" s="66">
        <f t="shared" si="5"/>
        <v>-5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250061</v>
      </c>
      <c r="B30" s="62">
        <v>304</v>
      </c>
      <c r="C30" s="64">
        <v>0.7</v>
      </c>
      <c r="D30" s="62">
        <v>505</v>
      </c>
      <c r="E30" s="91" t="s">
        <v>231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540</v>
      </c>
      <c r="M30" s="67">
        <v>300</v>
      </c>
      <c r="N30" s="66">
        <f t="shared" si="5"/>
        <v>240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250057</v>
      </c>
      <c r="B31" s="62">
        <v>304</v>
      </c>
      <c r="C31" s="64">
        <v>0.7</v>
      </c>
      <c r="D31" s="62">
        <v>397</v>
      </c>
      <c r="E31" s="91" t="s">
        <v>232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79</v>
      </c>
      <c r="L31" s="66">
        <v>410</v>
      </c>
      <c r="M31" s="67"/>
      <c r="N31" s="66">
        <f t="shared" si="5"/>
        <v>410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250055</v>
      </c>
      <c r="B32" s="62">
        <v>304</v>
      </c>
      <c r="C32" s="64">
        <v>0.7</v>
      </c>
      <c r="D32" s="62">
        <v>385</v>
      </c>
      <c r="E32" s="91" t="s">
        <v>233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79</v>
      </c>
      <c r="L32" s="66">
        <v>830</v>
      </c>
      <c r="M32" s="67">
        <f>545+325</f>
        <v>870</v>
      </c>
      <c r="N32" s="66">
        <f t="shared" si="5"/>
        <v>-40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250057</v>
      </c>
      <c r="B33" s="62">
        <v>304</v>
      </c>
      <c r="C33" s="64">
        <v>0.7</v>
      </c>
      <c r="D33" s="62">
        <v>293</v>
      </c>
      <c r="E33" s="86" t="s">
        <v>235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410</v>
      </c>
      <c r="M33" s="67"/>
      <c r="N33" s="66">
        <f t="shared" si="5"/>
        <v>410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hidden="1" customHeight="1" x14ac:dyDescent="0.3">
      <c r="A34" s="62"/>
      <c r="B34" s="62"/>
      <c r="C34" s="64"/>
      <c r="D34" s="62"/>
      <c r="E34" s="65"/>
      <c r="F34" s="62"/>
      <c r="G34" s="62"/>
      <c r="H34" s="64"/>
      <c r="I34" s="62"/>
      <c r="J34" s="62"/>
      <c r="K34" s="62"/>
      <c r="L34" s="66"/>
      <c r="M34" s="67"/>
      <c r="N34" s="66"/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/>
      <c r="AD34" s="75"/>
      <c r="AE34" s="62"/>
      <c r="AF34" s="62"/>
      <c r="AG34" s="64"/>
      <c r="AH34" s="67"/>
      <c r="AI34" s="65"/>
      <c r="AJ34" s="78"/>
      <c r="AK34" s="66"/>
      <c r="AL34" s="67"/>
      <c r="AM34" s="66"/>
      <c r="AN34" s="75"/>
    </row>
    <row r="35" spans="1:40" s="76" customFormat="1" ht="100.05" hidden="1" customHeight="1" x14ac:dyDescent="0.3">
      <c r="A35" s="62"/>
      <c r="B35" s="62"/>
      <c r="C35" s="64"/>
      <c r="D35" s="62"/>
      <c r="E35" s="65"/>
      <c r="F35" s="62"/>
      <c r="G35" s="62"/>
      <c r="H35" s="64"/>
      <c r="I35" s="62"/>
      <c r="J35" s="62"/>
      <c r="K35" s="62"/>
      <c r="L35" s="66"/>
      <c r="M35" s="67"/>
      <c r="N35" s="66"/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/>
      <c r="AD35" s="75"/>
      <c r="AE35" s="62"/>
      <c r="AF35" s="62"/>
      <c r="AG35" s="64"/>
      <c r="AH35" s="67"/>
      <c r="AI35" s="65"/>
      <c r="AJ35" s="78"/>
      <c r="AK35" s="66"/>
      <c r="AL35" s="67"/>
      <c r="AM35" s="66"/>
      <c r="AN35" s="75"/>
    </row>
    <row r="36" spans="1:40" s="76" customFormat="1" ht="100.05" customHeight="1" x14ac:dyDescent="0.3">
      <c r="A36" s="62"/>
      <c r="B36" s="62"/>
      <c r="C36" s="64"/>
      <c r="D36" s="62"/>
      <c r="E36" s="65"/>
      <c r="F36" s="62"/>
      <c r="G36" s="62"/>
      <c r="H36" s="64"/>
      <c r="I36" s="62"/>
      <c r="J36" s="62"/>
      <c r="K36" s="62"/>
      <c r="L36" s="62"/>
      <c r="M36" s="67"/>
      <c r="N36" s="66">
        <f t="shared" si="5"/>
        <v>0</v>
      </c>
      <c r="P36" s="68"/>
      <c r="Q36" s="68"/>
      <c r="R36" s="69"/>
      <c r="S36" s="68"/>
      <c r="T36" s="70"/>
      <c r="U36" s="68"/>
      <c r="V36" s="68"/>
      <c r="W36" s="69"/>
      <c r="X36" s="68"/>
      <c r="Y36" s="68"/>
      <c r="Z36" s="68"/>
      <c r="AA36" s="66">
        <f>SUM(AA24:AA27)</f>
        <v>0</v>
      </c>
      <c r="AB36" s="71">
        <f>SUM(AB24:AB27)</f>
        <v>0</v>
      </c>
      <c r="AC36" s="66">
        <f>SUM(AC24:AC27)</f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8"/>
      <c r="B37" s="68"/>
      <c r="C37" s="69"/>
      <c r="D37" s="68"/>
      <c r="E37" s="70"/>
      <c r="F37" s="68"/>
      <c r="G37" s="68"/>
      <c r="H37" s="69"/>
      <c r="I37" s="68"/>
      <c r="J37" s="68"/>
      <c r="K37" s="68"/>
      <c r="L37" s="66">
        <f>SUM(L24:L36)</f>
        <v>6010</v>
      </c>
      <c r="M37" s="71">
        <f>SUM(M24:M36)</f>
        <v>3920</v>
      </c>
      <c r="N37" s="66">
        <f>SUM(N24:N36)</f>
        <v>2090</v>
      </c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68"/>
      <c r="AF37" s="68"/>
      <c r="AG37" s="69"/>
      <c r="AH37" s="68"/>
      <c r="AI37" s="70"/>
      <c r="AJ37" s="80"/>
      <c r="AK37" s="66">
        <f>SUM(AK4:AK36)</f>
        <v>29200</v>
      </c>
      <c r="AL37" s="71">
        <f>SUM(AL4:AL36)</f>
        <v>5750</v>
      </c>
      <c r="AM37" s="66">
        <f>SUM(AM4:AM36)</f>
        <v>23450</v>
      </c>
      <c r="AN37" s="75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5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spans="1:40" s="75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17" orientation="portrait" horizontalDpi="1200" verticalDpi="120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5"/>
  <sheetViews>
    <sheetView zoomScale="25" zoomScaleNormal="25" workbookViewId="0">
      <selection activeCell="AL9" sqref="AL9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3.6640625" style="2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45944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45944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160925</v>
      </c>
      <c r="B4" s="62">
        <v>304</v>
      </c>
      <c r="C4" s="64">
        <v>0.9</v>
      </c>
      <c r="D4" s="62">
        <v>510</v>
      </c>
      <c r="E4" s="86" t="s">
        <v>211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1100</v>
      </c>
      <c r="M4" s="67"/>
      <c r="N4" s="66">
        <f>L4-M4</f>
        <v>1100</v>
      </c>
      <c r="P4" s="62">
        <v>230925</v>
      </c>
      <c r="Q4" s="62">
        <v>430</v>
      </c>
      <c r="R4" s="64">
        <v>0.8</v>
      </c>
      <c r="S4" s="62">
        <v>425</v>
      </c>
      <c r="T4" s="65" t="s">
        <v>238</v>
      </c>
      <c r="U4" s="62" t="s">
        <v>23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>
        <f>400+1000+1000+1600</f>
        <v>4000</v>
      </c>
      <c r="AC4" s="66">
        <f>AA4-AB4</f>
        <v>2000</v>
      </c>
      <c r="AE4" s="62" t="s">
        <v>126</v>
      </c>
      <c r="AF4" s="62">
        <v>304</v>
      </c>
      <c r="AG4" s="64">
        <v>0.9</v>
      </c>
      <c r="AH4" s="77"/>
      <c r="AI4" s="65" t="s">
        <v>165</v>
      </c>
      <c r="AJ4" s="78" t="s">
        <v>119</v>
      </c>
      <c r="AK4" s="66">
        <v>1200</v>
      </c>
      <c r="AL4" s="67"/>
      <c r="AM4" s="66">
        <f t="shared" ref="AM4:AM38" si="0">AK4-AL4</f>
        <v>1200</v>
      </c>
    </row>
    <row r="5" spans="1:39" s="76" customFormat="1" ht="100.05" customHeight="1" x14ac:dyDescent="0.3">
      <c r="A5" s="62">
        <v>250042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/>
      <c r="N5" s="66">
        <f>L5-M5</f>
        <v>750</v>
      </c>
      <c r="P5" s="62">
        <v>230925</v>
      </c>
      <c r="Q5" s="62">
        <v>430</v>
      </c>
      <c r="R5" s="64">
        <v>0.8</v>
      </c>
      <c r="S5" s="62">
        <v>425</v>
      </c>
      <c r="T5" s="65" t="s">
        <v>239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 t="shared" ref="AC5:AC19" si="1">AA5-AB5</f>
        <v>6000</v>
      </c>
      <c r="AE5" s="62" t="s">
        <v>126</v>
      </c>
      <c r="AF5" s="62">
        <v>304</v>
      </c>
      <c r="AG5" s="64">
        <v>0.9</v>
      </c>
      <c r="AH5" s="77"/>
      <c r="AI5" s="65" t="s">
        <v>164</v>
      </c>
      <c r="AJ5" s="78" t="s">
        <v>119</v>
      </c>
      <c r="AK5" s="66">
        <v>1500</v>
      </c>
      <c r="AL5" s="67"/>
      <c r="AM5" s="66">
        <f t="shared" si="0"/>
        <v>1500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543</v>
      </c>
      <c r="E6" s="86" t="s">
        <v>224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 t="s">
        <v>126</v>
      </c>
      <c r="AF6" s="62">
        <v>304</v>
      </c>
      <c r="AG6" s="64">
        <v>0.9</v>
      </c>
      <c r="AH6" s="67"/>
      <c r="AI6" s="65" t="s">
        <v>163</v>
      </c>
      <c r="AJ6" s="78" t="s">
        <v>119</v>
      </c>
      <c r="AK6" s="66">
        <v>1500</v>
      </c>
      <c r="AL6" s="67"/>
      <c r="AM6" s="66">
        <f t="shared" si="0"/>
        <v>1500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560</v>
      </c>
      <c r="E7" s="86" t="s">
        <v>225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160925</v>
      </c>
      <c r="AF7" s="62">
        <v>304</v>
      </c>
      <c r="AG7" s="64">
        <v>0.9</v>
      </c>
      <c r="AH7" s="67"/>
      <c r="AI7" s="65" t="s">
        <v>167</v>
      </c>
      <c r="AJ7" s="78" t="s">
        <v>119</v>
      </c>
      <c r="AK7" s="66">
        <v>1100</v>
      </c>
      <c r="AL7" s="67"/>
      <c r="AM7" s="66">
        <f t="shared" si="0"/>
        <v>1100</v>
      </c>
    </row>
    <row r="8" spans="1:39" s="76" customFormat="1" ht="100.05" customHeight="1" x14ac:dyDescent="0.3">
      <c r="A8" s="62">
        <v>250052</v>
      </c>
      <c r="B8" s="62">
        <v>304</v>
      </c>
      <c r="C8" s="64">
        <v>0.7</v>
      </c>
      <c r="D8" s="62">
        <v>615</v>
      </c>
      <c r="E8" s="91" t="s">
        <v>230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800</v>
      </c>
      <c r="M8" s="67">
        <v>550</v>
      </c>
      <c r="N8" s="66">
        <f t="shared" ref="N8:N19" si="2">L8-M8</f>
        <v>250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290925</v>
      </c>
      <c r="AF8" s="62">
        <v>304</v>
      </c>
      <c r="AG8" s="64" t="s">
        <v>24</v>
      </c>
      <c r="AH8" s="67" t="s">
        <v>24</v>
      </c>
      <c r="AI8" s="65" t="s">
        <v>203</v>
      </c>
      <c r="AJ8" s="78" t="s">
        <v>119</v>
      </c>
      <c r="AK8" s="66">
        <v>3000</v>
      </c>
      <c r="AL8" s="67">
        <v>1250</v>
      </c>
      <c r="AM8" s="66">
        <f t="shared" si="0"/>
        <v>1750</v>
      </c>
    </row>
    <row r="9" spans="1:39" s="76" customFormat="1" ht="100.05" customHeight="1" x14ac:dyDescent="0.3">
      <c r="A9" s="62">
        <v>250057</v>
      </c>
      <c r="B9" s="62">
        <v>304</v>
      </c>
      <c r="C9" s="64">
        <v>0.7</v>
      </c>
      <c r="D9" s="62">
        <v>324</v>
      </c>
      <c r="E9" s="91" t="s">
        <v>236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410</v>
      </c>
      <c r="M9" s="67"/>
      <c r="N9" s="66">
        <f t="shared" si="2"/>
        <v>410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290925</v>
      </c>
      <c r="AF9" s="62">
        <v>304</v>
      </c>
      <c r="AG9" s="64" t="s">
        <v>24</v>
      </c>
      <c r="AH9" s="67" t="s">
        <v>24</v>
      </c>
      <c r="AI9" s="65" t="s">
        <v>204</v>
      </c>
      <c r="AJ9" s="78" t="s">
        <v>119</v>
      </c>
      <c r="AK9" s="66">
        <v>3000</v>
      </c>
      <c r="AL9" s="67">
        <f>1650+1400</f>
        <v>3050</v>
      </c>
      <c r="AM9" s="66">
        <f t="shared" si="0"/>
        <v>-50</v>
      </c>
    </row>
    <row r="10" spans="1:39" s="76" customFormat="1" ht="100.05" customHeight="1" x14ac:dyDescent="0.3">
      <c r="A10" s="62">
        <v>250061</v>
      </c>
      <c r="B10" s="62">
        <v>304</v>
      </c>
      <c r="C10" s="64">
        <v>0.7</v>
      </c>
      <c r="D10" s="62">
        <v>324</v>
      </c>
      <c r="E10" s="91" t="s">
        <v>236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540</v>
      </c>
      <c r="M10" s="67"/>
      <c r="N10" s="66">
        <f t="shared" si="2"/>
        <v>540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250057</v>
      </c>
      <c r="AF10" s="62">
        <v>304</v>
      </c>
      <c r="AG10" s="64" t="s">
        <v>24</v>
      </c>
      <c r="AH10" s="67" t="s">
        <v>24</v>
      </c>
      <c r="AI10" s="65" t="s">
        <v>243</v>
      </c>
      <c r="AJ10" s="78" t="s">
        <v>119</v>
      </c>
      <c r="AK10" s="66">
        <v>410</v>
      </c>
      <c r="AL10" s="67"/>
      <c r="AM10" s="66">
        <f t="shared" si="0"/>
        <v>410</v>
      </c>
    </row>
    <row r="11" spans="1:39" s="76" customFormat="1" ht="100.05" customHeight="1" x14ac:dyDescent="0.3">
      <c r="A11" s="62">
        <v>250057</v>
      </c>
      <c r="B11" s="62">
        <v>304</v>
      </c>
      <c r="C11" s="64">
        <v>0.7</v>
      </c>
      <c r="D11" s="62">
        <v>543</v>
      </c>
      <c r="E11" s="91" t="s">
        <v>237</v>
      </c>
      <c r="F11" s="62" t="s">
        <v>121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212</v>
      </c>
      <c r="L11" s="66">
        <v>410</v>
      </c>
      <c r="M11" s="67"/>
      <c r="N11" s="66">
        <f t="shared" si="2"/>
        <v>410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250057</v>
      </c>
      <c r="AF11" s="62">
        <v>304</v>
      </c>
      <c r="AG11" s="64" t="s">
        <v>24</v>
      </c>
      <c r="AH11" s="67" t="s">
        <v>24</v>
      </c>
      <c r="AI11" s="65" t="s">
        <v>244</v>
      </c>
      <c r="AJ11" s="78" t="s">
        <v>119</v>
      </c>
      <c r="AK11" s="66">
        <v>410</v>
      </c>
      <c r="AL11" s="67"/>
      <c r="AM11" s="66">
        <f t="shared" si="0"/>
        <v>410</v>
      </c>
    </row>
    <row r="12" spans="1:39" s="76" customFormat="1" ht="100.05" customHeight="1" x14ac:dyDescent="0.3">
      <c r="A12" s="62">
        <v>21025</v>
      </c>
      <c r="B12" s="62">
        <v>304</v>
      </c>
      <c r="C12" s="64">
        <v>0.6</v>
      </c>
      <c r="D12" s="62">
        <v>321</v>
      </c>
      <c r="E12" s="91" t="s">
        <v>253</v>
      </c>
      <c r="F12" s="62" t="s">
        <v>121</v>
      </c>
      <c r="G12" s="62">
        <v>430</v>
      </c>
      <c r="H12" s="64">
        <v>0.6</v>
      </c>
      <c r="I12" s="62" t="s">
        <v>24</v>
      </c>
      <c r="J12" s="62" t="s">
        <v>24</v>
      </c>
      <c r="K12" s="62" t="s">
        <v>86</v>
      </c>
      <c r="L12" s="66">
        <v>1000</v>
      </c>
      <c r="M12" s="67"/>
      <c r="N12" s="66">
        <f t="shared" si="2"/>
        <v>1000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250061</v>
      </c>
      <c r="AF12" s="62">
        <v>304</v>
      </c>
      <c r="AG12" s="64" t="s">
        <v>24</v>
      </c>
      <c r="AH12" s="67" t="s">
        <v>24</v>
      </c>
      <c r="AI12" s="65" t="s">
        <v>245</v>
      </c>
      <c r="AJ12" s="78" t="s">
        <v>119</v>
      </c>
      <c r="AK12" s="66">
        <v>540</v>
      </c>
      <c r="AL12" s="67"/>
      <c r="AM12" s="66">
        <f t="shared" si="0"/>
        <v>540</v>
      </c>
    </row>
    <row r="13" spans="1:39" s="76" customFormat="1" ht="99.6" customHeight="1" x14ac:dyDescent="0.3">
      <c r="A13" s="62"/>
      <c r="B13" s="62"/>
      <c r="C13" s="64"/>
      <c r="D13" s="62"/>
      <c r="E13" s="91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250061</v>
      </c>
      <c r="AF13" s="62">
        <v>304</v>
      </c>
      <c r="AG13" s="64" t="s">
        <v>24</v>
      </c>
      <c r="AH13" s="67" t="s">
        <v>24</v>
      </c>
      <c r="AI13" s="65" t="s">
        <v>244</v>
      </c>
      <c r="AJ13" s="78" t="s">
        <v>119</v>
      </c>
      <c r="AK13" s="66">
        <v>540</v>
      </c>
      <c r="AL13" s="67"/>
      <c r="AM13" s="66">
        <f t="shared" si="0"/>
        <v>540</v>
      </c>
    </row>
    <row r="14" spans="1:39" s="76" customFormat="1" ht="99.6" customHeight="1" x14ac:dyDescent="0.3">
      <c r="A14" s="62"/>
      <c r="B14" s="62"/>
      <c r="C14" s="64"/>
      <c r="D14" s="62"/>
      <c r="E14" s="91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230925</v>
      </c>
      <c r="AF14" s="62">
        <v>430</v>
      </c>
      <c r="AG14" s="64">
        <v>0.8</v>
      </c>
      <c r="AH14" s="67" t="s">
        <v>24</v>
      </c>
      <c r="AI14" s="65" t="s">
        <v>57</v>
      </c>
      <c r="AJ14" s="78" t="s">
        <v>241</v>
      </c>
      <c r="AK14" s="66">
        <v>6000</v>
      </c>
      <c r="AL14" s="67"/>
      <c r="AM14" s="66">
        <f t="shared" si="0"/>
        <v>6000</v>
      </c>
    </row>
    <row r="15" spans="1:39" s="76" customFormat="1" ht="118.8" customHeight="1" x14ac:dyDescent="0.3">
      <c r="A15" s="62"/>
      <c r="B15" s="62"/>
      <c r="C15" s="64"/>
      <c r="D15" s="62"/>
      <c r="E15" s="91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230925</v>
      </c>
      <c r="AF15" s="62">
        <v>430</v>
      </c>
      <c r="AG15" s="64">
        <v>0.8</v>
      </c>
      <c r="AH15" s="67" t="s">
        <v>24</v>
      </c>
      <c r="AI15" s="65" t="s">
        <v>247</v>
      </c>
      <c r="AJ15" s="78" t="s">
        <v>241</v>
      </c>
      <c r="AK15" s="66">
        <v>6000</v>
      </c>
      <c r="AL15" s="67"/>
      <c r="AM15" s="66">
        <f>AK15-AL15</f>
        <v>6000</v>
      </c>
    </row>
    <row r="16" spans="1:39" s="76" customFormat="1" ht="100.05" customHeight="1" x14ac:dyDescent="0.3">
      <c r="A16" s="62"/>
      <c r="B16" s="62"/>
      <c r="C16" s="64"/>
      <c r="D16" s="62"/>
      <c r="E16" s="91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>AK16-AL16</f>
        <v>0</v>
      </c>
    </row>
    <row r="17" spans="1:40" s="76" customFormat="1" ht="100.05" customHeight="1" x14ac:dyDescent="0.3">
      <c r="A17" s="62"/>
      <c r="B17" s="62"/>
      <c r="C17" s="64"/>
      <c r="D17" s="62"/>
      <c r="E17" s="91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/>
      <c r="B18" s="62"/>
      <c r="C18" s="64"/>
      <c r="D18" s="62"/>
      <c r="E18" s="91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6510</v>
      </c>
      <c r="M20" s="71">
        <f>SUM(M4:M19)</f>
        <v>550</v>
      </c>
      <c r="N20" s="66">
        <f>SUM(N4:N19)</f>
        <v>5960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12000</v>
      </c>
      <c r="AB20" s="71">
        <f>SUM(AB4:AB19)</f>
        <v>4000</v>
      </c>
      <c r="AC20" s="66">
        <f>SUM(AC4:AC19)</f>
        <v>8000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45.8000000000000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250057</v>
      </c>
      <c r="B24" s="62">
        <v>304</v>
      </c>
      <c r="C24" s="64">
        <v>0.7</v>
      </c>
      <c r="D24" s="62">
        <v>293</v>
      </c>
      <c r="E24" s="86" t="s">
        <v>235</v>
      </c>
      <c r="F24" s="62" t="s">
        <v>23</v>
      </c>
      <c r="G24" s="62">
        <v>304</v>
      </c>
      <c r="H24" s="64">
        <v>0.6</v>
      </c>
      <c r="I24" s="62" t="s">
        <v>24</v>
      </c>
      <c r="J24" s="62" t="s">
        <v>24</v>
      </c>
      <c r="K24" s="62" t="s">
        <v>79</v>
      </c>
      <c r="L24" s="66">
        <v>410</v>
      </c>
      <c r="M24" s="67">
        <v>420</v>
      </c>
      <c r="N24" s="66">
        <f t="shared" ref="N24" si="3">L24-M24</f>
        <v>-10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3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250055</v>
      </c>
      <c r="B25" s="62">
        <v>304</v>
      </c>
      <c r="C25" s="64">
        <v>0.7</v>
      </c>
      <c r="D25" s="62">
        <v>323</v>
      </c>
      <c r="E25" s="91" t="s">
        <v>229</v>
      </c>
      <c r="F25" s="62" t="s">
        <v>23</v>
      </c>
      <c r="G25" s="62">
        <v>304</v>
      </c>
      <c r="H25" s="64">
        <v>0.6</v>
      </c>
      <c r="I25" s="62" t="s">
        <v>24</v>
      </c>
      <c r="J25" s="62" t="s">
        <v>24</v>
      </c>
      <c r="K25" s="62" t="s">
        <v>79</v>
      </c>
      <c r="L25" s="66">
        <v>830</v>
      </c>
      <c r="M25" s="67">
        <f>695+135</f>
        <v>830</v>
      </c>
      <c r="N25" s="66">
        <f>L25-M25</f>
        <v>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250057</v>
      </c>
      <c r="B26" s="62">
        <v>304</v>
      </c>
      <c r="C26" s="64">
        <v>0.7</v>
      </c>
      <c r="D26" s="62">
        <v>323</v>
      </c>
      <c r="E26" s="91" t="s">
        <v>229</v>
      </c>
      <c r="F26" s="62" t="s">
        <v>23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79</v>
      </c>
      <c r="L26" s="66">
        <v>410</v>
      </c>
      <c r="M26" s="67">
        <v>410</v>
      </c>
      <c r="N26" s="90">
        <f t="shared" ref="N26:N38" si="5">L26-M26</f>
        <v>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250061</v>
      </c>
      <c r="B27" s="62">
        <v>304</v>
      </c>
      <c r="C27" s="64">
        <v>0.7</v>
      </c>
      <c r="D27" s="62">
        <v>323</v>
      </c>
      <c r="E27" s="91" t="s">
        <v>229</v>
      </c>
      <c r="F27" s="62" t="s">
        <v>23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79</v>
      </c>
      <c r="L27" s="66">
        <v>540</v>
      </c>
      <c r="M27" s="67">
        <v>555</v>
      </c>
      <c r="N27" s="66">
        <f t="shared" si="5"/>
        <v>-15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250061</v>
      </c>
      <c r="B28" s="62">
        <v>304</v>
      </c>
      <c r="C28" s="64">
        <v>0.7</v>
      </c>
      <c r="D28" s="62">
        <v>505</v>
      </c>
      <c r="E28" s="91" t="s">
        <v>231</v>
      </c>
      <c r="F28" s="62" t="s">
        <v>23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79</v>
      </c>
      <c r="L28" s="66">
        <v>540</v>
      </c>
      <c r="M28" s="67">
        <f>300+190</f>
        <v>490</v>
      </c>
      <c r="N28" s="66">
        <f>L28-M28</f>
        <v>50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250057</v>
      </c>
      <c r="B29" s="62">
        <v>304</v>
      </c>
      <c r="C29" s="64">
        <v>0.7</v>
      </c>
      <c r="D29" s="62">
        <v>397</v>
      </c>
      <c r="E29" s="91" t="s">
        <v>232</v>
      </c>
      <c r="F29" s="62" t="s">
        <v>23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410</v>
      </c>
      <c r="M29" s="67">
        <v>445</v>
      </c>
      <c r="N29" s="66">
        <f>L29-M29</f>
        <v>-35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20125</v>
      </c>
      <c r="B30" s="62">
        <v>304</v>
      </c>
      <c r="C30" s="64">
        <v>0.6</v>
      </c>
      <c r="D30" s="62">
        <v>227</v>
      </c>
      <c r="E30" s="91" t="s">
        <v>248</v>
      </c>
      <c r="F30" s="62" t="s">
        <v>121</v>
      </c>
      <c r="G30" s="62">
        <v>430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500</v>
      </c>
      <c r="M30" s="67"/>
      <c r="N30" s="66">
        <f>L30-M30</f>
        <v>500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20125</v>
      </c>
      <c r="B31" s="62">
        <v>304</v>
      </c>
      <c r="C31" s="64">
        <v>0.6</v>
      </c>
      <c r="D31" s="62">
        <v>234</v>
      </c>
      <c r="E31" s="91" t="s">
        <v>249</v>
      </c>
      <c r="F31" s="62" t="s">
        <v>121</v>
      </c>
      <c r="G31" s="62">
        <v>430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1000</v>
      </c>
      <c r="M31" s="67"/>
      <c r="N31" s="66">
        <f>L31-M31</f>
        <v>1000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20125</v>
      </c>
      <c r="B32" s="62">
        <v>304</v>
      </c>
      <c r="C32" s="64">
        <v>0.6</v>
      </c>
      <c r="D32" s="62">
        <v>234</v>
      </c>
      <c r="E32" s="91" t="s">
        <v>250</v>
      </c>
      <c r="F32" s="62" t="s">
        <v>121</v>
      </c>
      <c r="G32" s="62">
        <v>430</v>
      </c>
      <c r="H32" s="64">
        <v>0.6</v>
      </c>
      <c r="I32" s="62" t="s">
        <v>24</v>
      </c>
      <c r="J32" s="62" t="s">
        <v>24</v>
      </c>
      <c r="K32" s="62" t="s">
        <v>86</v>
      </c>
      <c r="L32" s="66">
        <v>1000</v>
      </c>
      <c r="M32" s="67"/>
      <c r="N32" s="66">
        <f t="shared" si="5"/>
        <v>1000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20125</v>
      </c>
      <c r="B33" s="62">
        <v>304</v>
      </c>
      <c r="C33" s="64">
        <v>0.6</v>
      </c>
      <c r="D33" s="62">
        <v>277</v>
      </c>
      <c r="E33" s="86" t="s">
        <v>251</v>
      </c>
      <c r="F33" s="62" t="s">
        <v>121</v>
      </c>
      <c r="G33" s="62">
        <v>430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1000</v>
      </c>
      <c r="M33" s="67"/>
      <c r="N33" s="66">
        <f t="shared" si="5"/>
        <v>1000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>
        <v>20125</v>
      </c>
      <c r="B34" s="62">
        <v>304</v>
      </c>
      <c r="C34" s="64">
        <v>0.6</v>
      </c>
      <c r="D34" s="62">
        <v>300</v>
      </c>
      <c r="E34" s="86" t="s">
        <v>252</v>
      </c>
      <c r="F34" s="62" t="s">
        <v>121</v>
      </c>
      <c r="G34" s="62">
        <v>430</v>
      </c>
      <c r="H34" s="64">
        <v>0.6</v>
      </c>
      <c r="I34" s="62" t="s">
        <v>24</v>
      </c>
      <c r="J34" s="62" t="s">
        <v>24</v>
      </c>
      <c r="K34" s="62" t="s">
        <v>86</v>
      </c>
      <c r="L34" s="66">
        <v>500</v>
      </c>
      <c r="M34" s="67"/>
      <c r="N34" s="66">
        <f t="shared" si="5"/>
        <v>500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/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62">
        <v>20125</v>
      </c>
      <c r="B35" s="62">
        <v>304</v>
      </c>
      <c r="C35" s="64">
        <v>0.6</v>
      </c>
      <c r="D35" s="62">
        <v>349</v>
      </c>
      <c r="E35" s="86" t="s">
        <v>254</v>
      </c>
      <c r="F35" s="62" t="s">
        <v>121</v>
      </c>
      <c r="G35" s="62">
        <v>430</v>
      </c>
      <c r="H35" s="64">
        <v>0.6</v>
      </c>
      <c r="I35" s="62" t="s">
        <v>24</v>
      </c>
      <c r="J35" s="62" t="s">
        <v>24</v>
      </c>
      <c r="K35" s="62" t="s">
        <v>86</v>
      </c>
      <c r="L35" s="66">
        <v>1000</v>
      </c>
      <c r="M35" s="67"/>
      <c r="N35" s="66">
        <f t="shared" si="5"/>
        <v>1000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/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62">
        <v>20125</v>
      </c>
      <c r="B36" s="62">
        <v>304</v>
      </c>
      <c r="C36" s="64">
        <v>0.6</v>
      </c>
      <c r="D36" s="62">
        <v>370</v>
      </c>
      <c r="E36" s="86" t="s">
        <v>255</v>
      </c>
      <c r="F36" s="62" t="s">
        <v>121</v>
      </c>
      <c r="G36" s="62">
        <v>430</v>
      </c>
      <c r="H36" s="64">
        <v>0.6</v>
      </c>
      <c r="I36" s="62" t="s">
        <v>24</v>
      </c>
      <c r="J36" s="62" t="s">
        <v>24</v>
      </c>
      <c r="K36" s="62" t="s">
        <v>86</v>
      </c>
      <c r="L36" s="66">
        <v>1000</v>
      </c>
      <c r="M36" s="67"/>
      <c r="N36" s="66">
        <f t="shared" si="5"/>
        <v>1000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/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2"/>
      <c r="B37" s="62"/>
      <c r="C37" s="64"/>
      <c r="D37" s="62"/>
      <c r="E37" s="65"/>
      <c r="F37" s="62"/>
      <c r="G37" s="62"/>
      <c r="H37" s="64"/>
      <c r="I37" s="62"/>
      <c r="J37" s="62"/>
      <c r="K37" s="62"/>
      <c r="L37" s="66"/>
      <c r="M37" s="67"/>
      <c r="N37" s="66">
        <f t="shared" si="5"/>
        <v>0</v>
      </c>
      <c r="P37" s="62"/>
      <c r="Q37" s="62"/>
      <c r="R37" s="64"/>
      <c r="S37" s="62"/>
      <c r="T37" s="65"/>
      <c r="U37" s="62"/>
      <c r="V37" s="62"/>
      <c r="W37" s="64"/>
      <c r="X37" s="62"/>
      <c r="Y37" s="62"/>
      <c r="Z37" s="62"/>
      <c r="AA37" s="66"/>
      <c r="AB37" s="67"/>
      <c r="AC37" s="66"/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62"/>
      <c r="B38" s="62"/>
      <c r="C38" s="64"/>
      <c r="D38" s="62"/>
      <c r="E38" s="65"/>
      <c r="F38" s="62"/>
      <c r="G38" s="62"/>
      <c r="H38" s="64"/>
      <c r="I38" s="62"/>
      <c r="J38" s="62"/>
      <c r="K38" s="62"/>
      <c r="L38" s="62"/>
      <c r="M38" s="67"/>
      <c r="N38" s="66">
        <f t="shared" si="5"/>
        <v>0</v>
      </c>
      <c r="P38" s="68"/>
      <c r="Q38" s="68"/>
      <c r="R38" s="69"/>
      <c r="S38" s="68"/>
      <c r="T38" s="70"/>
      <c r="U38" s="68"/>
      <c r="V38" s="68"/>
      <c r="W38" s="69"/>
      <c r="X38" s="68"/>
      <c r="Y38" s="68"/>
      <c r="Z38" s="68"/>
      <c r="AA38" s="66">
        <f>SUM(AA24:AA27)</f>
        <v>0</v>
      </c>
      <c r="AB38" s="71">
        <f>SUM(AB24:AB27)</f>
        <v>0</v>
      </c>
      <c r="AC38" s="66">
        <f>SUM(AC24:AC27)</f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>
        <f t="shared" si="0"/>
        <v>0</v>
      </c>
      <c r="AN38" s="75"/>
    </row>
    <row r="39" spans="1:40" s="76" customFormat="1" ht="100.05" customHeight="1" x14ac:dyDescent="0.3">
      <c r="A39" s="68"/>
      <c r="B39" s="68"/>
      <c r="C39" s="69"/>
      <c r="D39" s="68"/>
      <c r="E39" s="70"/>
      <c r="F39" s="68"/>
      <c r="G39" s="68"/>
      <c r="H39" s="69"/>
      <c r="I39" s="68"/>
      <c r="J39" s="68"/>
      <c r="K39" s="68"/>
      <c r="L39" s="66">
        <f>SUM(L24:L38)</f>
        <v>9140</v>
      </c>
      <c r="M39" s="71">
        <f>SUM(M24:M38)</f>
        <v>3150</v>
      </c>
      <c r="N39" s="66">
        <f>SUM(N24:N38)</f>
        <v>5990</v>
      </c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68"/>
      <c r="AF39" s="68"/>
      <c r="AG39" s="69"/>
      <c r="AH39" s="68"/>
      <c r="AI39" s="70"/>
      <c r="AJ39" s="80"/>
      <c r="AK39" s="66">
        <f>SUM(AK4:AK38)</f>
        <v>25200</v>
      </c>
      <c r="AL39" s="71">
        <f>SUM(AL4:AL38)</f>
        <v>4300</v>
      </c>
      <c r="AM39" s="66">
        <f>SUM(AM4:AM38)</f>
        <v>20900</v>
      </c>
      <c r="AN39" s="75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5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5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 spans="1:40" s="75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E54" s="79"/>
      <c r="AF54" s="79"/>
      <c r="AG54" s="79"/>
      <c r="AH54" s="79"/>
      <c r="AI54" s="79"/>
      <c r="AJ54" s="79"/>
      <c r="AK54" s="79"/>
      <c r="AL54" s="79"/>
      <c r="AM54" s="79"/>
    </row>
    <row r="55" spans="1:40" s="75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 spans="1:40" s="76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5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5"/>
      <c r="AE56" s="79"/>
      <c r="AF56" s="79"/>
      <c r="AG56" s="79"/>
      <c r="AH56" s="79"/>
      <c r="AI56" s="79"/>
      <c r="AJ56" s="79"/>
      <c r="AK56" s="79"/>
      <c r="AL56" s="79"/>
      <c r="AM56" s="79"/>
      <c r="AN56" s="75"/>
    </row>
    <row r="57" spans="1:40" s="76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5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5"/>
      <c r="AE57" s="79"/>
      <c r="AF57" s="79"/>
      <c r="AG57" s="79"/>
      <c r="AH57" s="79"/>
      <c r="AI57" s="79"/>
      <c r="AJ57" s="79"/>
      <c r="AK57" s="79"/>
      <c r="AL57" s="79"/>
      <c r="AM57" s="79"/>
      <c r="AN57" s="75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  <row r="64" spans="1:40" s="56" customFormat="1" ht="100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2"/>
      <c r="AN64" s="3"/>
    </row>
    <row r="65" spans="1:40" s="56" customFormat="1" ht="100.0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2"/>
      <c r="AN65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zoomScale="25" zoomScaleNormal="25" workbookViewId="0">
      <selection activeCell="AU19" sqref="AU19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45945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160925</v>
      </c>
      <c r="B4" s="62">
        <v>304</v>
      </c>
      <c r="C4" s="64">
        <v>0.9</v>
      </c>
      <c r="D4" s="62">
        <v>510</v>
      </c>
      <c r="E4" s="86" t="s">
        <v>211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1100</v>
      </c>
      <c r="M4" s="67"/>
      <c r="N4" s="66">
        <f>L4-M4</f>
        <v>1100</v>
      </c>
      <c r="P4" s="62">
        <v>230925</v>
      </c>
      <c r="Q4" s="62">
        <v>430</v>
      </c>
      <c r="R4" s="64">
        <v>0.8</v>
      </c>
      <c r="S4" s="62">
        <v>425</v>
      </c>
      <c r="T4" s="65" t="s">
        <v>238</v>
      </c>
      <c r="U4" s="62" t="s">
        <v>23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>
        <f>400+1000+1000+1600+1950</f>
        <v>5950</v>
      </c>
      <c r="AC4" s="66">
        <f>AA4-AB4</f>
        <v>50</v>
      </c>
      <c r="AE4" s="62" t="s">
        <v>126</v>
      </c>
      <c r="AF4" s="62">
        <v>304</v>
      </c>
      <c r="AG4" s="64">
        <v>0.9</v>
      </c>
      <c r="AH4" s="77"/>
      <c r="AI4" s="65" t="s">
        <v>165</v>
      </c>
      <c r="AJ4" s="78" t="s">
        <v>119</v>
      </c>
      <c r="AK4" s="66">
        <v>1200</v>
      </c>
      <c r="AL4" s="67">
        <v>1200</v>
      </c>
      <c r="AM4" s="66">
        <f t="shared" ref="AM4:AM32" si="0">AK4-AL4</f>
        <v>0</v>
      </c>
    </row>
    <row r="5" spans="1:39" s="76" customFormat="1" ht="100.05" customHeight="1" x14ac:dyDescent="0.3">
      <c r="A5" s="62">
        <v>250042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/>
      <c r="N5" s="66">
        <f>L5-M5</f>
        <v>750</v>
      </c>
      <c r="P5" s="62">
        <v>131025</v>
      </c>
      <c r="Q5" s="62">
        <v>304</v>
      </c>
      <c r="R5" s="64">
        <v>0.9</v>
      </c>
      <c r="S5" s="62">
        <v>425</v>
      </c>
      <c r="T5" s="65" t="s">
        <v>256</v>
      </c>
      <c r="U5" s="62" t="s">
        <v>23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3000</v>
      </c>
      <c r="AB5" s="67"/>
      <c r="AC5" s="66">
        <f t="shared" ref="AC5:AC19" si="1">AA5-AB5</f>
        <v>3000</v>
      </c>
      <c r="AE5" s="62" t="s">
        <v>126</v>
      </c>
      <c r="AF5" s="62">
        <v>304</v>
      </c>
      <c r="AG5" s="64">
        <v>0.9</v>
      </c>
      <c r="AH5" s="77"/>
      <c r="AI5" s="65" t="s">
        <v>164</v>
      </c>
      <c r="AJ5" s="78" t="s">
        <v>119</v>
      </c>
      <c r="AK5" s="66">
        <v>1500</v>
      </c>
      <c r="AL5" s="67">
        <v>1500</v>
      </c>
      <c r="AM5" s="66">
        <f t="shared" si="0"/>
        <v>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543</v>
      </c>
      <c r="E6" s="86" t="s">
        <v>224</v>
      </c>
      <c r="F6" s="62" t="s">
        <v>121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>
        <v>230925</v>
      </c>
      <c r="Q6" s="62">
        <v>430</v>
      </c>
      <c r="R6" s="64">
        <v>0.8</v>
      </c>
      <c r="S6" s="62">
        <v>425</v>
      </c>
      <c r="T6" s="65" t="s">
        <v>239</v>
      </c>
      <c r="U6" s="62" t="s">
        <v>24</v>
      </c>
      <c r="V6" s="62" t="s">
        <v>24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6000</v>
      </c>
      <c r="AB6" s="67"/>
      <c r="AC6" s="66">
        <f t="shared" si="1"/>
        <v>6000</v>
      </c>
      <c r="AE6" s="62" t="s">
        <v>126</v>
      </c>
      <c r="AF6" s="62">
        <v>304</v>
      </c>
      <c r="AG6" s="64">
        <v>0.9</v>
      </c>
      <c r="AH6" s="67"/>
      <c r="AI6" s="65" t="s">
        <v>163</v>
      </c>
      <c r="AJ6" s="78" t="s">
        <v>119</v>
      </c>
      <c r="AK6" s="66">
        <v>1500</v>
      </c>
      <c r="AL6" s="67">
        <v>1500</v>
      </c>
      <c r="AM6" s="66">
        <f t="shared" si="0"/>
        <v>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560</v>
      </c>
      <c r="E7" s="86" t="s">
        <v>225</v>
      </c>
      <c r="F7" s="62" t="s">
        <v>121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160925</v>
      </c>
      <c r="AF7" s="62">
        <v>304</v>
      </c>
      <c r="AG7" s="64">
        <v>0.9</v>
      </c>
      <c r="AH7" s="67"/>
      <c r="AI7" s="65" t="s">
        <v>167</v>
      </c>
      <c r="AJ7" s="78" t="s">
        <v>119</v>
      </c>
      <c r="AK7" s="66">
        <v>1100</v>
      </c>
      <c r="AL7" s="67">
        <v>1100</v>
      </c>
      <c r="AM7" s="66">
        <f t="shared" si="0"/>
        <v>0</v>
      </c>
    </row>
    <row r="8" spans="1:39" s="76" customFormat="1" ht="100.05" customHeight="1" x14ac:dyDescent="0.3">
      <c r="A8" s="62">
        <v>250052</v>
      </c>
      <c r="B8" s="62">
        <v>304</v>
      </c>
      <c r="C8" s="64">
        <v>0.7</v>
      </c>
      <c r="D8" s="62">
        <v>615</v>
      </c>
      <c r="E8" s="91" t="s">
        <v>230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800</v>
      </c>
      <c r="M8" s="67">
        <f>550+250</f>
        <v>800</v>
      </c>
      <c r="N8" s="66">
        <f t="shared" ref="N8:N19" si="2">L8-M8</f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290925</v>
      </c>
      <c r="AF8" s="62">
        <v>304</v>
      </c>
      <c r="AG8" s="64" t="s">
        <v>24</v>
      </c>
      <c r="AH8" s="67" t="s">
        <v>24</v>
      </c>
      <c r="AI8" s="65" t="s">
        <v>203</v>
      </c>
      <c r="AJ8" s="78" t="s">
        <v>119</v>
      </c>
      <c r="AK8" s="66">
        <v>3000</v>
      </c>
      <c r="AL8" s="67">
        <f>1250+1800</f>
        <v>3050</v>
      </c>
      <c r="AM8" s="66">
        <f t="shared" si="0"/>
        <v>-50</v>
      </c>
    </row>
    <row r="9" spans="1:39" s="76" customFormat="1" ht="100.05" customHeight="1" x14ac:dyDescent="0.3">
      <c r="A9" s="62">
        <v>250057</v>
      </c>
      <c r="B9" s="62">
        <v>304</v>
      </c>
      <c r="C9" s="64">
        <v>0.7</v>
      </c>
      <c r="D9" s="62">
        <v>324</v>
      </c>
      <c r="E9" s="91" t="s">
        <v>236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410</v>
      </c>
      <c r="M9" s="67"/>
      <c r="N9" s="66">
        <f t="shared" si="2"/>
        <v>410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290925</v>
      </c>
      <c r="AF9" s="62">
        <v>304</v>
      </c>
      <c r="AG9" s="64" t="s">
        <v>24</v>
      </c>
      <c r="AH9" s="67" t="s">
        <v>24</v>
      </c>
      <c r="AI9" s="65" t="s">
        <v>204</v>
      </c>
      <c r="AJ9" s="78" t="s">
        <v>119</v>
      </c>
      <c r="AK9" s="66">
        <v>3000</v>
      </c>
      <c r="AL9" s="67">
        <f>1650+1400</f>
        <v>3050</v>
      </c>
      <c r="AM9" s="66">
        <f t="shared" si="0"/>
        <v>-50</v>
      </c>
    </row>
    <row r="10" spans="1:39" s="76" customFormat="1" ht="100.05" customHeight="1" x14ac:dyDescent="0.3">
      <c r="A10" s="62">
        <v>250061</v>
      </c>
      <c r="B10" s="62">
        <v>304</v>
      </c>
      <c r="C10" s="64">
        <v>0.7</v>
      </c>
      <c r="D10" s="62">
        <v>324</v>
      </c>
      <c r="E10" s="91" t="s">
        <v>236</v>
      </c>
      <c r="F10" s="62" t="s">
        <v>23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540</v>
      </c>
      <c r="M10" s="67"/>
      <c r="N10" s="66">
        <f t="shared" si="2"/>
        <v>540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250057</v>
      </c>
      <c r="AF10" s="62">
        <v>304</v>
      </c>
      <c r="AG10" s="64" t="s">
        <v>24</v>
      </c>
      <c r="AH10" s="67" t="s">
        <v>24</v>
      </c>
      <c r="AI10" s="65" t="s">
        <v>243</v>
      </c>
      <c r="AJ10" s="78" t="s">
        <v>119</v>
      </c>
      <c r="AK10" s="66">
        <v>410</v>
      </c>
      <c r="AL10" s="67">
        <v>410</v>
      </c>
      <c r="AM10" s="66">
        <f t="shared" si="0"/>
        <v>0</v>
      </c>
    </row>
    <row r="11" spans="1:39" s="76" customFormat="1" ht="100.05" customHeight="1" x14ac:dyDescent="0.3">
      <c r="A11" s="62">
        <v>250057</v>
      </c>
      <c r="B11" s="62">
        <v>304</v>
      </c>
      <c r="C11" s="64">
        <v>0.7</v>
      </c>
      <c r="D11" s="62">
        <v>543</v>
      </c>
      <c r="E11" s="91" t="s">
        <v>237</v>
      </c>
      <c r="F11" s="62" t="s">
        <v>121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212</v>
      </c>
      <c r="L11" s="66">
        <v>410</v>
      </c>
      <c r="M11" s="67"/>
      <c r="N11" s="66">
        <f t="shared" si="2"/>
        <v>410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250057</v>
      </c>
      <c r="AF11" s="62">
        <v>304</v>
      </c>
      <c r="AG11" s="64" t="s">
        <v>24</v>
      </c>
      <c r="AH11" s="67" t="s">
        <v>24</v>
      </c>
      <c r="AI11" s="65" t="s">
        <v>244</v>
      </c>
      <c r="AJ11" s="78" t="s">
        <v>119</v>
      </c>
      <c r="AK11" s="66">
        <v>410</v>
      </c>
      <c r="AL11" s="67">
        <v>410</v>
      </c>
      <c r="AM11" s="66">
        <f t="shared" si="0"/>
        <v>0</v>
      </c>
    </row>
    <row r="12" spans="1:39" s="76" customFormat="1" ht="100.05" customHeight="1" x14ac:dyDescent="0.3">
      <c r="A12" s="62">
        <v>21025</v>
      </c>
      <c r="B12" s="62">
        <v>304</v>
      </c>
      <c r="C12" s="64">
        <v>0.6</v>
      </c>
      <c r="D12" s="62">
        <v>321</v>
      </c>
      <c r="E12" s="91" t="s">
        <v>253</v>
      </c>
      <c r="F12" s="62" t="s">
        <v>121</v>
      </c>
      <c r="G12" s="62">
        <v>430</v>
      </c>
      <c r="H12" s="64">
        <v>0.6</v>
      </c>
      <c r="I12" s="62" t="s">
        <v>24</v>
      </c>
      <c r="J12" s="62" t="s">
        <v>24</v>
      </c>
      <c r="K12" s="62" t="s">
        <v>86</v>
      </c>
      <c r="L12" s="66">
        <v>1000</v>
      </c>
      <c r="M12" s="67"/>
      <c r="N12" s="66">
        <f t="shared" si="2"/>
        <v>1000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250061</v>
      </c>
      <c r="AF12" s="62">
        <v>304</v>
      </c>
      <c r="AG12" s="64" t="s">
        <v>24</v>
      </c>
      <c r="AH12" s="67" t="s">
        <v>24</v>
      </c>
      <c r="AI12" s="65" t="s">
        <v>245</v>
      </c>
      <c r="AJ12" s="78" t="s">
        <v>119</v>
      </c>
      <c r="AK12" s="66">
        <v>540</v>
      </c>
      <c r="AL12" s="67"/>
      <c r="AM12" s="66">
        <f t="shared" si="0"/>
        <v>540</v>
      </c>
    </row>
    <row r="13" spans="1:39" s="76" customFormat="1" ht="99.6" customHeight="1" x14ac:dyDescent="0.3">
      <c r="A13" s="62">
        <v>131025</v>
      </c>
      <c r="B13" s="62">
        <v>304</v>
      </c>
      <c r="C13" s="64">
        <v>0.9</v>
      </c>
      <c r="D13" s="62">
        <v>327</v>
      </c>
      <c r="E13" s="91" t="s">
        <v>67</v>
      </c>
      <c r="F13" s="62" t="s">
        <v>23</v>
      </c>
      <c r="G13" s="62" t="s">
        <v>24</v>
      </c>
      <c r="H13" s="64" t="s">
        <v>24</v>
      </c>
      <c r="I13" s="62" t="s">
        <v>24</v>
      </c>
      <c r="J13" s="62" t="s">
        <v>24</v>
      </c>
      <c r="K13" s="62" t="s">
        <v>79</v>
      </c>
      <c r="L13" s="66">
        <v>2050</v>
      </c>
      <c r="M13" s="67">
        <v>550</v>
      </c>
      <c r="N13" s="66">
        <f t="shared" si="2"/>
        <v>1500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250061</v>
      </c>
      <c r="AF13" s="62">
        <v>304</v>
      </c>
      <c r="AG13" s="64" t="s">
        <v>24</v>
      </c>
      <c r="AH13" s="67" t="s">
        <v>24</v>
      </c>
      <c r="AI13" s="65" t="s">
        <v>244</v>
      </c>
      <c r="AJ13" s="78" t="s">
        <v>119</v>
      </c>
      <c r="AK13" s="66">
        <v>540</v>
      </c>
      <c r="AL13" s="67">
        <v>540</v>
      </c>
      <c r="AM13" s="66">
        <f t="shared" si="0"/>
        <v>0</v>
      </c>
    </row>
    <row r="14" spans="1:39" s="76" customFormat="1" ht="99.6" customHeight="1" x14ac:dyDescent="0.3">
      <c r="A14" s="62"/>
      <c r="B14" s="62"/>
      <c r="C14" s="64"/>
      <c r="D14" s="62"/>
      <c r="E14" s="91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>
        <v>230925</v>
      </c>
      <c r="AF14" s="62">
        <v>430</v>
      </c>
      <c r="AG14" s="64">
        <v>0.8</v>
      </c>
      <c r="AH14" s="67" t="s">
        <v>24</v>
      </c>
      <c r="AI14" s="65" t="s">
        <v>57</v>
      </c>
      <c r="AJ14" s="78" t="s">
        <v>241</v>
      </c>
      <c r="AK14" s="66">
        <v>6000</v>
      </c>
      <c r="AL14" s="67"/>
      <c r="AM14" s="66">
        <f t="shared" si="0"/>
        <v>6000</v>
      </c>
    </row>
    <row r="15" spans="1:39" s="76" customFormat="1" ht="118.8" customHeight="1" x14ac:dyDescent="0.3">
      <c r="A15" s="62"/>
      <c r="B15" s="62"/>
      <c r="C15" s="64"/>
      <c r="D15" s="62"/>
      <c r="E15" s="91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>
        <v>230925</v>
      </c>
      <c r="AF15" s="62">
        <v>430</v>
      </c>
      <c r="AG15" s="64">
        <v>0.8</v>
      </c>
      <c r="AH15" s="67" t="s">
        <v>24</v>
      </c>
      <c r="AI15" s="65" t="s">
        <v>247</v>
      </c>
      <c r="AJ15" s="78" t="s">
        <v>241</v>
      </c>
      <c r="AK15" s="66">
        <v>6000</v>
      </c>
      <c r="AL15" s="67"/>
      <c r="AM15" s="66">
        <f>AK15-AL15</f>
        <v>6000</v>
      </c>
    </row>
    <row r="16" spans="1:39" s="76" customFormat="1" ht="100.05" customHeight="1" x14ac:dyDescent="0.3">
      <c r="A16" s="62"/>
      <c r="B16" s="62"/>
      <c r="C16" s="64"/>
      <c r="D16" s="62"/>
      <c r="E16" s="91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>AK16-AL16</f>
        <v>0</v>
      </c>
    </row>
    <row r="17" spans="1:40" s="76" customFormat="1" ht="100.05" customHeight="1" x14ac:dyDescent="0.3">
      <c r="A17" s="62"/>
      <c r="B17" s="62"/>
      <c r="C17" s="64"/>
      <c r="D17" s="62"/>
      <c r="E17" s="91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/>
      <c r="AF17" s="62"/>
      <c r="AG17" s="64"/>
      <c r="AH17" s="67"/>
      <c r="AI17" s="92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/>
      <c r="B18" s="62"/>
      <c r="C18" s="64"/>
      <c r="D18" s="62"/>
      <c r="E18" s="91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8560</v>
      </c>
      <c r="M20" s="71">
        <f>SUM(M4:M19)</f>
        <v>1350</v>
      </c>
      <c r="N20" s="66">
        <f>SUM(N4:N19)</f>
        <v>7210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15000</v>
      </c>
      <c r="AB20" s="71">
        <f>SUM(AB4:AB19)</f>
        <v>5950</v>
      </c>
      <c r="AC20" s="66">
        <f>SUM(AC4:AC19)</f>
        <v>9050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45.8000000000000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20125</v>
      </c>
      <c r="B24" s="62">
        <v>304</v>
      </c>
      <c r="C24" s="64">
        <v>0.6</v>
      </c>
      <c r="D24" s="62">
        <v>227</v>
      </c>
      <c r="E24" s="91" t="s">
        <v>248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500</v>
      </c>
      <c r="M24" s="67">
        <v>500</v>
      </c>
      <c r="N24" s="66">
        <f t="shared" ref="N24" si="3">L24-M24</f>
        <v>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0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20125</v>
      </c>
      <c r="B25" s="62">
        <v>304</v>
      </c>
      <c r="C25" s="64">
        <v>0.6</v>
      </c>
      <c r="D25" s="62">
        <v>234</v>
      </c>
      <c r="E25" s="91" t="s">
        <v>249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1000</v>
      </c>
      <c r="M25" s="67"/>
      <c r="N25" s="66">
        <f>L25-M25</f>
        <v>1000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20125</v>
      </c>
      <c r="B26" s="62">
        <v>304</v>
      </c>
      <c r="C26" s="64">
        <v>0.6</v>
      </c>
      <c r="D26" s="62">
        <v>234</v>
      </c>
      <c r="E26" s="91" t="s">
        <v>250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1000</v>
      </c>
      <c r="M26" s="67"/>
      <c r="N26" s="90">
        <f t="shared" ref="N26:N32" si="5">L26-M26</f>
        <v>1000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20125</v>
      </c>
      <c r="B27" s="62">
        <v>304</v>
      </c>
      <c r="C27" s="64">
        <v>0.6</v>
      </c>
      <c r="D27" s="62">
        <v>277</v>
      </c>
      <c r="E27" s="86" t="s">
        <v>251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1000</v>
      </c>
      <c r="M27" s="67"/>
      <c r="N27" s="66">
        <f t="shared" si="5"/>
        <v>1000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20125</v>
      </c>
      <c r="B28" s="62">
        <v>304</v>
      </c>
      <c r="C28" s="64">
        <v>0.6</v>
      </c>
      <c r="D28" s="62">
        <v>300</v>
      </c>
      <c r="E28" s="86" t="s">
        <v>252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500</v>
      </c>
      <c r="M28" s="67"/>
      <c r="N28" s="66">
        <f>L28-M28</f>
        <v>500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20125</v>
      </c>
      <c r="B29" s="62">
        <v>304</v>
      </c>
      <c r="C29" s="64">
        <v>0.6</v>
      </c>
      <c r="D29" s="62">
        <v>349</v>
      </c>
      <c r="E29" s="86" t="s">
        <v>254</v>
      </c>
      <c r="F29" s="62" t="s">
        <v>121</v>
      </c>
      <c r="G29" s="62">
        <v>430</v>
      </c>
      <c r="H29" s="64">
        <v>0.6</v>
      </c>
      <c r="I29" s="62" t="s">
        <v>24</v>
      </c>
      <c r="J29" s="62" t="s">
        <v>24</v>
      </c>
      <c r="K29" s="62" t="s">
        <v>86</v>
      </c>
      <c r="L29" s="66">
        <v>1000</v>
      </c>
      <c r="M29" s="67">
        <v>1000</v>
      </c>
      <c r="N29" s="66">
        <f>L29-M29</f>
        <v>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20125</v>
      </c>
      <c r="B30" s="62">
        <v>304</v>
      </c>
      <c r="C30" s="64">
        <v>0.6</v>
      </c>
      <c r="D30" s="62">
        <v>370</v>
      </c>
      <c r="E30" s="86" t="s">
        <v>255</v>
      </c>
      <c r="F30" s="62" t="s">
        <v>121</v>
      </c>
      <c r="G30" s="62">
        <v>430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1000</v>
      </c>
      <c r="M30" s="67"/>
      <c r="N30" s="66">
        <f>L30-M30</f>
        <v>1000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/>
      <c r="B31" s="62"/>
      <c r="C31" s="64"/>
      <c r="D31" s="62"/>
      <c r="E31" s="65"/>
      <c r="F31" s="62"/>
      <c r="G31" s="62"/>
      <c r="H31" s="64"/>
      <c r="I31" s="62"/>
      <c r="J31" s="62"/>
      <c r="K31" s="62"/>
      <c r="L31" s="66"/>
      <c r="M31" s="67"/>
      <c r="N31" s="66">
        <f t="shared" si="5"/>
        <v>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/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5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0</v>
      </c>
      <c r="AB32" s="71">
        <f>SUM(AB24:AB27)</f>
        <v>0</v>
      </c>
      <c r="AC32" s="66">
        <f>SUM(AC24:AC27)</f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6000</v>
      </c>
      <c r="M33" s="71">
        <f>SUM(M24:M32)</f>
        <v>1500</v>
      </c>
      <c r="N33" s="66">
        <f>SUM(N24:N32)</f>
        <v>4500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25200</v>
      </c>
      <c r="AL33" s="71">
        <f>SUM(AL4:AL32)</f>
        <v>12760</v>
      </c>
      <c r="AM33" s="66">
        <f>SUM(AM4:AM32)</f>
        <v>12440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2:N22"/>
    <mergeCell ref="P22:AC22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9"/>
  <sheetViews>
    <sheetView topLeftCell="B1" zoomScale="25" zoomScaleNormal="25" workbookViewId="0">
      <selection activeCell="AS7" sqref="AS7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45946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45946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160925</v>
      </c>
      <c r="B4" s="62">
        <v>304</v>
      </c>
      <c r="C4" s="64">
        <v>0.9</v>
      </c>
      <c r="D4" s="62">
        <v>510</v>
      </c>
      <c r="E4" s="86" t="s">
        <v>211</v>
      </c>
      <c r="F4" s="62" t="s">
        <v>121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1100</v>
      </c>
      <c r="M4" s="67">
        <v>1120</v>
      </c>
      <c r="N4" s="66">
        <f>L4-M4</f>
        <v>-20</v>
      </c>
      <c r="P4" s="62">
        <v>230925</v>
      </c>
      <c r="Q4" s="62">
        <v>430</v>
      </c>
      <c r="R4" s="64">
        <v>0.8</v>
      </c>
      <c r="S4" s="62">
        <v>425</v>
      </c>
      <c r="T4" s="65" t="s">
        <v>238</v>
      </c>
      <c r="U4" s="62" t="s">
        <v>23</v>
      </c>
      <c r="V4" s="62">
        <v>430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>
        <f>400+1000+1000+1600+1950+150</f>
        <v>6100</v>
      </c>
      <c r="AC4" s="66">
        <f>AA4-AB4</f>
        <v>-100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/>
      <c r="AM4" s="66">
        <f t="shared" ref="AM4:AM32" si="0">AK4-AL4</f>
        <v>540</v>
      </c>
    </row>
    <row r="5" spans="1:39" s="76" customFormat="1" ht="100.05" customHeight="1" x14ac:dyDescent="0.3">
      <c r="A5" s="62">
        <v>250042</v>
      </c>
      <c r="B5" s="62">
        <v>304</v>
      </c>
      <c r="C5" s="64">
        <v>0.9</v>
      </c>
      <c r="D5" s="62">
        <v>510</v>
      </c>
      <c r="E5" s="86" t="s">
        <v>211</v>
      </c>
      <c r="F5" s="62" t="s">
        <v>121</v>
      </c>
      <c r="G5" s="62">
        <v>304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/>
      <c r="N5" s="66">
        <f>L5-M5</f>
        <v>750</v>
      </c>
      <c r="P5" s="62">
        <v>131025</v>
      </c>
      <c r="Q5" s="62">
        <v>304</v>
      </c>
      <c r="R5" s="64">
        <v>0.9</v>
      </c>
      <c r="S5" s="62">
        <v>425</v>
      </c>
      <c r="T5" s="65" t="s">
        <v>256</v>
      </c>
      <c r="U5" s="62" t="s">
        <v>23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3000</v>
      </c>
      <c r="AB5" s="67">
        <f>850</f>
        <v>850</v>
      </c>
      <c r="AC5" s="66">
        <f t="shared" ref="AC5:AC19" si="1">AA5-AB5</f>
        <v>2150</v>
      </c>
      <c r="AE5" s="62">
        <v>230925</v>
      </c>
      <c r="AF5" s="62">
        <v>430</v>
      </c>
      <c r="AG5" s="64">
        <v>0.8</v>
      </c>
      <c r="AH5" s="67" t="s">
        <v>24</v>
      </c>
      <c r="AI5" s="65" t="s">
        <v>57</v>
      </c>
      <c r="AJ5" s="78" t="s">
        <v>241</v>
      </c>
      <c r="AK5" s="66">
        <v>6000</v>
      </c>
      <c r="AL5" s="67">
        <f>400+3010</f>
        <v>3410</v>
      </c>
      <c r="AM5" s="66">
        <f t="shared" si="0"/>
        <v>2590</v>
      </c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543</v>
      </c>
      <c r="E6" s="86" t="s">
        <v>224</v>
      </c>
      <c r="F6" s="62" t="s">
        <v>121</v>
      </c>
      <c r="G6" s="62">
        <v>304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>
        <v>230925</v>
      </c>
      <c r="Q6" s="62">
        <v>430</v>
      </c>
      <c r="R6" s="64">
        <v>0.8</v>
      </c>
      <c r="S6" s="62">
        <v>425</v>
      </c>
      <c r="T6" s="65" t="s">
        <v>239</v>
      </c>
      <c r="U6" s="62" t="s">
        <v>24</v>
      </c>
      <c r="V6" s="62" t="s">
        <v>24</v>
      </c>
      <c r="W6" s="64" t="s">
        <v>24</v>
      </c>
      <c r="X6" s="62" t="s">
        <v>24</v>
      </c>
      <c r="Y6" s="62" t="s">
        <v>24</v>
      </c>
      <c r="Z6" s="62" t="s">
        <v>74</v>
      </c>
      <c r="AA6" s="66">
        <v>6000</v>
      </c>
      <c r="AB6" s="67"/>
      <c r="AC6" s="66">
        <f t="shared" si="1"/>
        <v>6000</v>
      </c>
      <c r="AE6" s="62">
        <v>230925</v>
      </c>
      <c r="AF6" s="62">
        <v>430</v>
      </c>
      <c r="AG6" s="64">
        <v>0.8</v>
      </c>
      <c r="AH6" s="67" t="s">
        <v>24</v>
      </c>
      <c r="AI6" s="65" t="s">
        <v>247</v>
      </c>
      <c r="AJ6" s="78" t="s">
        <v>241</v>
      </c>
      <c r="AK6" s="66">
        <v>6000</v>
      </c>
      <c r="AL6" s="67"/>
      <c r="AM6" s="66">
        <f t="shared" si="0"/>
        <v>6000</v>
      </c>
    </row>
    <row r="7" spans="1:39" s="76" customFormat="1" ht="100.05" customHeight="1" x14ac:dyDescent="0.3">
      <c r="A7" s="62">
        <v>250042</v>
      </c>
      <c r="B7" s="62">
        <v>304</v>
      </c>
      <c r="C7" s="64">
        <v>0.9</v>
      </c>
      <c r="D7" s="62">
        <v>560</v>
      </c>
      <c r="E7" s="86" t="s">
        <v>225</v>
      </c>
      <c r="F7" s="62" t="s">
        <v>121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223</v>
      </c>
      <c r="L7" s="66">
        <v>750</v>
      </c>
      <c r="M7" s="67"/>
      <c r="N7" s="66">
        <f>L7-M7</f>
        <v>750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131025</v>
      </c>
      <c r="AF7" s="62">
        <v>304</v>
      </c>
      <c r="AG7" s="64">
        <v>0.6</v>
      </c>
      <c r="AH7" s="67" t="s">
        <v>24</v>
      </c>
      <c r="AI7" s="65" t="s">
        <v>257</v>
      </c>
      <c r="AJ7" s="78" t="s">
        <v>241</v>
      </c>
      <c r="AK7" s="66">
        <v>3000</v>
      </c>
      <c r="AL7" s="67"/>
      <c r="AM7" s="66">
        <f t="shared" si="0"/>
        <v>3000</v>
      </c>
    </row>
    <row r="8" spans="1:39" s="76" customFormat="1" ht="100.05" customHeight="1" x14ac:dyDescent="0.3">
      <c r="A8" s="62">
        <v>250057</v>
      </c>
      <c r="B8" s="62">
        <v>304</v>
      </c>
      <c r="C8" s="64">
        <v>0.7</v>
      </c>
      <c r="D8" s="62">
        <v>324</v>
      </c>
      <c r="E8" s="91" t="s">
        <v>236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410</v>
      </c>
      <c r="M8" s="67"/>
      <c r="N8" s="66">
        <f t="shared" ref="N8:N19" si="2">L8-M8</f>
        <v>410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39" s="76" customFormat="1" ht="100.05" customHeight="1" x14ac:dyDescent="0.3">
      <c r="A9" s="62">
        <v>250061</v>
      </c>
      <c r="B9" s="62">
        <v>304</v>
      </c>
      <c r="C9" s="64">
        <v>0.7</v>
      </c>
      <c r="D9" s="62">
        <v>324</v>
      </c>
      <c r="E9" s="91" t="s">
        <v>236</v>
      </c>
      <c r="F9" s="62" t="s">
        <v>23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540</v>
      </c>
      <c r="M9" s="67"/>
      <c r="N9" s="66">
        <f t="shared" si="2"/>
        <v>540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39" s="76" customFormat="1" ht="100.05" customHeight="1" x14ac:dyDescent="0.3">
      <c r="A10" s="62">
        <v>250057</v>
      </c>
      <c r="B10" s="62">
        <v>304</v>
      </c>
      <c r="C10" s="64">
        <v>0.7</v>
      </c>
      <c r="D10" s="62">
        <v>543</v>
      </c>
      <c r="E10" s="91" t="s">
        <v>237</v>
      </c>
      <c r="F10" s="62" t="s">
        <v>121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212</v>
      </c>
      <c r="L10" s="66">
        <v>410</v>
      </c>
      <c r="M10" s="67"/>
      <c r="N10" s="66">
        <f t="shared" si="2"/>
        <v>410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39" s="76" customFormat="1" ht="100.05" customHeight="1" x14ac:dyDescent="0.3">
      <c r="A11" s="62">
        <v>21025</v>
      </c>
      <c r="B11" s="62">
        <v>304</v>
      </c>
      <c r="C11" s="64">
        <v>0.6</v>
      </c>
      <c r="D11" s="62">
        <v>321</v>
      </c>
      <c r="E11" s="91" t="s">
        <v>253</v>
      </c>
      <c r="F11" s="62" t="s">
        <v>121</v>
      </c>
      <c r="G11" s="62">
        <v>430</v>
      </c>
      <c r="H11" s="64">
        <v>0.6</v>
      </c>
      <c r="I11" s="62" t="s">
        <v>24</v>
      </c>
      <c r="J11" s="62" t="s">
        <v>24</v>
      </c>
      <c r="K11" s="62" t="s">
        <v>86</v>
      </c>
      <c r="L11" s="66">
        <v>1000</v>
      </c>
      <c r="M11" s="67"/>
      <c r="N11" s="66">
        <f t="shared" si="2"/>
        <v>1000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39" s="76" customFormat="1" ht="100.05" customHeight="1" x14ac:dyDescent="0.3">
      <c r="A12" s="62">
        <v>131025</v>
      </c>
      <c r="B12" s="62">
        <v>304</v>
      </c>
      <c r="C12" s="64">
        <v>0.9</v>
      </c>
      <c r="D12" s="62">
        <v>327</v>
      </c>
      <c r="E12" s="91" t="s">
        <v>67</v>
      </c>
      <c r="F12" s="62" t="s">
        <v>23</v>
      </c>
      <c r="G12" s="62" t="s">
        <v>24</v>
      </c>
      <c r="H12" s="64" t="s">
        <v>24</v>
      </c>
      <c r="I12" s="62" t="s">
        <v>24</v>
      </c>
      <c r="J12" s="62" t="s">
        <v>24</v>
      </c>
      <c r="K12" s="62" t="s">
        <v>79</v>
      </c>
      <c r="L12" s="66">
        <v>2050</v>
      </c>
      <c r="M12" s="67">
        <f>550+700</f>
        <v>1250</v>
      </c>
      <c r="N12" s="66">
        <f t="shared" si="2"/>
        <v>800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39" s="76" customFormat="1" ht="99.6" customHeight="1" x14ac:dyDescent="0.3">
      <c r="A13" s="62"/>
      <c r="B13" s="62"/>
      <c r="C13" s="64"/>
      <c r="D13" s="62"/>
      <c r="E13" s="91"/>
      <c r="F13" s="62"/>
      <c r="G13" s="62"/>
      <c r="H13" s="64"/>
      <c r="I13" s="62"/>
      <c r="J13" s="62"/>
      <c r="K13" s="62"/>
      <c r="L13" s="66"/>
      <c r="M13" s="67"/>
      <c r="N13" s="66">
        <f t="shared" si="2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39" s="76" customFormat="1" ht="99.6" customHeight="1" x14ac:dyDescent="0.3">
      <c r="A14" s="62"/>
      <c r="B14" s="62"/>
      <c r="C14" s="64"/>
      <c r="D14" s="62"/>
      <c r="E14" s="91"/>
      <c r="F14" s="62"/>
      <c r="G14" s="62"/>
      <c r="H14" s="64"/>
      <c r="I14" s="62"/>
      <c r="J14" s="62"/>
      <c r="K14" s="62"/>
      <c r="L14" s="66"/>
      <c r="M14" s="67"/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18.8" customHeight="1" x14ac:dyDescent="0.3">
      <c r="A15" s="62"/>
      <c r="B15" s="62"/>
      <c r="C15" s="64"/>
      <c r="D15" s="62"/>
      <c r="E15" s="91"/>
      <c r="F15" s="62"/>
      <c r="G15" s="62"/>
      <c r="H15" s="64"/>
      <c r="I15" s="62"/>
      <c r="J15" s="62"/>
      <c r="K15" s="62"/>
      <c r="L15" s="66"/>
      <c r="M15" s="67"/>
      <c r="N15" s="66">
        <f t="shared" si="2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>AK15-AL15</f>
        <v>0</v>
      </c>
    </row>
    <row r="16" spans="1:39" s="76" customFormat="1" ht="100.05" customHeight="1" x14ac:dyDescent="0.3">
      <c r="A16" s="62"/>
      <c r="B16" s="62"/>
      <c r="C16" s="64"/>
      <c r="D16" s="62"/>
      <c r="E16" s="91"/>
      <c r="F16" s="62"/>
      <c r="G16" s="62"/>
      <c r="H16" s="64"/>
      <c r="I16" s="62"/>
      <c r="J16" s="62"/>
      <c r="K16" s="62"/>
      <c r="L16" s="66"/>
      <c r="M16" s="67"/>
      <c r="N16" s="66">
        <f t="shared" si="2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>AK16-AL16</f>
        <v>0</v>
      </c>
    </row>
    <row r="17" spans="1:40" s="76" customFormat="1" ht="100.05" customHeight="1" x14ac:dyDescent="0.3">
      <c r="A17" s="62"/>
      <c r="B17" s="62"/>
      <c r="C17" s="64"/>
      <c r="D17" s="62"/>
      <c r="E17" s="91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1"/>
        <v>0</v>
      </c>
      <c r="AE17" s="62"/>
      <c r="AF17" s="62"/>
      <c r="AG17" s="64"/>
      <c r="AH17" s="67"/>
      <c r="AI17" s="86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/>
      <c r="B18" s="62"/>
      <c r="C18" s="64"/>
      <c r="D18" s="62"/>
      <c r="E18" s="91"/>
      <c r="F18" s="62"/>
      <c r="G18" s="62"/>
      <c r="H18" s="64"/>
      <c r="I18" s="62"/>
      <c r="J18" s="62"/>
      <c r="K18" s="62"/>
      <c r="L18" s="66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/>
      <c r="B19" s="62"/>
      <c r="C19" s="64"/>
      <c r="D19" s="62"/>
      <c r="E19" s="65"/>
      <c r="F19" s="62"/>
      <c r="G19" s="62"/>
      <c r="H19" s="64"/>
      <c r="I19" s="62"/>
      <c r="J19" s="62"/>
      <c r="K19" s="62"/>
      <c r="L19" s="62"/>
      <c r="M19" s="67"/>
      <c r="N19" s="66">
        <f t="shared" si="2"/>
        <v>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2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8"/>
      <c r="B20" s="68"/>
      <c r="C20" s="69"/>
      <c r="D20" s="68"/>
      <c r="E20" s="70"/>
      <c r="F20" s="68"/>
      <c r="G20" s="68"/>
      <c r="H20" s="69"/>
      <c r="I20" s="68"/>
      <c r="J20" s="68"/>
      <c r="K20" s="68"/>
      <c r="L20" s="66">
        <f>SUM(L4:L19)</f>
        <v>7760</v>
      </c>
      <c r="M20" s="71">
        <f>SUM(M4:M19)</f>
        <v>2370</v>
      </c>
      <c r="N20" s="66">
        <f>SUM(N4:N19)</f>
        <v>5390</v>
      </c>
      <c r="P20" s="68"/>
      <c r="Q20" s="68"/>
      <c r="R20" s="69"/>
      <c r="S20" s="68"/>
      <c r="T20" s="70"/>
      <c r="U20" s="68"/>
      <c r="V20" s="68"/>
      <c r="W20" s="69"/>
      <c r="X20" s="68"/>
      <c r="Y20" s="68"/>
      <c r="Z20" s="68"/>
      <c r="AA20" s="66">
        <f>AA4+AA5+AA6+AA7+AA19</f>
        <v>15000</v>
      </c>
      <c r="AB20" s="71">
        <f>SUM(AB4:AB19)</f>
        <v>6950</v>
      </c>
      <c r="AC20" s="66">
        <f>SUM(AC4:AC19)</f>
        <v>8050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5" customFormat="1" ht="100.05" customHeight="1" x14ac:dyDescent="0.3">
      <c r="A21" s="79"/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00.05" customHeight="1" x14ac:dyDescent="0.3">
      <c r="A22" s="109" t="s">
        <v>101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1"/>
      <c r="P22" s="109" t="s">
        <v>99</v>
      </c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1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45.80000000000001" x14ac:dyDescent="0.3">
      <c r="A23" s="81" t="s">
        <v>0</v>
      </c>
      <c r="B23" s="81" t="s">
        <v>9</v>
      </c>
      <c r="C23" s="82" t="s">
        <v>11</v>
      </c>
      <c r="D23" s="81" t="s">
        <v>2</v>
      </c>
      <c r="E23" s="81" t="s">
        <v>1</v>
      </c>
      <c r="F23" s="81" t="s">
        <v>14</v>
      </c>
      <c r="G23" s="81" t="s">
        <v>8</v>
      </c>
      <c r="H23" s="82" t="s">
        <v>10</v>
      </c>
      <c r="I23" s="82" t="s">
        <v>12</v>
      </c>
      <c r="J23" s="82" t="s">
        <v>13</v>
      </c>
      <c r="K23" s="81" t="s">
        <v>3</v>
      </c>
      <c r="L23" s="81" t="s">
        <v>7</v>
      </c>
      <c r="M23" s="81" t="s">
        <v>5</v>
      </c>
      <c r="N23" s="81" t="s">
        <v>6</v>
      </c>
      <c r="P23" s="81" t="s">
        <v>0</v>
      </c>
      <c r="Q23" s="81" t="s">
        <v>9</v>
      </c>
      <c r="R23" s="82" t="s">
        <v>11</v>
      </c>
      <c r="S23" s="81" t="s">
        <v>2</v>
      </c>
      <c r="T23" s="81" t="s">
        <v>1</v>
      </c>
      <c r="U23" s="81" t="s">
        <v>14</v>
      </c>
      <c r="V23" s="81" t="s">
        <v>8</v>
      </c>
      <c r="W23" s="82" t="s">
        <v>10</v>
      </c>
      <c r="X23" s="82" t="s">
        <v>12</v>
      </c>
      <c r="Y23" s="82" t="s">
        <v>13</v>
      </c>
      <c r="Z23" s="81" t="s">
        <v>3</v>
      </c>
      <c r="AA23" s="81" t="s">
        <v>7</v>
      </c>
      <c r="AB23" s="81" t="s">
        <v>5</v>
      </c>
      <c r="AC23" s="81" t="s">
        <v>6</v>
      </c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6" customFormat="1" ht="100.05" customHeight="1" x14ac:dyDescent="0.3">
      <c r="A24" s="62">
        <v>20125</v>
      </c>
      <c r="B24" s="62">
        <v>304</v>
      </c>
      <c r="C24" s="64">
        <v>0.6</v>
      </c>
      <c r="D24" s="62">
        <v>234</v>
      </c>
      <c r="E24" s="91" t="s">
        <v>249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1000</v>
      </c>
      <c r="M24" s="67"/>
      <c r="N24" s="66">
        <f t="shared" ref="N24" si="3">L24-M24</f>
        <v>1000</v>
      </c>
      <c r="P24" s="62"/>
      <c r="Q24" s="62"/>
      <c r="R24" s="64"/>
      <c r="S24" s="62"/>
      <c r="T24" s="65"/>
      <c r="U24" s="62"/>
      <c r="V24" s="62"/>
      <c r="W24" s="64"/>
      <c r="X24" s="62"/>
      <c r="Y24" s="62"/>
      <c r="Z24" s="62"/>
      <c r="AA24" s="66"/>
      <c r="AB24" s="67"/>
      <c r="AC24" s="66">
        <f t="shared" ref="AC24:AC30" si="4">AA24-AB24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6" customFormat="1" ht="100.05" customHeight="1" x14ac:dyDescent="0.3">
      <c r="A25" s="62">
        <v>20125</v>
      </c>
      <c r="B25" s="62">
        <v>304</v>
      </c>
      <c r="C25" s="64">
        <v>0.6</v>
      </c>
      <c r="D25" s="62">
        <v>234</v>
      </c>
      <c r="E25" s="91" t="s">
        <v>250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1000</v>
      </c>
      <c r="M25" s="67"/>
      <c r="N25" s="66">
        <f>L25-M25</f>
        <v>1000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4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20125</v>
      </c>
      <c r="B26" s="62">
        <v>304</v>
      </c>
      <c r="C26" s="64">
        <v>0.6</v>
      </c>
      <c r="D26" s="62">
        <v>277</v>
      </c>
      <c r="E26" s="86" t="s">
        <v>251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1000</v>
      </c>
      <c r="M26" s="67"/>
      <c r="N26" s="90">
        <f t="shared" ref="N26:N32" si="5">L26-M26</f>
        <v>1000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4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20125</v>
      </c>
      <c r="B27" s="62">
        <v>304</v>
      </c>
      <c r="C27" s="64">
        <v>0.6</v>
      </c>
      <c r="D27" s="62">
        <v>300</v>
      </c>
      <c r="E27" s="86" t="s">
        <v>252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500</v>
      </c>
      <c r="M27" s="67"/>
      <c r="N27" s="66">
        <f t="shared" si="5"/>
        <v>500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4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20125</v>
      </c>
      <c r="B28" s="62">
        <v>304</v>
      </c>
      <c r="C28" s="64">
        <v>0.6</v>
      </c>
      <c r="D28" s="62">
        <v>370</v>
      </c>
      <c r="E28" s="86" t="s">
        <v>255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1000</v>
      </c>
      <c r="M28" s="67"/>
      <c r="N28" s="66">
        <f>L28-M28</f>
        <v>1000</v>
      </c>
      <c r="P28" s="62"/>
      <c r="Q28" s="62"/>
      <c r="R28" s="64"/>
      <c r="S28" s="62"/>
      <c r="T28" s="65"/>
      <c r="U28" s="62"/>
      <c r="V28" s="62"/>
      <c r="W28" s="64"/>
      <c r="X28" s="62"/>
      <c r="Y28" s="62"/>
      <c r="Z28" s="62"/>
      <c r="AA28" s="66"/>
      <c r="AB28" s="67"/>
      <c r="AC28" s="66">
        <f t="shared" si="4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/>
      <c r="B29" s="62"/>
      <c r="C29" s="64"/>
      <c r="D29" s="62"/>
      <c r="E29" s="86"/>
      <c r="F29" s="62"/>
      <c r="G29" s="62"/>
      <c r="H29" s="64"/>
      <c r="I29" s="62"/>
      <c r="J29" s="62"/>
      <c r="K29" s="62"/>
      <c r="L29" s="66"/>
      <c r="M29" s="67"/>
      <c r="N29" s="66">
        <f>L29-M29</f>
        <v>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4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/>
      <c r="B30" s="62"/>
      <c r="C30" s="64"/>
      <c r="D30" s="62"/>
      <c r="E30" s="86"/>
      <c r="F30" s="62"/>
      <c r="G30" s="62"/>
      <c r="H30" s="64"/>
      <c r="I30" s="62"/>
      <c r="J30" s="62"/>
      <c r="K30" s="62"/>
      <c r="L30" s="66"/>
      <c r="M30" s="67"/>
      <c r="N30" s="66">
        <f>L30-M30</f>
        <v>0</v>
      </c>
      <c r="P30" s="62"/>
      <c r="Q30" s="62"/>
      <c r="R30" s="64"/>
      <c r="S30" s="62"/>
      <c r="T30" s="65"/>
      <c r="U30" s="62"/>
      <c r="V30" s="62"/>
      <c r="W30" s="64"/>
      <c r="X30" s="62"/>
      <c r="Y30" s="62"/>
      <c r="Z30" s="62"/>
      <c r="AA30" s="66"/>
      <c r="AB30" s="67"/>
      <c r="AC30" s="66">
        <f t="shared" si="4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/>
      <c r="B31" s="62"/>
      <c r="C31" s="64"/>
      <c r="D31" s="62"/>
      <c r="E31" s="65"/>
      <c r="F31" s="62"/>
      <c r="G31" s="62"/>
      <c r="H31" s="64"/>
      <c r="I31" s="62"/>
      <c r="J31" s="62"/>
      <c r="K31" s="62"/>
      <c r="L31" s="66"/>
      <c r="M31" s="67"/>
      <c r="N31" s="66">
        <f t="shared" si="5"/>
        <v>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/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/>
      <c r="B32" s="62"/>
      <c r="C32" s="64"/>
      <c r="D32" s="62"/>
      <c r="E32" s="65"/>
      <c r="F32" s="62"/>
      <c r="G32" s="62"/>
      <c r="H32" s="64"/>
      <c r="I32" s="62"/>
      <c r="J32" s="62"/>
      <c r="K32" s="62"/>
      <c r="L32" s="62"/>
      <c r="M32" s="67"/>
      <c r="N32" s="66">
        <f t="shared" si="5"/>
        <v>0</v>
      </c>
      <c r="P32" s="68"/>
      <c r="Q32" s="68"/>
      <c r="R32" s="69"/>
      <c r="S32" s="68"/>
      <c r="T32" s="70"/>
      <c r="U32" s="68"/>
      <c r="V32" s="68"/>
      <c r="W32" s="69"/>
      <c r="X32" s="68"/>
      <c r="Y32" s="68"/>
      <c r="Z32" s="68"/>
      <c r="AA32" s="66">
        <f>SUM(AA24:AA27)</f>
        <v>0</v>
      </c>
      <c r="AB32" s="71">
        <f>SUM(AB24:AB27)</f>
        <v>0</v>
      </c>
      <c r="AC32" s="66">
        <f>SUM(AC24:AC27)</f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8"/>
      <c r="B33" s="68"/>
      <c r="C33" s="69"/>
      <c r="D33" s="68"/>
      <c r="E33" s="70"/>
      <c r="F33" s="68"/>
      <c r="G33" s="68"/>
      <c r="H33" s="69"/>
      <c r="I33" s="68"/>
      <c r="J33" s="68"/>
      <c r="K33" s="68"/>
      <c r="L33" s="66">
        <f>SUM(L24:L32)</f>
        <v>4500</v>
      </c>
      <c r="M33" s="71">
        <f>SUM(M24:M32)</f>
        <v>0</v>
      </c>
      <c r="N33" s="66">
        <f>SUM(N24:N32)</f>
        <v>4500</v>
      </c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68"/>
      <c r="AF33" s="68"/>
      <c r="AG33" s="69"/>
      <c r="AH33" s="68"/>
      <c r="AI33" s="70"/>
      <c r="AJ33" s="80"/>
      <c r="AK33" s="66">
        <f>SUM(AK4:AK32)</f>
        <v>15540</v>
      </c>
      <c r="AL33" s="71">
        <f>SUM(AL4:AL32)</f>
        <v>3410</v>
      </c>
      <c r="AM33" s="66">
        <f>SUM(AM4:AM32)</f>
        <v>12130</v>
      </c>
      <c r="AN33" s="75"/>
    </row>
    <row r="34" spans="1:40" s="75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E34" s="79"/>
      <c r="AF34" s="79"/>
      <c r="AG34" s="79"/>
      <c r="AH34" s="79"/>
      <c r="AI34" s="79"/>
      <c r="AJ34" s="79"/>
      <c r="AK34" s="79"/>
      <c r="AL34" s="79"/>
      <c r="AM34" s="79"/>
    </row>
    <row r="35" spans="1:40" s="75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E35" s="79"/>
      <c r="AF35" s="79"/>
      <c r="AG35" s="79"/>
      <c r="AH35" s="79"/>
      <c r="AI35" s="79"/>
      <c r="AJ35" s="79"/>
      <c r="AK35" s="79"/>
      <c r="AL35" s="79"/>
      <c r="AM35" s="79"/>
    </row>
    <row r="36" spans="1:40" s="75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E36" s="79"/>
      <c r="AF36" s="79"/>
      <c r="AG36" s="79"/>
      <c r="AH36" s="79"/>
      <c r="AI36" s="79"/>
      <c r="AJ36" s="79"/>
      <c r="AK36" s="79"/>
      <c r="AL36" s="79"/>
      <c r="AM36" s="79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</sheetData>
  <mergeCells count="11">
    <mergeCell ref="A2:N2"/>
    <mergeCell ref="P2:AC2"/>
    <mergeCell ref="AE2:AM2"/>
    <mergeCell ref="A22:N22"/>
    <mergeCell ref="P22:AC22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9"/>
  <sheetViews>
    <sheetView zoomScale="25" zoomScaleNormal="25" workbookViewId="0">
      <selection activeCell="M6" sqref="M6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45947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45947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250042</v>
      </c>
      <c r="B4" s="62">
        <v>304</v>
      </c>
      <c r="C4" s="64">
        <v>0.9</v>
      </c>
      <c r="D4" s="62">
        <v>510</v>
      </c>
      <c r="E4" s="86" t="s">
        <v>211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750</v>
      </c>
      <c r="M4" s="67">
        <v>850</v>
      </c>
      <c r="N4" s="66">
        <f>L4-M4</f>
        <v>-100</v>
      </c>
      <c r="P4" s="62">
        <v>131025</v>
      </c>
      <c r="Q4" s="62">
        <v>304</v>
      </c>
      <c r="R4" s="64">
        <v>0.9</v>
      </c>
      <c r="S4" s="62">
        <v>425</v>
      </c>
      <c r="T4" s="65" t="s">
        <v>256</v>
      </c>
      <c r="U4" s="62" t="s">
        <v>23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3000</v>
      </c>
      <c r="AB4" s="67">
        <f>850+1200</f>
        <v>2050</v>
      </c>
      <c r="AC4" s="66">
        <f>AA4-AB4</f>
        <v>950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/>
      <c r="AM4" s="66">
        <f t="shared" ref="AM4:AM22" si="0">AK4-AL4</f>
        <v>540</v>
      </c>
    </row>
    <row r="5" spans="1:40" s="76" customFormat="1" ht="100.05" customHeight="1" x14ac:dyDescent="0.3">
      <c r="A5" s="62">
        <v>250042</v>
      </c>
      <c r="B5" s="62">
        <v>304</v>
      </c>
      <c r="C5" s="64">
        <v>0.9</v>
      </c>
      <c r="D5" s="62">
        <v>543</v>
      </c>
      <c r="E5" s="86" t="s">
        <v>224</v>
      </c>
      <c r="F5" s="62" t="s">
        <v>121</v>
      </c>
      <c r="G5" s="62">
        <v>304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>
        <v>20</v>
      </c>
      <c r="N5" s="66">
        <f>L5-M5</f>
        <v>730</v>
      </c>
      <c r="P5" s="62">
        <v>230925</v>
      </c>
      <c r="Q5" s="62">
        <v>430</v>
      </c>
      <c r="R5" s="64">
        <v>0.8</v>
      </c>
      <c r="S5" s="62">
        <v>425</v>
      </c>
      <c r="T5" s="65" t="s">
        <v>239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 t="shared" ref="AC5:AC12" si="1">AA5-AB5</f>
        <v>6000</v>
      </c>
      <c r="AE5" s="62">
        <v>230925</v>
      </c>
      <c r="AF5" s="62">
        <v>430</v>
      </c>
      <c r="AG5" s="64">
        <v>0.8</v>
      </c>
      <c r="AH5" s="67" t="s">
        <v>24</v>
      </c>
      <c r="AI5" s="65" t="s">
        <v>57</v>
      </c>
      <c r="AJ5" s="78" t="s">
        <v>241</v>
      </c>
      <c r="AK5" s="66">
        <v>6000</v>
      </c>
      <c r="AL5" s="67">
        <f>400+3010+2350</f>
        <v>5760</v>
      </c>
      <c r="AM5" s="66">
        <f t="shared" si="0"/>
        <v>240</v>
      </c>
    </row>
    <row r="6" spans="1:40" s="76" customFormat="1" ht="100.05" customHeight="1" x14ac:dyDescent="0.3">
      <c r="A6" s="62">
        <v>250042</v>
      </c>
      <c r="B6" s="62">
        <v>304</v>
      </c>
      <c r="C6" s="64">
        <v>0.9</v>
      </c>
      <c r="D6" s="62">
        <v>560</v>
      </c>
      <c r="E6" s="86" t="s">
        <v>225</v>
      </c>
      <c r="F6" s="62" t="s">
        <v>121</v>
      </c>
      <c r="G6" s="62">
        <v>304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>
        <v>230925</v>
      </c>
      <c r="AF6" s="62">
        <v>430</v>
      </c>
      <c r="AG6" s="64">
        <v>0.8</v>
      </c>
      <c r="AH6" s="67" t="s">
        <v>24</v>
      </c>
      <c r="AI6" s="65" t="s">
        <v>247</v>
      </c>
      <c r="AJ6" s="78" t="s">
        <v>241</v>
      </c>
      <c r="AK6" s="66">
        <v>6000</v>
      </c>
      <c r="AL6" s="67"/>
      <c r="AM6" s="66">
        <f t="shared" si="0"/>
        <v>6000</v>
      </c>
    </row>
    <row r="7" spans="1:40" s="76" customFormat="1" ht="100.05" customHeight="1" x14ac:dyDescent="0.3">
      <c r="A7" s="62">
        <v>250057</v>
      </c>
      <c r="B7" s="62">
        <v>304</v>
      </c>
      <c r="C7" s="64">
        <v>0.7</v>
      </c>
      <c r="D7" s="62">
        <v>324</v>
      </c>
      <c r="E7" s="91" t="s">
        <v>236</v>
      </c>
      <c r="F7" s="62" t="s">
        <v>23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79</v>
      </c>
      <c r="L7" s="66">
        <v>410</v>
      </c>
      <c r="M7" s="67"/>
      <c r="N7" s="66">
        <f>L7-M7</f>
        <v>410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131025</v>
      </c>
      <c r="AF7" s="62">
        <v>304</v>
      </c>
      <c r="AG7" s="64">
        <v>0.6</v>
      </c>
      <c r="AH7" s="67" t="s">
        <v>24</v>
      </c>
      <c r="AI7" s="65" t="s">
        <v>257</v>
      </c>
      <c r="AJ7" s="78" t="s">
        <v>241</v>
      </c>
      <c r="AK7" s="66">
        <v>3000</v>
      </c>
      <c r="AL7" s="67"/>
      <c r="AM7" s="66">
        <f t="shared" si="0"/>
        <v>3000</v>
      </c>
    </row>
    <row r="8" spans="1:40" s="76" customFormat="1" ht="100.05" customHeight="1" x14ac:dyDescent="0.3">
      <c r="A8" s="62">
        <v>250061</v>
      </c>
      <c r="B8" s="62">
        <v>304</v>
      </c>
      <c r="C8" s="64">
        <v>0.7</v>
      </c>
      <c r="D8" s="62">
        <v>324</v>
      </c>
      <c r="E8" s="91" t="s">
        <v>236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540</v>
      </c>
      <c r="M8" s="67"/>
      <c r="N8" s="66">
        <f t="shared" ref="N8:N12" si="2">L8-M8</f>
        <v>540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40" s="76" customFormat="1" ht="100.05" customHeight="1" x14ac:dyDescent="0.3">
      <c r="A9" s="62">
        <v>250057</v>
      </c>
      <c r="B9" s="62">
        <v>304</v>
      </c>
      <c r="C9" s="64">
        <v>0.7</v>
      </c>
      <c r="D9" s="62">
        <v>543</v>
      </c>
      <c r="E9" s="91" t="s">
        <v>237</v>
      </c>
      <c r="F9" s="62" t="s">
        <v>121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212</v>
      </c>
      <c r="L9" s="66">
        <v>410</v>
      </c>
      <c r="M9" s="67"/>
      <c r="N9" s="66">
        <f t="shared" si="2"/>
        <v>410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62">
        <v>21025</v>
      </c>
      <c r="B10" s="62">
        <v>304</v>
      </c>
      <c r="C10" s="64">
        <v>0.6</v>
      </c>
      <c r="D10" s="62">
        <v>321</v>
      </c>
      <c r="E10" s="91" t="s">
        <v>253</v>
      </c>
      <c r="F10" s="62" t="s">
        <v>121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86</v>
      </c>
      <c r="L10" s="66">
        <v>1000</v>
      </c>
      <c r="M10" s="67"/>
      <c r="N10" s="66">
        <f t="shared" si="2"/>
        <v>1000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62">
        <v>131025</v>
      </c>
      <c r="B11" s="62">
        <v>304</v>
      </c>
      <c r="C11" s="64">
        <v>0.9</v>
      </c>
      <c r="D11" s="62">
        <v>327</v>
      </c>
      <c r="E11" s="91" t="s">
        <v>67</v>
      </c>
      <c r="F11" s="62" t="s">
        <v>23</v>
      </c>
      <c r="G11" s="62" t="s">
        <v>24</v>
      </c>
      <c r="H11" s="64" t="s">
        <v>24</v>
      </c>
      <c r="I11" s="62" t="s">
        <v>24</v>
      </c>
      <c r="J11" s="62" t="s">
        <v>24</v>
      </c>
      <c r="K11" s="62" t="s">
        <v>79</v>
      </c>
      <c r="L11" s="66">
        <v>2050</v>
      </c>
      <c r="M11" s="67">
        <f>550+700+850</f>
        <v>2100</v>
      </c>
      <c r="N11" s="66">
        <f t="shared" si="2"/>
        <v>-50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62"/>
      <c r="B12" s="62"/>
      <c r="C12" s="64"/>
      <c r="D12" s="62"/>
      <c r="E12" s="65"/>
      <c r="F12" s="62"/>
      <c r="G12" s="62"/>
      <c r="H12" s="64"/>
      <c r="I12" s="62"/>
      <c r="J12" s="62"/>
      <c r="K12" s="62"/>
      <c r="L12" s="62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2"/>
      <c r="AB12" s="67"/>
      <c r="AC12" s="66">
        <f t="shared" si="1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6" customFormat="1" ht="100.05" customHeight="1" x14ac:dyDescent="0.3">
      <c r="A13" s="68"/>
      <c r="B13" s="68"/>
      <c r="C13" s="69"/>
      <c r="D13" s="68"/>
      <c r="E13" s="70"/>
      <c r="F13" s="68"/>
      <c r="G13" s="68"/>
      <c r="H13" s="69"/>
      <c r="I13" s="68"/>
      <c r="J13" s="68"/>
      <c r="K13" s="68"/>
      <c r="L13" s="66">
        <f>SUM(L4:L12)</f>
        <v>6660</v>
      </c>
      <c r="M13" s="71">
        <f>SUM(M4:M12)</f>
        <v>2970</v>
      </c>
      <c r="N13" s="66">
        <f>SUM(N4:N12)</f>
        <v>3690</v>
      </c>
      <c r="P13" s="68"/>
      <c r="Q13" s="68"/>
      <c r="R13" s="69"/>
      <c r="S13" s="68"/>
      <c r="T13" s="70"/>
      <c r="U13" s="68"/>
      <c r="V13" s="68"/>
      <c r="W13" s="69"/>
      <c r="X13" s="68"/>
      <c r="Y13" s="68"/>
      <c r="Z13" s="68"/>
      <c r="AA13" s="66">
        <f>AA4+AA5+AA6+AA7+AA12</f>
        <v>9000</v>
      </c>
      <c r="AB13" s="71">
        <f>SUM(AB4:AB12)</f>
        <v>2050</v>
      </c>
      <c r="AC13" s="66">
        <f>SUM(AC4:AC12)</f>
        <v>6950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40" s="75" customFormat="1" ht="100.05" customHeight="1" x14ac:dyDescent="0.3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5" customFormat="1" ht="100.05" customHeight="1" x14ac:dyDescent="0.3">
      <c r="A15" s="109" t="s">
        <v>101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1"/>
      <c r="P15" s="109" t="s">
        <v>99</v>
      </c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1"/>
      <c r="AD15" s="76"/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  <c r="AN15" s="76"/>
    </row>
    <row r="16" spans="1:40" s="75" customFormat="1" ht="145.80000000000001" x14ac:dyDescent="0.3">
      <c r="A16" s="81" t="s">
        <v>0</v>
      </c>
      <c r="B16" s="81" t="s">
        <v>9</v>
      </c>
      <c r="C16" s="82" t="s">
        <v>11</v>
      </c>
      <c r="D16" s="81" t="s">
        <v>2</v>
      </c>
      <c r="E16" s="81" t="s">
        <v>1</v>
      </c>
      <c r="F16" s="81" t="s">
        <v>14</v>
      </c>
      <c r="G16" s="81" t="s">
        <v>8</v>
      </c>
      <c r="H16" s="82" t="s">
        <v>10</v>
      </c>
      <c r="I16" s="82" t="s">
        <v>12</v>
      </c>
      <c r="J16" s="82" t="s">
        <v>13</v>
      </c>
      <c r="K16" s="81" t="s">
        <v>3</v>
      </c>
      <c r="L16" s="81" t="s">
        <v>7</v>
      </c>
      <c r="M16" s="81" t="s">
        <v>5</v>
      </c>
      <c r="N16" s="81" t="s">
        <v>6</v>
      </c>
      <c r="P16" s="81" t="s">
        <v>0</v>
      </c>
      <c r="Q16" s="81" t="s">
        <v>9</v>
      </c>
      <c r="R16" s="82" t="s">
        <v>11</v>
      </c>
      <c r="S16" s="81" t="s">
        <v>2</v>
      </c>
      <c r="T16" s="81" t="s">
        <v>1</v>
      </c>
      <c r="U16" s="81" t="s">
        <v>14</v>
      </c>
      <c r="V16" s="81" t="s">
        <v>8</v>
      </c>
      <c r="W16" s="82" t="s">
        <v>10</v>
      </c>
      <c r="X16" s="82" t="s">
        <v>12</v>
      </c>
      <c r="Y16" s="82" t="s">
        <v>13</v>
      </c>
      <c r="Z16" s="81" t="s">
        <v>3</v>
      </c>
      <c r="AA16" s="81" t="s">
        <v>7</v>
      </c>
      <c r="AB16" s="81" t="s">
        <v>5</v>
      </c>
      <c r="AC16" s="81" t="s">
        <v>6</v>
      </c>
      <c r="AD16" s="76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6"/>
    </row>
    <row r="17" spans="1:40" s="76" customFormat="1" ht="100.05" customHeight="1" x14ac:dyDescent="0.3">
      <c r="A17" s="62">
        <v>20125</v>
      </c>
      <c r="B17" s="62">
        <v>304</v>
      </c>
      <c r="C17" s="64">
        <v>0.6</v>
      </c>
      <c r="D17" s="62">
        <v>234</v>
      </c>
      <c r="E17" s="91" t="s">
        <v>249</v>
      </c>
      <c r="F17" s="62" t="s">
        <v>121</v>
      </c>
      <c r="G17" s="62">
        <v>430</v>
      </c>
      <c r="H17" s="64">
        <v>0.6</v>
      </c>
      <c r="I17" s="62" t="s">
        <v>24</v>
      </c>
      <c r="J17" s="62" t="s">
        <v>24</v>
      </c>
      <c r="K17" s="62" t="s">
        <v>86</v>
      </c>
      <c r="L17" s="66">
        <v>1000</v>
      </c>
      <c r="M17" s="67"/>
      <c r="N17" s="66">
        <f t="shared" ref="N17" si="3">L17-M17</f>
        <v>1000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ref="AC17:AC21" si="4">AA17-AB17</f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>
        <v>20125</v>
      </c>
      <c r="B18" s="62">
        <v>304</v>
      </c>
      <c r="C18" s="64">
        <v>0.6</v>
      </c>
      <c r="D18" s="62">
        <v>234</v>
      </c>
      <c r="E18" s="91" t="s">
        <v>250</v>
      </c>
      <c r="F18" s="62" t="s">
        <v>121</v>
      </c>
      <c r="G18" s="62">
        <v>430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1000</v>
      </c>
      <c r="M18" s="67"/>
      <c r="N18" s="66">
        <f>L18-M18</f>
        <v>1000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4"/>
        <v>0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62">
        <v>20125</v>
      </c>
      <c r="B19" s="62">
        <v>304</v>
      </c>
      <c r="C19" s="64">
        <v>0.6</v>
      </c>
      <c r="D19" s="62">
        <v>277</v>
      </c>
      <c r="E19" s="86" t="s">
        <v>251</v>
      </c>
      <c r="F19" s="62" t="s">
        <v>121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1000</v>
      </c>
      <c r="M19" s="67"/>
      <c r="N19" s="90">
        <f t="shared" ref="N19:N22" si="5">L19-M19</f>
        <v>1000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>
        <f t="shared" si="4"/>
        <v>0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100.05" customHeight="1" x14ac:dyDescent="0.3">
      <c r="A20" s="62">
        <v>20125</v>
      </c>
      <c r="B20" s="62">
        <v>304</v>
      </c>
      <c r="C20" s="64">
        <v>0.6</v>
      </c>
      <c r="D20" s="62">
        <v>300</v>
      </c>
      <c r="E20" s="86" t="s">
        <v>252</v>
      </c>
      <c r="F20" s="62" t="s">
        <v>121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500</v>
      </c>
      <c r="M20" s="67"/>
      <c r="N20" s="66">
        <f t="shared" si="5"/>
        <v>500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6"/>
      <c r="AB20" s="67"/>
      <c r="AC20" s="66">
        <f t="shared" si="4"/>
        <v>0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62">
        <v>20125</v>
      </c>
      <c r="B21" s="62">
        <v>304</v>
      </c>
      <c r="C21" s="64">
        <v>0.6</v>
      </c>
      <c r="D21" s="62">
        <v>370</v>
      </c>
      <c r="E21" s="86" t="s">
        <v>255</v>
      </c>
      <c r="F21" s="62" t="s">
        <v>121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1000</v>
      </c>
      <c r="M21" s="67">
        <v>650</v>
      </c>
      <c r="N21" s="66">
        <f>L21-M21</f>
        <v>350</v>
      </c>
      <c r="P21" s="62"/>
      <c r="Q21" s="62"/>
      <c r="R21" s="64"/>
      <c r="S21" s="62"/>
      <c r="T21" s="65"/>
      <c r="U21" s="62"/>
      <c r="V21" s="62"/>
      <c r="W21" s="64"/>
      <c r="X21" s="62"/>
      <c r="Y21" s="62"/>
      <c r="Z21" s="62"/>
      <c r="AA21" s="66"/>
      <c r="AB21" s="67"/>
      <c r="AC21" s="66">
        <f t="shared" si="4"/>
        <v>0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62"/>
      <c r="B22" s="62"/>
      <c r="C22" s="64"/>
      <c r="D22" s="62"/>
      <c r="E22" s="65"/>
      <c r="F22" s="62"/>
      <c r="G22" s="62"/>
      <c r="H22" s="64"/>
      <c r="I22" s="62"/>
      <c r="J22" s="62"/>
      <c r="K22" s="62"/>
      <c r="L22" s="62"/>
      <c r="M22" s="67"/>
      <c r="N22" s="66">
        <f t="shared" si="5"/>
        <v>0</v>
      </c>
      <c r="P22" s="68"/>
      <c r="Q22" s="68"/>
      <c r="R22" s="69"/>
      <c r="S22" s="68"/>
      <c r="T22" s="70"/>
      <c r="U22" s="68"/>
      <c r="V22" s="68"/>
      <c r="W22" s="69"/>
      <c r="X22" s="68"/>
      <c r="Y22" s="68"/>
      <c r="Z22" s="68"/>
      <c r="AA22" s="66">
        <f>SUM(AA17:AA20)</f>
        <v>0</v>
      </c>
      <c r="AB22" s="71">
        <f>SUM(AB17:AB20)</f>
        <v>0</v>
      </c>
      <c r="AC22" s="66">
        <f>SUM(AC17:AC20)</f>
        <v>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68"/>
      <c r="B23" s="68"/>
      <c r="C23" s="69"/>
      <c r="D23" s="68"/>
      <c r="E23" s="70"/>
      <c r="F23" s="68"/>
      <c r="G23" s="68"/>
      <c r="H23" s="69"/>
      <c r="I23" s="68"/>
      <c r="J23" s="68"/>
      <c r="K23" s="68"/>
      <c r="L23" s="66">
        <f>SUM(L17:L22)</f>
        <v>4500</v>
      </c>
      <c r="M23" s="71">
        <f>SUM(M17:M22)</f>
        <v>650</v>
      </c>
      <c r="N23" s="66">
        <f>SUM(N17:N22)</f>
        <v>3850</v>
      </c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68"/>
      <c r="AF23" s="68"/>
      <c r="AG23" s="69"/>
      <c r="AH23" s="68"/>
      <c r="AI23" s="70"/>
      <c r="AJ23" s="80"/>
      <c r="AK23" s="66">
        <f>SUM(AK4:AK22)</f>
        <v>15540</v>
      </c>
      <c r="AL23" s="71">
        <f>SUM(AL4:AL22)</f>
        <v>5760</v>
      </c>
      <c r="AM23" s="66">
        <f>SUM(AM4:AM22)</f>
        <v>9780</v>
      </c>
      <c r="AN23" s="75"/>
    </row>
    <row r="24" spans="1:40" s="75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E24" s="79"/>
      <c r="AF24" s="79"/>
      <c r="AG24" s="79"/>
      <c r="AH24" s="79"/>
      <c r="AI24" s="79"/>
      <c r="AJ24" s="79"/>
      <c r="AK24" s="79"/>
      <c r="AL24" s="79"/>
      <c r="AM24" s="79"/>
    </row>
    <row r="25" spans="1:40" s="75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E25" s="79"/>
      <c r="AF25" s="79"/>
      <c r="AG25" s="79"/>
      <c r="AH25" s="79"/>
      <c r="AI25" s="79"/>
      <c r="AJ25" s="79"/>
      <c r="AK25" s="79"/>
      <c r="AL25" s="79"/>
      <c r="AM25" s="79"/>
    </row>
    <row r="26" spans="1:40" s="75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6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5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5"/>
      <c r="AE32" s="79"/>
      <c r="AF32" s="79"/>
      <c r="AG32" s="79"/>
      <c r="AH32" s="79"/>
      <c r="AI32" s="79"/>
      <c r="AJ32" s="79"/>
      <c r="AK32" s="79"/>
      <c r="AL32" s="79"/>
      <c r="AM32" s="79"/>
      <c r="AN32" s="75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5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E37" s="79"/>
      <c r="AF37" s="79"/>
      <c r="AG37" s="79"/>
      <c r="AH37" s="79"/>
      <c r="AI37" s="79"/>
      <c r="AJ37" s="79"/>
      <c r="AK37" s="79"/>
      <c r="AL37" s="79"/>
      <c r="AM37" s="79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spans="1:40" s="56" customFormat="1" ht="100.0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0" s="56" customFormat="1" ht="100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1:40" s="56" customFormat="1" ht="100.0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</sheetData>
  <mergeCells count="11">
    <mergeCell ref="A2:N2"/>
    <mergeCell ref="P2:AC2"/>
    <mergeCell ref="AE2:AM2"/>
    <mergeCell ref="A15:N15"/>
    <mergeCell ref="P15:AC15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49"/>
  <sheetViews>
    <sheetView zoomScale="25" zoomScaleNormal="25" workbookViewId="0">
      <selection activeCell="AL8" sqref="AL8"/>
    </sheetView>
  </sheetViews>
  <sheetFormatPr defaultColWidth="8.88671875" defaultRowHeight="14.4" x14ac:dyDescent="0.3"/>
  <cols>
    <col min="1" max="1" width="28.4414062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45948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45948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62">
        <v>250042</v>
      </c>
      <c r="B4" s="62">
        <v>304</v>
      </c>
      <c r="C4" s="64">
        <v>0.9</v>
      </c>
      <c r="D4" s="62">
        <v>543</v>
      </c>
      <c r="E4" s="86" t="s">
        <v>224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750</v>
      </c>
      <c r="M4" s="67">
        <f>20+240</f>
        <v>260</v>
      </c>
      <c r="N4" s="66">
        <f>L4-M4</f>
        <v>490</v>
      </c>
      <c r="P4" s="62">
        <v>131025</v>
      </c>
      <c r="Q4" s="62">
        <v>304</v>
      </c>
      <c r="R4" s="64">
        <v>0.9</v>
      </c>
      <c r="S4" s="62">
        <v>425</v>
      </c>
      <c r="T4" s="65" t="s">
        <v>256</v>
      </c>
      <c r="U4" s="62" t="s">
        <v>23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3000</v>
      </c>
      <c r="AB4" s="67">
        <f>850+1200</f>
        <v>2050</v>
      </c>
      <c r="AC4" s="66">
        <f>AA4-AB4</f>
        <v>950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/>
      <c r="AM4" s="66">
        <f t="shared" ref="AM4:AM22" si="0">AK4-AL4</f>
        <v>540</v>
      </c>
    </row>
    <row r="5" spans="1:40" s="76" customFormat="1" ht="100.05" customHeight="1" x14ac:dyDescent="0.3">
      <c r="A5" s="62">
        <v>250042</v>
      </c>
      <c r="B5" s="62">
        <v>304</v>
      </c>
      <c r="C5" s="64">
        <v>0.9</v>
      </c>
      <c r="D5" s="62">
        <v>560</v>
      </c>
      <c r="E5" s="86" t="s">
        <v>225</v>
      </c>
      <c r="F5" s="62" t="s">
        <v>121</v>
      </c>
      <c r="G5" s="62">
        <v>304</v>
      </c>
      <c r="H5" s="64">
        <v>0.6</v>
      </c>
      <c r="I5" s="62" t="s">
        <v>24</v>
      </c>
      <c r="J5" s="62" t="s">
        <v>24</v>
      </c>
      <c r="K5" s="62" t="s">
        <v>223</v>
      </c>
      <c r="L5" s="66">
        <v>750</v>
      </c>
      <c r="M5" s="67"/>
      <c r="N5" s="66">
        <f>L5-M5</f>
        <v>750</v>
      </c>
      <c r="P5" s="62">
        <v>230925</v>
      </c>
      <c r="Q5" s="62">
        <v>430</v>
      </c>
      <c r="R5" s="64">
        <v>0.8</v>
      </c>
      <c r="S5" s="62">
        <v>425</v>
      </c>
      <c r="T5" s="65" t="s">
        <v>239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 t="shared" ref="AC5:AC12" si="1">AA5-AB5</f>
        <v>6000</v>
      </c>
      <c r="AE5" s="62">
        <v>230925</v>
      </c>
      <c r="AF5" s="62">
        <v>430</v>
      </c>
      <c r="AG5" s="64">
        <v>0.8</v>
      </c>
      <c r="AH5" s="67" t="s">
        <v>24</v>
      </c>
      <c r="AI5" s="65" t="s">
        <v>57</v>
      </c>
      <c r="AJ5" s="78" t="s">
        <v>241</v>
      </c>
      <c r="AK5" s="66">
        <v>6000</v>
      </c>
      <c r="AL5" s="67">
        <f>400+3010+2350+340</f>
        <v>6100</v>
      </c>
      <c r="AM5" s="66">
        <f t="shared" si="0"/>
        <v>-100</v>
      </c>
    </row>
    <row r="6" spans="1:40" s="76" customFormat="1" ht="100.05" customHeight="1" x14ac:dyDescent="0.3">
      <c r="A6" s="62">
        <v>250057</v>
      </c>
      <c r="B6" s="62">
        <v>304</v>
      </c>
      <c r="C6" s="64">
        <v>0.7</v>
      </c>
      <c r="D6" s="62">
        <v>324</v>
      </c>
      <c r="E6" s="91" t="s">
        <v>236</v>
      </c>
      <c r="F6" s="62" t="s">
        <v>23</v>
      </c>
      <c r="G6" s="62">
        <v>304</v>
      </c>
      <c r="H6" s="64">
        <v>0.6</v>
      </c>
      <c r="I6" s="62" t="s">
        <v>24</v>
      </c>
      <c r="J6" s="62" t="s">
        <v>24</v>
      </c>
      <c r="K6" s="62" t="s">
        <v>79</v>
      </c>
      <c r="L6" s="66">
        <v>410</v>
      </c>
      <c r="M6" s="67"/>
      <c r="N6" s="66">
        <f>L6-M6</f>
        <v>410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si="1"/>
        <v>0</v>
      </c>
      <c r="AE6" s="62">
        <v>230925</v>
      </c>
      <c r="AF6" s="62">
        <v>430</v>
      </c>
      <c r="AG6" s="64">
        <v>0.8</v>
      </c>
      <c r="AH6" s="67" t="s">
        <v>24</v>
      </c>
      <c r="AI6" s="65" t="s">
        <v>247</v>
      </c>
      <c r="AJ6" s="78" t="s">
        <v>241</v>
      </c>
      <c r="AK6" s="66">
        <v>6000</v>
      </c>
      <c r="AL6" s="67"/>
      <c r="AM6" s="66">
        <f t="shared" si="0"/>
        <v>6000</v>
      </c>
    </row>
    <row r="7" spans="1:40" s="76" customFormat="1" ht="100.05" customHeight="1" x14ac:dyDescent="0.3">
      <c r="A7" s="62">
        <v>250061</v>
      </c>
      <c r="B7" s="62">
        <v>304</v>
      </c>
      <c r="C7" s="64">
        <v>0.7</v>
      </c>
      <c r="D7" s="62">
        <v>324</v>
      </c>
      <c r="E7" s="91" t="s">
        <v>236</v>
      </c>
      <c r="F7" s="62" t="s">
        <v>23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79</v>
      </c>
      <c r="L7" s="66">
        <v>540</v>
      </c>
      <c r="M7" s="67"/>
      <c r="N7" s="66">
        <f>L7-M7</f>
        <v>540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131025</v>
      </c>
      <c r="AF7" s="62">
        <v>304</v>
      </c>
      <c r="AG7" s="64">
        <v>0.6</v>
      </c>
      <c r="AH7" s="67" t="s">
        <v>24</v>
      </c>
      <c r="AI7" s="65" t="s">
        <v>257</v>
      </c>
      <c r="AJ7" s="78" t="s">
        <v>241</v>
      </c>
      <c r="AK7" s="66">
        <v>3000</v>
      </c>
      <c r="AL7" s="67">
        <f>1000</f>
        <v>1000</v>
      </c>
      <c r="AM7" s="66">
        <f t="shared" si="0"/>
        <v>2000</v>
      </c>
    </row>
    <row r="8" spans="1:40" s="76" customFormat="1" ht="100.05" customHeight="1" x14ac:dyDescent="0.3">
      <c r="A8" s="62">
        <v>250057</v>
      </c>
      <c r="B8" s="62">
        <v>304</v>
      </c>
      <c r="C8" s="64">
        <v>0.7</v>
      </c>
      <c r="D8" s="62">
        <v>543</v>
      </c>
      <c r="E8" s="91" t="s">
        <v>237</v>
      </c>
      <c r="F8" s="62" t="s">
        <v>121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212</v>
      </c>
      <c r="L8" s="66">
        <v>410</v>
      </c>
      <c r="M8" s="67"/>
      <c r="N8" s="66">
        <f t="shared" ref="N8:N12" si="2">L8-M8</f>
        <v>410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/>
      <c r="AF8" s="62"/>
      <c r="AG8" s="64"/>
      <c r="AH8" s="67"/>
      <c r="AI8" s="65"/>
      <c r="AJ8" s="78"/>
      <c r="AK8" s="66"/>
      <c r="AL8" s="67" t="s">
        <v>322</v>
      </c>
      <c r="AM8" s="66" t="e">
        <f t="shared" si="0"/>
        <v>#VALUE!</v>
      </c>
    </row>
    <row r="9" spans="1:40" s="76" customFormat="1" ht="100.05" customHeight="1" x14ac:dyDescent="0.3">
      <c r="A9" s="62">
        <v>21025</v>
      </c>
      <c r="B9" s="62">
        <v>304</v>
      </c>
      <c r="C9" s="64">
        <v>0.6</v>
      </c>
      <c r="D9" s="62">
        <v>321</v>
      </c>
      <c r="E9" s="91" t="s">
        <v>253</v>
      </c>
      <c r="F9" s="62" t="s">
        <v>121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86</v>
      </c>
      <c r="L9" s="66">
        <v>1000</v>
      </c>
      <c r="M9" s="67"/>
      <c r="N9" s="66">
        <f t="shared" si="2"/>
        <v>1000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62"/>
      <c r="B10" s="62"/>
      <c r="C10" s="64"/>
      <c r="D10" s="62"/>
      <c r="E10" s="91"/>
      <c r="F10" s="62"/>
      <c r="G10" s="62"/>
      <c r="H10" s="64"/>
      <c r="I10" s="62"/>
      <c r="J10" s="62"/>
      <c r="K10" s="62"/>
      <c r="L10" s="66"/>
      <c r="M10" s="67"/>
      <c r="N10" s="66">
        <f t="shared" si="2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62"/>
      <c r="B11" s="62"/>
      <c r="C11" s="64"/>
      <c r="D11" s="62"/>
      <c r="E11" s="91"/>
      <c r="F11" s="62"/>
      <c r="G11" s="62"/>
      <c r="H11" s="64"/>
      <c r="I11" s="62"/>
      <c r="J11" s="62"/>
      <c r="K11" s="62"/>
      <c r="L11" s="66"/>
      <c r="M11" s="67"/>
      <c r="N11" s="66">
        <f t="shared" si="2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62"/>
      <c r="B12" s="62"/>
      <c r="C12" s="64"/>
      <c r="D12" s="62"/>
      <c r="E12" s="65"/>
      <c r="F12" s="62"/>
      <c r="G12" s="62"/>
      <c r="H12" s="64"/>
      <c r="I12" s="62"/>
      <c r="J12" s="62"/>
      <c r="K12" s="62"/>
      <c r="L12" s="62"/>
      <c r="M12" s="67"/>
      <c r="N12" s="66">
        <f t="shared" si="2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2"/>
      <c r="AB12" s="67"/>
      <c r="AC12" s="66">
        <f t="shared" si="1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6" customFormat="1" ht="100.05" customHeight="1" x14ac:dyDescent="0.3">
      <c r="A13" s="68"/>
      <c r="B13" s="68"/>
      <c r="C13" s="69"/>
      <c r="D13" s="68"/>
      <c r="E13" s="70"/>
      <c r="F13" s="68"/>
      <c r="G13" s="68"/>
      <c r="H13" s="69"/>
      <c r="I13" s="68"/>
      <c r="J13" s="68"/>
      <c r="K13" s="68"/>
      <c r="L13" s="66">
        <f>SUM(L4:L12)</f>
        <v>3860</v>
      </c>
      <c r="M13" s="71">
        <f>SUM(M4:M12)</f>
        <v>260</v>
      </c>
      <c r="N13" s="66">
        <f>SUM(N4:N12)</f>
        <v>3600</v>
      </c>
      <c r="P13" s="68"/>
      <c r="Q13" s="68"/>
      <c r="R13" s="69"/>
      <c r="S13" s="68"/>
      <c r="T13" s="70"/>
      <c r="U13" s="68"/>
      <c r="V13" s="68"/>
      <c r="W13" s="69"/>
      <c r="X13" s="68"/>
      <c r="Y13" s="68"/>
      <c r="Z13" s="68"/>
      <c r="AA13" s="66">
        <f>AA4+AA5+AA6+AA7+AA12</f>
        <v>9000</v>
      </c>
      <c r="AB13" s="71">
        <f>SUM(AB4:AB12)</f>
        <v>2050</v>
      </c>
      <c r="AC13" s="66">
        <f>SUM(AC4:AC12)</f>
        <v>6950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40" s="75" customFormat="1" ht="100.05" customHeight="1" x14ac:dyDescent="0.3">
      <c r="A14" s="79"/>
      <c r="B14" s="79"/>
      <c r="C14" s="79"/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5" customFormat="1" ht="100.05" customHeight="1" x14ac:dyDescent="0.3">
      <c r="A15" s="109" t="s">
        <v>101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1"/>
      <c r="P15" s="109" t="s">
        <v>99</v>
      </c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1"/>
      <c r="AD15" s="76"/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  <c r="AN15" s="76"/>
    </row>
    <row r="16" spans="1:40" s="75" customFormat="1" ht="145.80000000000001" x14ac:dyDescent="0.3">
      <c r="A16" s="81" t="s">
        <v>0</v>
      </c>
      <c r="B16" s="81" t="s">
        <v>9</v>
      </c>
      <c r="C16" s="82" t="s">
        <v>11</v>
      </c>
      <c r="D16" s="81" t="s">
        <v>2</v>
      </c>
      <c r="E16" s="81" t="s">
        <v>1</v>
      </c>
      <c r="F16" s="81" t="s">
        <v>14</v>
      </c>
      <c r="G16" s="81" t="s">
        <v>8</v>
      </c>
      <c r="H16" s="82" t="s">
        <v>10</v>
      </c>
      <c r="I16" s="82" t="s">
        <v>12</v>
      </c>
      <c r="J16" s="82" t="s">
        <v>13</v>
      </c>
      <c r="K16" s="81" t="s">
        <v>3</v>
      </c>
      <c r="L16" s="81" t="s">
        <v>7</v>
      </c>
      <c r="M16" s="81" t="s">
        <v>5</v>
      </c>
      <c r="N16" s="81" t="s">
        <v>6</v>
      </c>
      <c r="P16" s="81" t="s">
        <v>0</v>
      </c>
      <c r="Q16" s="81" t="s">
        <v>9</v>
      </c>
      <c r="R16" s="82" t="s">
        <v>11</v>
      </c>
      <c r="S16" s="81" t="s">
        <v>2</v>
      </c>
      <c r="T16" s="81" t="s">
        <v>1</v>
      </c>
      <c r="U16" s="81" t="s">
        <v>14</v>
      </c>
      <c r="V16" s="81" t="s">
        <v>8</v>
      </c>
      <c r="W16" s="82" t="s">
        <v>10</v>
      </c>
      <c r="X16" s="82" t="s">
        <v>12</v>
      </c>
      <c r="Y16" s="82" t="s">
        <v>13</v>
      </c>
      <c r="Z16" s="81" t="s">
        <v>3</v>
      </c>
      <c r="AA16" s="81" t="s">
        <v>7</v>
      </c>
      <c r="AB16" s="81" t="s">
        <v>5</v>
      </c>
      <c r="AC16" s="81" t="s">
        <v>6</v>
      </c>
      <c r="AD16" s="76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6"/>
    </row>
    <row r="17" spans="1:40" s="76" customFormat="1" ht="100.05" customHeight="1" x14ac:dyDescent="0.3">
      <c r="A17" s="62">
        <v>20125</v>
      </c>
      <c r="B17" s="62">
        <v>304</v>
      </c>
      <c r="C17" s="64">
        <v>0.6</v>
      </c>
      <c r="D17" s="62">
        <v>234</v>
      </c>
      <c r="E17" s="91" t="s">
        <v>249</v>
      </c>
      <c r="F17" s="62" t="s">
        <v>121</v>
      </c>
      <c r="G17" s="62">
        <v>430</v>
      </c>
      <c r="H17" s="64">
        <v>0.6</v>
      </c>
      <c r="I17" s="62" t="s">
        <v>24</v>
      </c>
      <c r="J17" s="62" t="s">
        <v>24</v>
      </c>
      <c r="K17" s="62" t="s">
        <v>86</v>
      </c>
      <c r="L17" s="66">
        <v>1000</v>
      </c>
      <c r="M17" s="67"/>
      <c r="N17" s="66">
        <f t="shared" ref="N17" si="3">L17-M17</f>
        <v>1000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ref="AC17:AC21" si="4">AA17-AB17</f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62">
        <v>20125</v>
      </c>
      <c r="B18" s="62">
        <v>304</v>
      </c>
      <c r="C18" s="64">
        <v>0.6</v>
      </c>
      <c r="D18" s="62">
        <v>234</v>
      </c>
      <c r="E18" s="91" t="s">
        <v>250</v>
      </c>
      <c r="F18" s="62" t="s">
        <v>121</v>
      </c>
      <c r="G18" s="62">
        <v>430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1000</v>
      </c>
      <c r="M18" s="67"/>
      <c r="N18" s="66">
        <f>L18-M18</f>
        <v>1000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4"/>
        <v>0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62">
        <v>20125</v>
      </c>
      <c r="B19" s="62">
        <v>304</v>
      </c>
      <c r="C19" s="64">
        <v>0.6</v>
      </c>
      <c r="D19" s="62">
        <v>277</v>
      </c>
      <c r="E19" s="86" t="s">
        <v>251</v>
      </c>
      <c r="F19" s="62" t="s">
        <v>121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1000</v>
      </c>
      <c r="M19" s="67"/>
      <c r="N19" s="90">
        <f t="shared" ref="N19:N22" si="5">L19-M19</f>
        <v>1000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>
        <f t="shared" si="4"/>
        <v>0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100.05" customHeight="1" x14ac:dyDescent="0.3">
      <c r="A20" s="62">
        <v>20125</v>
      </c>
      <c r="B20" s="62">
        <v>304</v>
      </c>
      <c r="C20" s="64">
        <v>0.6</v>
      </c>
      <c r="D20" s="62">
        <v>300</v>
      </c>
      <c r="E20" s="86" t="s">
        <v>252</v>
      </c>
      <c r="F20" s="62" t="s">
        <v>121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500</v>
      </c>
      <c r="M20" s="67">
        <v>500</v>
      </c>
      <c r="N20" s="66">
        <f t="shared" si="5"/>
        <v>0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6"/>
      <c r="AB20" s="67"/>
      <c r="AC20" s="66">
        <f t="shared" si="4"/>
        <v>0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62">
        <v>20125</v>
      </c>
      <c r="B21" s="62">
        <v>304</v>
      </c>
      <c r="C21" s="64">
        <v>0.6</v>
      </c>
      <c r="D21" s="62">
        <v>370</v>
      </c>
      <c r="E21" s="86" t="s">
        <v>255</v>
      </c>
      <c r="F21" s="62" t="s">
        <v>121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1000</v>
      </c>
      <c r="M21" s="67">
        <f>650+350</f>
        <v>1000</v>
      </c>
      <c r="N21" s="66">
        <f>L21-M21</f>
        <v>0</v>
      </c>
      <c r="P21" s="62"/>
      <c r="Q21" s="62"/>
      <c r="R21" s="64"/>
      <c r="S21" s="62"/>
      <c r="T21" s="65"/>
      <c r="U21" s="62"/>
      <c r="V21" s="62"/>
      <c r="W21" s="64"/>
      <c r="X21" s="62"/>
      <c r="Y21" s="62"/>
      <c r="Z21" s="62"/>
      <c r="AA21" s="66"/>
      <c r="AB21" s="67"/>
      <c r="AC21" s="66">
        <f t="shared" si="4"/>
        <v>0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62"/>
      <c r="B22" s="62"/>
      <c r="C22" s="64"/>
      <c r="D22" s="62"/>
      <c r="E22" s="65"/>
      <c r="F22" s="62"/>
      <c r="G22" s="62"/>
      <c r="H22" s="64"/>
      <c r="I22" s="62"/>
      <c r="J22" s="62"/>
      <c r="K22" s="62"/>
      <c r="L22" s="62"/>
      <c r="M22" s="67"/>
      <c r="N22" s="66">
        <f t="shared" si="5"/>
        <v>0</v>
      </c>
      <c r="P22" s="68"/>
      <c r="Q22" s="68"/>
      <c r="R22" s="69"/>
      <c r="S22" s="68"/>
      <c r="T22" s="70"/>
      <c r="U22" s="68"/>
      <c r="V22" s="68"/>
      <c r="W22" s="69"/>
      <c r="X22" s="68"/>
      <c r="Y22" s="68"/>
      <c r="Z22" s="68"/>
      <c r="AA22" s="66">
        <f>SUM(AA17:AA20)</f>
        <v>0</v>
      </c>
      <c r="AB22" s="71">
        <f>SUM(AB17:AB20)</f>
        <v>0</v>
      </c>
      <c r="AC22" s="66">
        <f>SUM(AC17:AC20)</f>
        <v>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68"/>
      <c r="B23" s="68"/>
      <c r="C23" s="69"/>
      <c r="D23" s="68"/>
      <c r="E23" s="70"/>
      <c r="F23" s="68"/>
      <c r="G23" s="68"/>
      <c r="H23" s="69"/>
      <c r="I23" s="68"/>
      <c r="J23" s="68"/>
      <c r="K23" s="68"/>
      <c r="L23" s="66">
        <f>SUM(L17:L22)</f>
        <v>4500</v>
      </c>
      <c r="M23" s="71">
        <f>SUM(M17:M22)</f>
        <v>1500</v>
      </c>
      <c r="N23" s="66">
        <f>SUM(N17:N22)</f>
        <v>3000</v>
      </c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5"/>
      <c r="AE23" s="68"/>
      <c r="AF23" s="68"/>
      <c r="AG23" s="69"/>
      <c r="AH23" s="68"/>
      <c r="AI23" s="70"/>
      <c r="AJ23" s="80"/>
      <c r="AK23" s="66">
        <f>SUM(AK4:AK22)</f>
        <v>15540</v>
      </c>
      <c r="AL23" s="71">
        <f>SUM(AL4:AL22)</f>
        <v>7100</v>
      </c>
      <c r="AM23" s="66" t="e">
        <f>SUM(AM4:AM22)</f>
        <v>#VALUE!</v>
      </c>
      <c r="AN23" s="75"/>
    </row>
    <row r="24" spans="1:40" s="75" customFormat="1" ht="100.05" customHeight="1" x14ac:dyDescent="0.3">
      <c r="A24" s="79"/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E24" s="79"/>
      <c r="AF24" s="79"/>
      <c r="AG24" s="79"/>
      <c r="AH24" s="79"/>
      <c r="AI24" s="79"/>
      <c r="AJ24" s="79"/>
      <c r="AK24" s="79"/>
      <c r="AL24" s="79"/>
      <c r="AM24" s="79"/>
    </row>
    <row r="25" spans="1:40" s="75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E25" s="79"/>
      <c r="AF25" s="79"/>
      <c r="AG25" s="79"/>
      <c r="AH25" s="79"/>
      <c r="AI25" s="79"/>
      <c r="AJ25" s="79"/>
      <c r="AK25" s="79"/>
      <c r="AL25" s="79"/>
      <c r="AM25" s="79"/>
    </row>
    <row r="26" spans="1:40" s="75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 spans="1:40" s="76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5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5"/>
      <c r="AE27" s="79"/>
      <c r="AF27" s="79"/>
      <c r="AG27" s="79"/>
      <c r="AH27" s="79"/>
      <c r="AI27" s="79"/>
      <c r="AJ27" s="79"/>
      <c r="AK27" s="79"/>
      <c r="AL27" s="79"/>
      <c r="AM27" s="79"/>
      <c r="AN27" s="75"/>
    </row>
    <row r="28" spans="1:40" s="76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5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5"/>
      <c r="AE28" s="79"/>
      <c r="AF28" s="79"/>
      <c r="AG28" s="79"/>
      <c r="AH28" s="79"/>
      <c r="AI28" s="79"/>
      <c r="AJ28" s="79"/>
      <c r="AK28" s="79"/>
      <c r="AL28" s="79"/>
      <c r="AM28" s="79"/>
      <c r="AN28" s="75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6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5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5"/>
      <c r="AE32" s="79"/>
      <c r="AF32" s="79"/>
      <c r="AG32" s="79"/>
      <c r="AH32" s="79"/>
      <c r="AI32" s="79"/>
      <c r="AJ32" s="79"/>
      <c r="AK32" s="79"/>
      <c r="AL32" s="79"/>
      <c r="AM32" s="79"/>
      <c r="AN32" s="75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5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E37" s="79"/>
      <c r="AF37" s="79"/>
      <c r="AG37" s="79"/>
      <c r="AH37" s="79"/>
      <c r="AI37" s="79"/>
      <c r="AJ37" s="79"/>
      <c r="AK37" s="79"/>
      <c r="AL37" s="79"/>
      <c r="AM37" s="79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56" customFormat="1" ht="100.0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2"/>
      <c r="AF42" s="2"/>
      <c r="AG42" s="2"/>
      <c r="AH42" s="2"/>
      <c r="AI42" s="2"/>
      <c r="AJ42" s="2"/>
      <c r="AK42" s="2"/>
      <c r="AL42" s="2"/>
      <c r="AM42" s="2"/>
      <c r="AN42" s="3"/>
    </row>
    <row r="43" spans="1:40" s="56" customFormat="1" ht="100.0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2"/>
      <c r="AF43" s="2"/>
      <c r="AG43" s="2"/>
      <c r="AH43" s="2"/>
      <c r="AI43" s="2"/>
      <c r="AJ43" s="2"/>
      <c r="AK43" s="2"/>
      <c r="AL43" s="2"/>
      <c r="AM43" s="2"/>
      <c r="AN43" s="3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spans="1:40" s="56" customFormat="1" ht="100.0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0" s="56" customFormat="1" ht="100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1:40" s="56" customFormat="1" ht="100.0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</sheetData>
  <mergeCells count="11">
    <mergeCell ref="A2:N2"/>
    <mergeCell ref="P2:AC2"/>
    <mergeCell ref="AE2:AM2"/>
    <mergeCell ref="A15:N15"/>
    <mergeCell ref="P15:AC15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6"/>
  <sheetViews>
    <sheetView zoomScale="25" zoomScaleNormal="25" workbookViewId="0">
      <selection activeCell="E5" sqref="E5:L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45950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45950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250042</v>
      </c>
      <c r="B4" s="62">
        <v>304</v>
      </c>
      <c r="C4" s="64">
        <v>0.9</v>
      </c>
      <c r="D4" s="62">
        <v>543</v>
      </c>
      <c r="E4" s="86" t="s">
        <v>224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750</v>
      </c>
      <c r="M4" s="67">
        <f>20+240+600</f>
        <v>860</v>
      </c>
      <c r="N4" s="66">
        <f>L4-M4</f>
        <v>-110</v>
      </c>
      <c r="P4" s="62">
        <v>131025</v>
      </c>
      <c r="Q4" s="62">
        <v>304</v>
      </c>
      <c r="R4" s="64">
        <v>0.9</v>
      </c>
      <c r="S4" s="62">
        <v>425</v>
      </c>
      <c r="T4" s="65" t="s">
        <v>256</v>
      </c>
      <c r="U4" s="62" t="s">
        <v>23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3000</v>
      </c>
      <c r="AB4" s="67">
        <f>850+1200+1100</f>
        <v>3150</v>
      </c>
      <c r="AC4" s="66">
        <f>AA4-AB4</f>
        <v>-150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/>
      <c r="AM4" s="66">
        <f t="shared" ref="AM4:AM39" si="0">AK4-AL4</f>
        <v>540</v>
      </c>
    </row>
    <row r="5" spans="1:39" s="76" customFormat="1" ht="100.05" customHeight="1" x14ac:dyDescent="0.3">
      <c r="A5" s="99">
        <v>250049</v>
      </c>
      <c r="B5" s="99">
        <v>304</v>
      </c>
      <c r="C5" s="100">
        <v>0.9</v>
      </c>
      <c r="D5" s="99" t="s">
        <v>24</v>
      </c>
      <c r="E5" s="92" t="s">
        <v>323</v>
      </c>
      <c r="F5" s="99" t="s">
        <v>121</v>
      </c>
      <c r="G5" s="99">
        <v>430</v>
      </c>
      <c r="H5" s="100">
        <v>0.6</v>
      </c>
      <c r="I5" s="99" t="s">
        <v>24</v>
      </c>
      <c r="J5" s="99" t="s">
        <v>24</v>
      </c>
      <c r="K5" s="99" t="s">
        <v>223</v>
      </c>
      <c r="L5" s="89">
        <v>450</v>
      </c>
      <c r="M5" s="102">
        <v>466</v>
      </c>
      <c r="N5" s="66">
        <f>L5-M5</f>
        <v>-16</v>
      </c>
      <c r="P5" s="62">
        <v>230925</v>
      </c>
      <c r="Q5" s="62">
        <v>430</v>
      </c>
      <c r="R5" s="64">
        <v>0.8</v>
      </c>
      <c r="S5" s="62">
        <v>425</v>
      </c>
      <c r="T5" s="65" t="s">
        <v>239</v>
      </c>
      <c r="U5" s="62" t="s">
        <v>24</v>
      </c>
      <c r="V5" s="62" t="s">
        <v>24</v>
      </c>
      <c r="W5" s="64" t="s">
        <v>24</v>
      </c>
      <c r="X5" s="62" t="s">
        <v>24</v>
      </c>
      <c r="Y5" s="62" t="s">
        <v>24</v>
      </c>
      <c r="Z5" s="62" t="s">
        <v>74</v>
      </c>
      <c r="AA5" s="66">
        <v>6000</v>
      </c>
      <c r="AB5" s="67"/>
      <c r="AC5" s="66">
        <f>AA5-AB5</f>
        <v>6000</v>
      </c>
      <c r="AE5" s="62"/>
      <c r="AF5" s="62"/>
      <c r="AG5" s="64"/>
      <c r="AH5" s="67"/>
      <c r="AI5" s="65"/>
      <c r="AJ5" s="78"/>
      <c r="AK5" s="66"/>
      <c r="AL5" s="67"/>
      <c r="AM5" s="66"/>
    </row>
    <row r="6" spans="1:39" s="76" customFormat="1" ht="100.05" customHeight="1" x14ac:dyDescent="0.3">
      <c r="A6" s="62">
        <v>250042</v>
      </c>
      <c r="B6" s="62">
        <v>304</v>
      </c>
      <c r="C6" s="64">
        <v>0.9</v>
      </c>
      <c r="D6" s="62">
        <v>560</v>
      </c>
      <c r="E6" s="86" t="s">
        <v>225</v>
      </c>
      <c r="F6" s="62" t="s">
        <v>121</v>
      </c>
      <c r="G6" s="62">
        <v>304</v>
      </c>
      <c r="H6" s="64">
        <v>0.6</v>
      </c>
      <c r="I6" s="62" t="s">
        <v>24</v>
      </c>
      <c r="J6" s="62" t="s">
        <v>24</v>
      </c>
      <c r="K6" s="62" t="s">
        <v>223</v>
      </c>
      <c r="L6" s="66">
        <v>750</v>
      </c>
      <c r="M6" s="67"/>
      <c r="N6" s="66">
        <f>L6-M6</f>
        <v>750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20" si="1">AA6-AB6</f>
        <v>0</v>
      </c>
      <c r="AE6" s="62">
        <v>230925</v>
      </c>
      <c r="AF6" s="62">
        <v>430</v>
      </c>
      <c r="AG6" s="64">
        <v>0.8</v>
      </c>
      <c r="AH6" s="67" t="s">
        <v>24</v>
      </c>
      <c r="AI6" s="65" t="s">
        <v>247</v>
      </c>
      <c r="AJ6" s="78" t="s">
        <v>241</v>
      </c>
      <c r="AK6" s="66">
        <v>6000</v>
      </c>
      <c r="AL6" s="67"/>
      <c r="AM6" s="66">
        <f t="shared" si="0"/>
        <v>6000</v>
      </c>
    </row>
    <row r="7" spans="1:39" s="76" customFormat="1" ht="100.05" customHeight="1" x14ac:dyDescent="0.3">
      <c r="A7" s="62">
        <v>250057</v>
      </c>
      <c r="B7" s="62">
        <v>304</v>
      </c>
      <c r="C7" s="64">
        <v>0.7</v>
      </c>
      <c r="D7" s="62">
        <v>324</v>
      </c>
      <c r="E7" s="91" t="s">
        <v>236</v>
      </c>
      <c r="F7" s="62" t="s">
        <v>23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259</v>
      </c>
      <c r="L7" s="66">
        <v>410</v>
      </c>
      <c r="M7" s="67"/>
      <c r="N7" s="66">
        <f>L7-M7</f>
        <v>410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131025</v>
      </c>
      <c r="AF7" s="62">
        <v>304</v>
      </c>
      <c r="AG7" s="64">
        <v>0.6</v>
      </c>
      <c r="AH7" s="67" t="s">
        <v>24</v>
      </c>
      <c r="AI7" s="65" t="s">
        <v>257</v>
      </c>
      <c r="AJ7" s="78" t="s">
        <v>241</v>
      </c>
      <c r="AK7" s="66">
        <v>3000</v>
      </c>
      <c r="AL7" s="67">
        <f>1000+2100</f>
        <v>3100</v>
      </c>
      <c r="AM7" s="66">
        <f t="shared" si="0"/>
        <v>-100</v>
      </c>
    </row>
    <row r="8" spans="1:39" s="76" customFormat="1" ht="100.05" customHeight="1" x14ac:dyDescent="0.3">
      <c r="A8" s="62">
        <v>250061</v>
      </c>
      <c r="B8" s="62">
        <v>304</v>
      </c>
      <c r="C8" s="64">
        <v>0.7</v>
      </c>
      <c r="D8" s="62">
        <v>324</v>
      </c>
      <c r="E8" s="91" t="s">
        <v>236</v>
      </c>
      <c r="F8" s="62" t="s">
        <v>23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259</v>
      </c>
      <c r="L8" s="66">
        <v>540</v>
      </c>
      <c r="M8" s="67"/>
      <c r="N8" s="66">
        <f>L8-M8</f>
        <v>540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250080</v>
      </c>
      <c r="AF8" s="62">
        <v>304</v>
      </c>
      <c r="AG8" s="64">
        <v>0.6</v>
      </c>
      <c r="AH8" s="67" t="s">
        <v>24</v>
      </c>
      <c r="AI8" s="65" t="s">
        <v>272</v>
      </c>
      <c r="AJ8" s="78" t="s">
        <v>241</v>
      </c>
      <c r="AK8" s="66">
        <v>1000</v>
      </c>
      <c r="AL8" s="67"/>
      <c r="AM8" s="66">
        <f t="shared" si="0"/>
        <v>1000</v>
      </c>
    </row>
    <row r="9" spans="1:39" s="76" customFormat="1" ht="100.05" customHeight="1" x14ac:dyDescent="0.3">
      <c r="A9" s="62">
        <v>250079</v>
      </c>
      <c r="B9" s="62">
        <v>304</v>
      </c>
      <c r="C9" s="64">
        <v>0.7</v>
      </c>
      <c r="D9" s="62">
        <v>324</v>
      </c>
      <c r="E9" s="91" t="s">
        <v>258</v>
      </c>
      <c r="F9" s="62" t="s">
        <v>42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259</v>
      </c>
      <c r="L9" s="66">
        <v>964</v>
      </c>
      <c r="M9" s="67"/>
      <c r="N9" s="66">
        <f t="shared" ref="N9:N20" si="2">L9-M9</f>
        <v>964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250080</v>
      </c>
      <c r="AF9" s="62">
        <v>304</v>
      </c>
      <c r="AG9" s="64">
        <v>0.6</v>
      </c>
      <c r="AH9" s="67" t="s">
        <v>24</v>
      </c>
      <c r="AI9" s="65" t="s">
        <v>273</v>
      </c>
      <c r="AJ9" s="78" t="s">
        <v>241</v>
      </c>
      <c r="AK9" s="66">
        <v>1200</v>
      </c>
      <c r="AL9" s="67"/>
      <c r="AM9" s="66">
        <f t="shared" si="0"/>
        <v>1200</v>
      </c>
    </row>
    <row r="10" spans="1:39" s="76" customFormat="1" ht="100.05" customHeight="1" x14ac:dyDescent="0.3">
      <c r="A10" s="62">
        <v>250079</v>
      </c>
      <c r="B10" s="62">
        <v>304</v>
      </c>
      <c r="C10" s="64">
        <v>1</v>
      </c>
      <c r="D10" s="62">
        <v>324</v>
      </c>
      <c r="E10" s="91" t="s">
        <v>260</v>
      </c>
      <c r="F10" s="62" t="s">
        <v>42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259</v>
      </c>
      <c r="L10" s="66">
        <v>36</v>
      </c>
      <c r="M10" s="67"/>
      <c r="N10" s="66">
        <f t="shared" si="2"/>
        <v>36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250079</v>
      </c>
      <c r="AF10" s="62">
        <v>304</v>
      </c>
      <c r="AG10" s="64">
        <v>0.6</v>
      </c>
      <c r="AH10" s="67" t="s">
        <v>24</v>
      </c>
      <c r="AI10" s="65" t="s">
        <v>274</v>
      </c>
      <c r="AJ10" s="78" t="s">
        <v>241</v>
      </c>
      <c r="AK10" s="66">
        <v>964</v>
      </c>
      <c r="AL10" s="67"/>
      <c r="AM10" s="66">
        <f t="shared" si="0"/>
        <v>964</v>
      </c>
    </row>
    <row r="11" spans="1:39" s="76" customFormat="1" ht="100.05" customHeight="1" x14ac:dyDescent="0.3">
      <c r="A11" s="62">
        <v>250057</v>
      </c>
      <c r="B11" s="62">
        <v>304</v>
      </c>
      <c r="C11" s="64">
        <v>0.7</v>
      </c>
      <c r="D11" s="62">
        <v>543</v>
      </c>
      <c r="E11" s="91" t="s">
        <v>237</v>
      </c>
      <c r="F11" s="62" t="s">
        <v>121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212</v>
      </c>
      <c r="L11" s="66">
        <v>410</v>
      </c>
      <c r="M11" s="67"/>
      <c r="N11" s="66">
        <f t="shared" si="2"/>
        <v>410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250079</v>
      </c>
      <c r="AF11" s="62">
        <v>304</v>
      </c>
      <c r="AG11" s="64">
        <v>0.6</v>
      </c>
      <c r="AH11" s="67" t="s">
        <v>24</v>
      </c>
      <c r="AI11" s="65" t="s">
        <v>275</v>
      </c>
      <c r="AJ11" s="78" t="s">
        <v>241</v>
      </c>
      <c r="AK11" s="66">
        <v>1314</v>
      </c>
      <c r="AL11" s="67"/>
      <c r="AM11" s="66">
        <f t="shared" si="0"/>
        <v>1314</v>
      </c>
    </row>
    <row r="12" spans="1:39" s="76" customFormat="1" ht="100.05" customHeight="1" x14ac:dyDescent="0.3">
      <c r="A12" s="62" t="s">
        <v>267</v>
      </c>
      <c r="B12" s="62">
        <v>430</v>
      </c>
      <c r="C12" s="64">
        <v>0.5</v>
      </c>
      <c r="D12" s="62">
        <v>475</v>
      </c>
      <c r="E12" s="91" t="s">
        <v>268</v>
      </c>
      <c r="F12" s="62" t="s">
        <v>24</v>
      </c>
      <c r="G12" s="62" t="s">
        <v>24</v>
      </c>
      <c r="H12" s="64" t="s">
        <v>24</v>
      </c>
      <c r="I12" s="62" t="s">
        <v>24</v>
      </c>
      <c r="J12" s="62" t="s">
        <v>24</v>
      </c>
      <c r="K12" s="62" t="s">
        <v>79</v>
      </c>
      <c r="L12" s="66">
        <v>1200</v>
      </c>
      <c r="M12" s="67"/>
      <c r="N12" s="66">
        <f t="shared" si="2"/>
        <v>1200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>
        <v>250079</v>
      </c>
      <c r="AF12" s="62">
        <v>304</v>
      </c>
      <c r="AG12" s="64">
        <v>0.6</v>
      </c>
      <c r="AH12" s="67" t="s">
        <v>24</v>
      </c>
      <c r="AI12" s="65" t="s">
        <v>276</v>
      </c>
      <c r="AJ12" s="78" t="s">
        <v>241</v>
      </c>
      <c r="AK12" s="66">
        <v>1314</v>
      </c>
      <c r="AL12" s="67"/>
      <c r="AM12" s="66">
        <f t="shared" si="0"/>
        <v>1314</v>
      </c>
    </row>
    <row r="13" spans="1:39" s="76" customFormat="1" ht="100.05" customHeight="1" x14ac:dyDescent="0.3">
      <c r="A13" s="62" t="s">
        <v>267</v>
      </c>
      <c r="B13" s="62">
        <v>430</v>
      </c>
      <c r="C13" s="64">
        <v>0.5</v>
      </c>
      <c r="D13" s="62">
        <v>290</v>
      </c>
      <c r="E13" s="91" t="s">
        <v>269</v>
      </c>
      <c r="F13" s="62" t="s">
        <v>24</v>
      </c>
      <c r="G13" s="62" t="s">
        <v>24</v>
      </c>
      <c r="H13" s="64" t="s">
        <v>24</v>
      </c>
      <c r="I13" s="62" t="s">
        <v>24</v>
      </c>
      <c r="J13" s="62" t="s">
        <v>24</v>
      </c>
      <c r="K13" s="62" t="s">
        <v>86</v>
      </c>
      <c r="L13" s="66">
        <v>1300</v>
      </c>
      <c r="M13" s="67"/>
      <c r="N13" s="66">
        <f t="shared" si="2"/>
        <v>1300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>
        <v>250079</v>
      </c>
      <c r="AF13" s="62">
        <v>304</v>
      </c>
      <c r="AG13" s="64">
        <v>0.6</v>
      </c>
      <c r="AH13" s="67" t="s">
        <v>24</v>
      </c>
      <c r="AI13" s="65" t="s">
        <v>277</v>
      </c>
      <c r="AJ13" s="78" t="s">
        <v>241</v>
      </c>
      <c r="AK13" s="66">
        <v>964</v>
      </c>
      <c r="AL13" s="67"/>
      <c r="AM13" s="66">
        <f t="shared" si="0"/>
        <v>964</v>
      </c>
    </row>
    <row r="14" spans="1:39" s="76" customFormat="1" ht="100.05" customHeight="1" x14ac:dyDescent="0.3">
      <c r="A14" s="62" t="s">
        <v>267</v>
      </c>
      <c r="B14" s="62">
        <v>430</v>
      </c>
      <c r="C14" s="64">
        <v>0.5</v>
      </c>
      <c r="D14" s="62">
        <v>350</v>
      </c>
      <c r="E14" s="91" t="s">
        <v>278</v>
      </c>
      <c r="F14" s="62" t="s">
        <v>24</v>
      </c>
      <c r="G14" s="62" t="s">
        <v>24</v>
      </c>
      <c r="H14" s="64" t="s">
        <v>24</v>
      </c>
      <c r="I14" s="62" t="s">
        <v>24</v>
      </c>
      <c r="J14" s="62" t="s">
        <v>24</v>
      </c>
      <c r="K14" s="62" t="s">
        <v>79</v>
      </c>
      <c r="L14" s="66">
        <v>1200</v>
      </c>
      <c r="M14" s="67"/>
      <c r="N14" s="66">
        <f t="shared" si="2"/>
        <v>1200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00.05" customHeight="1" x14ac:dyDescent="0.3">
      <c r="A15" s="62" t="s">
        <v>267</v>
      </c>
      <c r="B15" s="62">
        <v>430</v>
      </c>
      <c r="C15" s="64">
        <v>0.5</v>
      </c>
      <c r="D15" s="62">
        <v>315</v>
      </c>
      <c r="E15" s="91" t="s">
        <v>279</v>
      </c>
      <c r="F15" s="62" t="s">
        <v>24</v>
      </c>
      <c r="G15" s="62" t="s">
        <v>24</v>
      </c>
      <c r="H15" s="64" t="s">
        <v>24</v>
      </c>
      <c r="I15" s="62" t="s">
        <v>24</v>
      </c>
      <c r="J15" s="62" t="s">
        <v>24</v>
      </c>
      <c r="K15" s="62" t="s">
        <v>86</v>
      </c>
      <c r="L15" s="66">
        <v>1200</v>
      </c>
      <c r="M15" s="67"/>
      <c r="N15" s="66">
        <f t="shared" si="2"/>
        <v>1200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62">
        <v>250078</v>
      </c>
      <c r="B16" s="62">
        <v>304</v>
      </c>
      <c r="C16" s="64">
        <v>0.7</v>
      </c>
      <c r="D16" s="62">
        <v>582</v>
      </c>
      <c r="E16" s="91" t="s">
        <v>280</v>
      </c>
      <c r="F16" s="62" t="s">
        <v>181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79</v>
      </c>
      <c r="L16" s="66">
        <v>790</v>
      </c>
      <c r="M16" s="67"/>
      <c r="N16" s="66">
        <f t="shared" si="2"/>
        <v>790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62">
        <v>250080</v>
      </c>
      <c r="B17" s="62">
        <v>304</v>
      </c>
      <c r="C17" s="64">
        <v>0.6</v>
      </c>
      <c r="D17" s="62">
        <v>505</v>
      </c>
      <c r="E17" s="91" t="s">
        <v>285</v>
      </c>
      <c r="F17" s="62" t="s">
        <v>181</v>
      </c>
      <c r="G17" s="62">
        <v>430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300</v>
      </c>
      <c r="M17" s="67"/>
      <c r="N17" s="66">
        <f t="shared" si="2"/>
        <v>300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/>
      <c r="AE17" s="62"/>
      <c r="AF17" s="62"/>
      <c r="AG17" s="64"/>
      <c r="AH17" s="67"/>
      <c r="AI17" s="65"/>
      <c r="AJ17" s="78"/>
      <c r="AK17" s="66"/>
      <c r="AL17" s="67"/>
      <c r="AM17" s="66"/>
    </row>
    <row r="18" spans="1:40" s="76" customFormat="1" ht="100.05" customHeight="1" x14ac:dyDescent="0.3">
      <c r="A18" s="62">
        <v>250080</v>
      </c>
      <c r="B18" s="62">
        <v>304</v>
      </c>
      <c r="C18" s="64">
        <v>0.6</v>
      </c>
      <c r="D18" s="62">
        <v>520</v>
      </c>
      <c r="E18" s="91" t="s">
        <v>282</v>
      </c>
      <c r="F18" s="62" t="s">
        <v>222</v>
      </c>
      <c r="G18" s="62">
        <v>430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500</v>
      </c>
      <c r="M18" s="67"/>
      <c r="N18" s="66">
        <f t="shared" si="2"/>
        <v>500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2">
        <v>250080</v>
      </c>
      <c r="B19" s="62">
        <v>304</v>
      </c>
      <c r="C19" s="64">
        <v>0.6</v>
      </c>
      <c r="D19" s="62">
        <v>457</v>
      </c>
      <c r="E19" s="91" t="s">
        <v>283</v>
      </c>
      <c r="F19" s="62" t="s">
        <v>24</v>
      </c>
      <c r="G19" s="62" t="s">
        <v>24</v>
      </c>
      <c r="H19" s="64" t="s">
        <v>24</v>
      </c>
      <c r="I19" s="62" t="s">
        <v>24</v>
      </c>
      <c r="J19" s="62" t="s">
        <v>24</v>
      </c>
      <c r="K19" s="62" t="s">
        <v>284</v>
      </c>
      <c r="L19" s="66">
        <v>500</v>
      </c>
      <c r="M19" s="67"/>
      <c r="N19" s="66">
        <f t="shared" si="2"/>
        <v>500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>
        <f t="shared" si="1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62"/>
      <c r="B20" s="62"/>
      <c r="C20" s="64"/>
      <c r="D20" s="62"/>
      <c r="E20" s="65"/>
      <c r="F20" s="62"/>
      <c r="G20" s="62"/>
      <c r="H20" s="64"/>
      <c r="I20" s="62"/>
      <c r="J20" s="62"/>
      <c r="K20" s="62"/>
      <c r="L20" s="62"/>
      <c r="M20" s="67"/>
      <c r="N20" s="66">
        <f t="shared" si="2"/>
        <v>0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2"/>
      <c r="AB20" s="67"/>
      <c r="AC20" s="66">
        <f t="shared" si="1"/>
        <v>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6" customFormat="1" ht="100.05" customHeight="1" x14ac:dyDescent="0.3">
      <c r="A21" s="68"/>
      <c r="B21" s="68"/>
      <c r="C21" s="69"/>
      <c r="D21" s="68"/>
      <c r="E21" s="70"/>
      <c r="F21" s="68"/>
      <c r="G21" s="68"/>
      <c r="H21" s="69"/>
      <c r="I21" s="68"/>
      <c r="J21" s="68"/>
      <c r="K21" s="68"/>
      <c r="L21" s="66">
        <f>SUM(L4:L20)</f>
        <v>11300</v>
      </c>
      <c r="M21" s="71">
        <f>SUM(M4:M20)</f>
        <v>1326</v>
      </c>
      <c r="N21" s="66">
        <f>SUM(N4:N20)</f>
        <v>9974</v>
      </c>
      <c r="P21" s="68"/>
      <c r="Q21" s="68"/>
      <c r="R21" s="69"/>
      <c r="S21" s="68"/>
      <c r="T21" s="70"/>
      <c r="U21" s="68"/>
      <c r="V21" s="68"/>
      <c r="W21" s="69"/>
      <c r="X21" s="68"/>
      <c r="Y21" s="68"/>
      <c r="Z21" s="68"/>
      <c r="AA21" s="66">
        <f>AA4+AA6+AA7+AA8+AA20</f>
        <v>3000</v>
      </c>
      <c r="AB21" s="71">
        <f>SUM(AB4:AB20)</f>
        <v>3150</v>
      </c>
      <c r="AC21" s="66">
        <f>SUM(AC4:AC20)</f>
        <v>5850</v>
      </c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</row>
    <row r="22" spans="1:40" s="75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109" t="s">
        <v>101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1"/>
      <c r="P23" s="109" t="s">
        <v>99</v>
      </c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1"/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5" customFormat="1" ht="145.80000000000001" x14ac:dyDescent="0.3">
      <c r="A24" s="81" t="s">
        <v>0</v>
      </c>
      <c r="B24" s="81" t="s">
        <v>9</v>
      </c>
      <c r="C24" s="82" t="s">
        <v>11</v>
      </c>
      <c r="D24" s="81" t="s">
        <v>2</v>
      </c>
      <c r="E24" s="81" t="s">
        <v>1</v>
      </c>
      <c r="F24" s="81" t="s">
        <v>14</v>
      </c>
      <c r="G24" s="81" t="s">
        <v>8</v>
      </c>
      <c r="H24" s="82" t="s">
        <v>10</v>
      </c>
      <c r="I24" s="82" t="s">
        <v>12</v>
      </c>
      <c r="J24" s="82" t="s">
        <v>13</v>
      </c>
      <c r="K24" s="81" t="s">
        <v>3</v>
      </c>
      <c r="L24" s="81" t="s">
        <v>7</v>
      </c>
      <c r="M24" s="81" t="s">
        <v>5</v>
      </c>
      <c r="N24" s="81" t="s">
        <v>6</v>
      </c>
      <c r="P24" s="81" t="s">
        <v>0</v>
      </c>
      <c r="Q24" s="81" t="s">
        <v>9</v>
      </c>
      <c r="R24" s="82" t="s">
        <v>11</v>
      </c>
      <c r="S24" s="81" t="s">
        <v>2</v>
      </c>
      <c r="T24" s="81" t="s">
        <v>1</v>
      </c>
      <c r="U24" s="81" t="s">
        <v>14</v>
      </c>
      <c r="V24" s="81" t="s">
        <v>8</v>
      </c>
      <c r="W24" s="82" t="s">
        <v>10</v>
      </c>
      <c r="X24" s="82" t="s">
        <v>12</v>
      </c>
      <c r="Y24" s="82" t="s">
        <v>13</v>
      </c>
      <c r="Z24" s="81" t="s">
        <v>3</v>
      </c>
      <c r="AA24" s="81" t="s">
        <v>7</v>
      </c>
      <c r="AB24" s="81" t="s">
        <v>5</v>
      </c>
      <c r="AC24" s="81" t="s">
        <v>6</v>
      </c>
      <c r="AD24" s="76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6"/>
    </row>
    <row r="25" spans="1:40" s="76" customFormat="1" ht="100.05" customHeight="1" x14ac:dyDescent="0.3">
      <c r="A25" s="62">
        <v>20125</v>
      </c>
      <c r="B25" s="62">
        <v>304</v>
      </c>
      <c r="C25" s="64">
        <v>0.6</v>
      </c>
      <c r="D25" s="62">
        <v>234</v>
      </c>
      <c r="E25" s="91" t="s">
        <v>249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1000</v>
      </c>
      <c r="M25" s="67"/>
      <c r="N25" s="66">
        <f t="shared" ref="N25" si="3">L25-M25</f>
        <v>1000</v>
      </c>
      <c r="P25" s="62">
        <v>250079</v>
      </c>
      <c r="Q25" s="62">
        <v>304</v>
      </c>
      <c r="R25" s="64">
        <v>0.7</v>
      </c>
      <c r="S25" s="62">
        <v>324</v>
      </c>
      <c r="T25" s="65" t="s">
        <v>261</v>
      </c>
      <c r="U25" s="62" t="s">
        <v>23</v>
      </c>
      <c r="V25" s="62">
        <v>304</v>
      </c>
      <c r="W25" s="64">
        <v>0.6</v>
      </c>
      <c r="X25" s="62" t="s">
        <v>24</v>
      </c>
      <c r="Y25" s="62" t="s">
        <v>24</v>
      </c>
      <c r="Z25" s="62" t="s">
        <v>74</v>
      </c>
      <c r="AA25" s="66">
        <v>964</v>
      </c>
      <c r="AB25" s="67"/>
      <c r="AC25" s="66">
        <f t="shared" ref="AC25:AC33" si="4">AA25-AB25</f>
        <v>964</v>
      </c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</row>
    <row r="26" spans="1:40" s="76" customFormat="1" ht="100.05" customHeight="1" x14ac:dyDescent="0.3">
      <c r="A26" s="62">
        <v>20125</v>
      </c>
      <c r="B26" s="62">
        <v>304</v>
      </c>
      <c r="C26" s="64">
        <v>0.6</v>
      </c>
      <c r="D26" s="62">
        <v>234</v>
      </c>
      <c r="E26" s="91" t="s">
        <v>250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1000</v>
      </c>
      <c r="M26" s="67">
        <v>850</v>
      </c>
      <c r="N26" s="66">
        <f>L26-M26</f>
        <v>150</v>
      </c>
      <c r="P26" s="62">
        <v>250079</v>
      </c>
      <c r="Q26" s="62">
        <v>304</v>
      </c>
      <c r="R26" s="64">
        <v>0.7</v>
      </c>
      <c r="S26" s="62">
        <v>324</v>
      </c>
      <c r="T26" s="93" t="s">
        <v>262</v>
      </c>
      <c r="U26" s="62" t="s">
        <v>23</v>
      </c>
      <c r="V26" s="62">
        <v>304</v>
      </c>
      <c r="W26" s="64">
        <v>0.6</v>
      </c>
      <c r="X26" s="62" t="s">
        <v>24</v>
      </c>
      <c r="Y26" s="62" t="s">
        <v>24</v>
      </c>
      <c r="Z26" s="62" t="s">
        <v>74</v>
      </c>
      <c r="AA26" s="66">
        <v>36</v>
      </c>
      <c r="AB26" s="67"/>
      <c r="AC26" s="66">
        <f t="shared" si="4"/>
        <v>36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20125</v>
      </c>
      <c r="B27" s="62">
        <v>304</v>
      </c>
      <c r="C27" s="64">
        <v>0.6</v>
      </c>
      <c r="D27" s="62">
        <v>277</v>
      </c>
      <c r="E27" s="86" t="s">
        <v>251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1000</v>
      </c>
      <c r="M27" s="67">
        <v>1000</v>
      </c>
      <c r="N27" s="90">
        <f t="shared" ref="N27:N39" si="5">L27-M27</f>
        <v>0</v>
      </c>
      <c r="P27" s="62">
        <v>250079</v>
      </c>
      <c r="Q27" s="62">
        <v>304</v>
      </c>
      <c r="R27" s="64">
        <v>0.7</v>
      </c>
      <c r="S27" s="62">
        <v>307</v>
      </c>
      <c r="T27" s="93" t="s">
        <v>264</v>
      </c>
      <c r="U27" s="62" t="s">
        <v>23</v>
      </c>
      <c r="V27" s="62">
        <v>304</v>
      </c>
      <c r="W27" s="64">
        <v>0.6</v>
      </c>
      <c r="X27" s="62" t="s">
        <v>24</v>
      </c>
      <c r="Y27" s="62" t="s">
        <v>24</v>
      </c>
      <c r="Z27" s="62" t="s">
        <v>74</v>
      </c>
      <c r="AA27" s="66">
        <v>1314</v>
      </c>
      <c r="AB27" s="67"/>
      <c r="AC27" s="66">
        <f t="shared" si="4"/>
        <v>1314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21025</v>
      </c>
      <c r="B28" s="62">
        <v>304</v>
      </c>
      <c r="C28" s="64">
        <v>0.6</v>
      </c>
      <c r="D28" s="62">
        <v>321</v>
      </c>
      <c r="E28" s="91" t="s">
        <v>253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1000</v>
      </c>
      <c r="M28" s="67"/>
      <c r="N28" s="66">
        <f t="shared" si="5"/>
        <v>1000</v>
      </c>
      <c r="P28" s="62">
        <v>250079</v>
      </c>
      <c r="Q28" s="62">
        <v>304</v>
      </c>
      <c r="R28" s="64">
        <v>0.7</v>
      </c>
      <c r="S28" s="62">
        <v>307</v>
      </c>
      <c r="T28" s="93" t="s">
        <v>263</v>
      </c>
      <c r="U28" s="62" t="s">
        <v>23</v>
      </c>
      <c r="V28" s="62">
        <v>304</v>
      </c>
      <c r="W28" s="64">
        <v>0.6</v>
      </c>
      <c r="X28" s="62" t="s">
        <v>24</v>
      </c>
      <c r="Y28" s="62" t="s">
        <v>24</v>
      </c>
      <c r="Z28" s="62" t="s">
        <v>74</v>
      </c>
      <c r="AA28" s="66">
        <v>36</v>
      </c>
      <c r="AB28" s="67"/>
      <c r="AC28" s="66">
        <f t="shared" si="4"/>
        <v>36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250078</v>
      </c>
      <c r="B29" s="62">
        <v>304</v>
      </c>
      <c r="C29" s="64">
        <v>0.7</v>
      </c>
      <c r="D29" s="62">
        <v>435</v>
      </c>
      <c r="E29" s="91" t="s">
        <v>286</v>
      </c>
      <c r="F29" s="62" t="s">
        <v>181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790</v>
      </c>
      <c r="M29" s="67"/>
      <c r="N29" s="66">
        <f t="shared" si="5"/>
        <v>790</v>
      </c>
      <c r="P29" s="62">
        <v>250080</v>
      </c>
      <c r="Q29" s="62">
        <v>304</v>
      </c>
      <c r="R29" s="64">
        <v>0.7</v>
      </c>
      <c r="S29" s="62">
        <v>307</v>
      </c>
      <c r="T29" s="93" t="s">
        <v>270</v>
      </c>
      <c r="U29" s="62" t="s">
        <v>23</v>
      </c>
      <c r="V29" s="62">
        <v>430</v>
      </c>
      <c r="W29" s="64">
        <v>0.6</v>
      </c>
      <c r="X29" s="62" t="s">
        <v>24</v>
      </c>
      <c r="Y29" s="62" t="s">
        <v>24</v>
      </c>
      <c r="Z29" s="62" t="s">
        <v>74</v>
      </c>
      <c r="AA29" s="66">
        <v>1000</v>
      </c>
      <c r="AB29" s="67"/>
      <c r="AC29" s="66">
        <f t="shared" si="4"/>
        <v>1000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250080</v>
      </c>
      <c r="B30" s="62">
        <v>304</v>
      </c>
      <c r="C30" s="64">
        <v>0.6</v>
      </c>
      <c r="D30" s="62">
        <v>435</v>
      </c>
      <c r="E30" s="86" t="s">
        <v>287</v>
      </c>
      <c r="F30" s="62" t="s">
        <v>181</v>
      </c>
      <c r="G30" s="62">
        <v>430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300</v>
      </c>
      <c r="M30" s="67"/>
      <c r="N30" s="66">
        <f t="shared" si="5"/>
        <v>300</v>
      </c>
      <c r="P30" s="62">
        <v>250079</v>
      </c>
      <c r="Q30" s="62">
        <v>304</v>
      </c>
      <c r="R30" s="64">
        <v>0.7</v>
      </c>
      <c r="S30" s="62">
        <v>265</v>
      </c>
      <c r="T30" s="93" t="s">
        <v>265</v>
      </c>
      <c r="U30" s="62" t="s">
        <v>23</v>
      </c>
      <c r="V30" s="62">
        <v>304</v>
      </c>
      <c r="W30" s="64">
        <v>0.6</v>
      </c>
      <c r="X30" s="62" t="s">
        <v>24</v>
      </c>
      <c r="Y30" s="62" t="s">
        <v>24</v>
      </c>
      <c r="Z30" s="62" t="s">
        <v>74</v>
      </c>
      <c r="AA30" s="66">
        <v>1314</v>
      </c>
      <c r="AB30" s="67"/>
      <c r="AC30" s="66">
        <f t="shared" si="4"/>
        <v>1314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250080</v>
      </c>
      <c r="B31" s="62">
        <v>304</v>
      </c>
      <c r="C31" s="64">
        <v>0.6</v>
      </c>
      <c r="D31" s="62">
        <v>455</v>
      </c>
      <c r="E31" s="86" t="s">
        <v>288</v>
      </c>
      <c r="F31" s="62" t="s">
        <v>222</v>
      </c>
      <c r="G31" s="62">
        <v>430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500</v>
      </c>
      <c r="M31" s="67"/>
      <c r="N31" s="66">
        <f t="shared" si="5"/>
        <v>500</v>
      </c>
      <c r="P31" s="62">
        <v>250079</v>
      </c>
      <c r="Q31" s="62">
        <v>304</v>
      </c>
      <c r="R31" s="64">
        <v>0.7</v>
      </c>
      <c r="S31" s="62">
        <v>265</v>
      </c>
      <c r="T31" s="93" t="s">
        <v>266</v>
      </c>
      <c r="U31" s="62" t="s">
        <v>23</v>
      </c>
      <c r="V31" s="62">
        <v>304</v>
      </c>
      <c r="W31" s="64">
        <v>0.6</v>
      </c>
      <c r="X31" s="62" t="s">
        <v>24</v>
      </c>
      <c r="Y31" s="62" t="s">
        <v>24</v>
      </c>
      <c r="Z31" s="62" t="s">
        <v>74</v>
      </c>
      <c r="AA31" s="66">
        <v>36</v>
      </c>
      <c r="AB31" s="67"/>
      <c r="AC31" s="66">
        <f t="shared" si="4"/>
        <v>36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250080</v>
      </c>
      <c r="B32" s="62">
        <v>304</v>
      </c>
      <c r="C32" s="64">
        <v>0.6</v>
      </c>
      <c r="D32" s="62">
        <v>405</v>
      </c>
      <c r="E32" s="86" t="s">
        <v>289</v>
      </c>
      <c r="F32" s="62" t="s">
        <v>24</v>
      </c>
      <c r="G32" s="62" t="s">
        <v>24</v>
      </c>
      <c r="H32" s="64" t="s">
        <v>24</v>
      </c>
      <c r="I32" s="62" t="s">
        <v>24</v>
      </c>
      <c r="J32" s="62" t="s">
        <v>24</v>
      </c>
      <c r="K32" s="62" t="s">
        <v>86</v>
      </c>
      <c r="L32" s="66">
        <v>500</v>
      </c>
      <c r="M32" s="67"/>
      <c r="N32" s="66">
        <f t="shared" si="5"/>
        <v>500</v>
      </c>
      <c r="P32" s="62">
        <v>250080</v>
      </c>
      <c r="Q32" s="62">
        <v>304</v>
      </c>
      <c r="R32" s="64">
        <v>0.7</v>
      </c>
      <c r="S32" s="62">
        <v>265</v>
      </c>
      <c r="T32" s="93" t="s">
        <v>271</v>
      </c>
      <c r="U32" s="62" t="s">
        <v>23</v>
      </c>
      <c r="V32" s="62">
        <v>430</v>
      </c>
      <c r="W32" s="64">
        <v>0.6</v>
      </c>
      <c r="X32" s="62" t="s">
        <v>24</v>
      </c>
      <c r="Y32" s="62" t="s">
        <v>24</v>
      </c>
      <c r="Z32" s="62" t="s">
        <v>74</v>
      </c>
      <c r="AA32" s="66">
        <v>1200</v>
      </c>
      <c r="AB32" s="67"/>
      <c r="AC32" s="66">
        <f t="shared" si="4"/>
        <v>1200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62">
        <v>250078</v>
      </c>
      <c r="B33" s="62">
        <v>304</v>
      </c>
      <c r="C33" s="64">
        <v>0.7</v>
      </c>
      <c r="D33" s="62">
        <v>385</v>
      </c>
      <c r="E33" s="91" t="s">
        <v>290</v>
      </c>
      <c r="F33" s="62" t="s">
        <v>181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790</v>
      </c>
      <c r="M33" s="67"/>
      <c r="N33" s="66">
        <f>L33-M33</f>
        <v>790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62">
        <v>250078</v>
      </c>
      <c r="B34" s="62">
        <v>304</v>
      </c>
      <c r="C34" s="64">
        <v>0.7</v>
      </c>
      <c r="D34" s="62">
        <v>355</v>
      </c>
      <c r="E34" s="91" t="s">
        <v>291</v>
      </c>
      <c r="F34" s="62" t="s">
        <v>181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79</v>
      </c>
      <c r="L34" s="66">
        <v>790</v>
      </c>
      <c r="M34" s="67"/>
      <c r="N34" s="66">
        <f t="shared" ref="N34:N38" si="6">L34-M34</f>
        <v>790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ref="AC34:AC37" si="7">AA34-AB34</f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/>
      <c r="AN34" s="75"/>
    </row>
    <row r="35" spans="1:40" s="76" customFormat="1" ht="100.05" customHeight="1" x14ac:dyDescent="0.3">
      <c r="A35" s="62">
        <v>250080</v>
      </c>
      <c r="B35" s="62">
        <v>304</v>
      </c>
      <c r="C35" s="64">
        <v>0.6</v>
      </c>
      <c r="D35" s="62">
        <v>355</v>
      </c>
      <c r="E35" s="91" t="s">
        <v>292</v>
      </c>
      <c r="F35" s="62" t="s">
        <v>181</v>
      </c>
      <c r="G35" s="62">
        <v>430</v>
      </c>
      <c r="H35" s="64">
        <v>0.6</v>
      </c>
      <c r="I35" s="62" t="s">
        <v>24</v>
      </c>
      <c r="J35" s="62" t="s">
        <v>24</v>
      </c>
      <c r="K35" s="62" t="s">
        <v>79</v>
      </c>
      <c r="L35" s="66">
        <v>300</v>
      </c>
      <c r="M35" s="67"/>
      <c r="N35" s="66">
        <f t="shared" si="6"/>
        <v>300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7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/>
      <c r="AN35" s="75"/>
    </row>
    <row r="36" spans="1:40" s="76" customFormat="1" ht="100.05" customHeight="1" x14ac:dyDescent="0.3">
      <c r="A36" s="62">
        <v>250080</v>
      </c>
      <c r="B36" s="62">
        <v>304</v>
      </c>
      <c r="C36" s="64">
        <v>0.6</v>
      </c>
      <c r="D36" s="62">
        <v>370</v>
      </c>
      <c r="E36" s="91" t="s">
        <v>293</v>
      </c>
      <c r="F36" s="62" t="s">
        <v>222</v>
      </c>
      <c r="G36" s="62">
        <v>430</v>
      </c>
      <c r="H36" s="64">
        <v>0.6</v>
      </c>
      <c r="I36" s="62" t="s">
        <v>24</v>
      </c>
      <c r="J36" s="62" t="s">
        <v>24</v>
      </c>
      <c r="K36" s="62" t="s">
        <v>86</v>
      </c>
      <c r="L36" s="66">
        <v>500</v>
      </c>
      <c r="M36" s="67"/>
      <c r="N36" s="66">
        <f t="shared" si="6"/>
        <v>500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7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/>
      <c r="AN36" s="75"/>
    </row>
    <row r="37" spans="1:40" s="76" customFormat="1" ht="100.05" customHeight="1" x14ac:dyDescent="0.3">
      <c r="A37" s="62">
        <v>250080</v>
      </c>
      <c r="B37" s="62">
        <v>304</v>
      </c>
      <c r="C37" s="64">
        <v>0.6</v>
      </c>
      <c r="D37" s="62">
        <v>345</v>
      </c>
      <c r="E37" s="91" t="s">
        <v>294</v>
      </c>
      <c r="F37" s="62" t="s">
        <v>24</v>
      </c>
      <c r="G37" s="62" t="s">
        <v>24</v>
      </c>
      <c r="H37" s="64" t="s">
        <v>24</v>
      </c>
      <c r="I37" s="62" t="s">
        <v>24</v>
      </c>
      <c r="J37" s="62" t="s">
        <v>24</v>
      </c>
      <c r="K37" s="62" t="s">
        <v>86</v>
      </c>
      <c r="L37" s="66">
        <v>500</v>
      </c>
      <c r="M37" s="67"/>
      <c r="N37" s="66">
        <f t="shared" si="6"/>
        <v>500</v>
      </c>
      <c r="P37" s="62"/>
      <c r="Q37" s="62"/>
      <c r="R37" s="64"/>
      <c r="S37" s="62"/>
      <c r="T37" s="65"/>
      <c r="U37" s="62"/>
      <c r="V37" s="62"/>
      <c r="W37" s="64"/>
      <c r="X37" s="62"/>
      <c r="Y37" s="62"/>
      <c r="Z37" s="62"/>
      <c r="AA37" s="66"/>
      <c r="AB37" s="67"/>
      <c r="AC37" s="66">
        <f t="shared" si="7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/>
      <c r="AN37" s="75"/>
    </row>
    <row r="38" spans="1:40" s="76" customFormat="1" ht="100.05" customHeight="1" x14ac:dyDescent="0.3">
      <c r="A38" s="62">
        <v>250078</v>
      </c>
      <c r="B38" s="62">
        <v>304</v>
      </c>
      <c r="C38" s="64">
        <v>0.7</v>
      </c>
      <c r="D38" s="62">
        <v>323</v>
      </c>
      <c r="E38" s="91" t="s">
        <v>295</v>
      </c>
      <c r="F38" s="62" t="s">
        <v>181</v>
      </c>
      <c r="G38" s="62">
        <v>304</v>
      </c>
      <c r="H38" s="64">
        <v>0.6</v>
      </c>
      <c r="I38" s="62" t="s">
        <v>24</v>
      </c>
      <c r="J38" s="62" t="s">
        <v>24</v>
      </c>
      <c r="K38" s="62" t="s">
        <v>79</v>
      </c>
      <c r="L38" s="66">
        <v>790</v>
      </c>
      <c r="M38" s="67"/>
      <c r="N38" s="66">
        <f t="shared" si="6"/>
        <v>790</v>
      </c>
      <c r="P38" s="62"/>
      <c r="Q38" s="62"/>
      <c r="R38" s="64"/>
      <c r="S38" s="62"/>
      <c r="T38" s="65"/>
      <c r="U38" s="62"/>
      <c r="V38" s="62"/>
      <c r="W38" s="64"/>
      <c r="X38" s="62"/>
      <c r="Y38" s="62"/>
      <c r="Z38" s="62"/>
      <c r="AA38" s="66"/>
      <c r="AB38" s="67"/>
      <c r="AC38" s="66">
        <f t="shared" ref="AC38" si="8">AA38-AB38</f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/>
      <c r="AN38" s="75"/>
    </row>
    <row r="39" spans="1:40" s="76" customFormat="1" ht="100.05" customHeight="1" x14ac:dyDescent="0.3">
      <c r="A39" s="62"/>
      <c r="B39" s="62"/>
      <c r="C39" s="64"/>
      <c r="D39" s="62"/>
      <c r="E39" s="65"/>
      <c r="F39" s="62"/>
      <c r="G39" s="62"/>
      <c r="H39" s="64"/>
      <c r="I39" s="62"/>
      <c r="J39" s="62"/>
      <c r="K39" s="62"/>
      <c r="L39" s="62"/>
      <c r="M39" s="67"/>
      <c r="N39" s="66">
        <f t="shared" si="5"/>
        <v>0</v>
      </c>
      <c r="P39" s="68"/>
      <c r="Q39" s="68"/>
      <c r="R39" s="69"/>
      <c r="S39" s="68"/>
      <c r="T39" s="70"/>
      <c r="U39" s="68"/>
      <c r="V39" s="68"/>
      <c r="W39" s="69"/>
      <c r="X39" s="68"/>
      <c r="Y39" s="68"/>
      <c r="Z39" s="68"/>
      <c r="AA39" s="66">
        <f>SUM(AA25:AA33)</f>
        <v>5900</v>
      </c>
      <c r="AB39" s="71">
        <f>SUM(AB25:AB33)</f>
        <v>0</v>
      </c>
      <c r="AC39" s="66">
        <f>SUM(AC25:AC32)</f>
        <v>5900</v>
      </c>
      <c r="AD39" s="75"/>
      <c r="AE39" s="62"/>
      <c r="AF39" s="62"/>
      <c r="AG39" s="64"/>
      <c r="AH39" s="67"/>
      <c r="AI39" s="65"/>
      <c r="AJ39" s="78"/>
      <c r="AK39" s="66"/>
      <c r="AL39" s="67"/>
      <c r="AM39" s="66">
        <f t="shared" si="0"/>
        <v>0</v>
      </c>
      <c r="AN39" s="75"/>
    </row>
    <row r="40" spans="1:40" s="76" customFormat="1" ht="100.05" customHeight="1" x14ac:dyDescent="0.3">
      <c r="A40" s="68"/>
      <c r="B40" s="68"/>
      <c r="C40" s="69"/>
      <c r="D40" s="68"/>
      <c r="E40" s="70"/>
      <c r="F40" s="68"/>
      <c r="G40" s="68"/>
      <c r="H40" s="69"/>
      <c r="I40" s="68"/>
      <c r="J40" s="68"/>
      <c r="K40" s="68"/>
      <c r="L40" s="66">
        <f>SUM(L25:L39)</f>
        <v>9760</v>
      </c>
      <c r="M40" s="71">
        <f>SUM(M25:M39)</f>
        <v>1850</v>
      </c>
      <c r="N40" s="66">
        <f>SUM(N25:N39)</f>
        <v>7910</v>
      </c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68"/>
      <c r="AF40" s="68"/>
      <c r="AG40" s="69"/>
      <c r="AH40" s="68"/>
      <c r="AI40" s="70"/>
      <c r="AJ40" s="80"/>
      <c r="AK40" s="66">
        <f>SUM(AK4:AK39)</f>
        <v>16296</v>
      </c>
      <c r="AL40" s="71">
        <f>SUM(AL4:AL39)</f>
        <v>3100</v>
      </c>
      <c r="AM40" s="66">
        <f>SUM(AM4:AM39)</f>
        <v>13196</v>
      </c>
      <c r="AN40" s="75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5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5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E54" s="79"/>
      <c r="AF54" s="79"/>
      <c r="AG54" s="79"/>
      <c r="AH54" s="79"/>
      <c r="AI54" s="79"/>
      <c r="AJ54" s="79"/>
      <c r="AK54" s="79"/>
      <c r="AL54" s="79"/>
      <c r="AM54" s="79"/>
    </row>
    <row r="55" spans="1:40" s="75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 spans="1:40" s="75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E56" s="79"/>
      <c r="AF56" s="79"/>
      <c r="AG56" s="79"/>
      <c r="AH56" s="79"/>
      <c r="AI56" s="79"/>
      <c r="AJ56" s="79"/>
      <c r="AK56" s="79"/>
      <c r="AL56" s="79"/>
      <c r="AM56" s="79"/>
    </row>
    <row r="57" spans="1:40" s="76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5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5"/>
      <c r="AE57" s="79"/>
      <c r="AF57" s="79"/>
      <c r="AG57" s="79"/>
      <c r="AH57" s="79"/>
      <c r="AI57" s="79"/>
      <c r="AJ57" s="79"/>
      <c r="AK57" s="79"/>
      <c r="AL57" s="79"/>
      <c r="AM57" s="79"/>
      <c r="AN57" s="75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  <row r="64" spans="1:40" s="56" customFormat="1" ht="100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2"/>
      <c r="AN64" s="3"/>
    </row>
    <row r="65" spans="1:40" s="56" customFormat="1" ht="100.0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2"/>
      <c r="AN65" s="3"/>
    </row>
    <row r="66" spans="1:40" s="56" customFormat="1" ht="100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2"/>
      <c r="AN66" s="3"/>
    </row>
  </sheetData>
  <mergeCells count="11">
    <mergeCell ref="A2:N2"/>
    <mergeCell ref="P2:AC2"/>
    <mergeCell ref="AE2:AM2"/>
    <mergeCell ref="A23:N23"/>
    <mergeCell ref="P23:AC23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3"/>
  <sheetViews>
    <sheetView zoomScale="25" zoomScaleNormal="25" workbookViewId="0">
      <selection activeCell="A23" sqref="A23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45951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45951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62">
        <v>250042</v>
      </c>
      <c r="B4" s="62">
        <v>304</v>
      </c>
      <c r="C4" s="64">
        <v>0.9</v>
      </c>
      <c r="D4" s="62">
        <v>560</v>
      </c>
      <c r="E4" s="86" t="s">
        <v>225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750</v>
      </c>
      <c r="M4" s="67"/>
      <c r="N4" s="66">
        <f>L4-M4</f>
        <v>750</v>
      </c>
      <c r="P4" s="62">
        <v>230925</v>
      </c>
      <c r="Q4" s="62">
        <v>430</v>
      </c>
      <c r="R4" s="64">
        <v>0.8</v>
      </c>
      <c r="S4" s="62">
        <v>425</v>
      </c>
      <c r="T4" s="65" t="s">
        <v>239</v>
      </c>
      <c r="U4" s="62" t="s">
        <v>24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/>
      <c r="AC4" s="66">
        <f>AA4-AB4</f>
        <v>6000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/>
      <c r="AM4" s="66">
        <f t="shared" ref="AM4:AM36" si="0">AK4-AL4</f>
        <v>540</v>
      </c>
    </row>
    <row r="5" spans="1:39" s="76" customFormat="1" ht="100.05" customHeight="1" x14ac:dyDescent="0.3">
      <c r="A5" s="62">
        <v>250057</v>
      </c>
      <c r="B5" s="62">
        <v>304</v>
      </c>
      <c r="C5" s="64">
        <v>0.7</v>
      </c>
      <c r="D5" s="62">
        <v>315</v>
      </c>
      <c r="E5" s="91" t="s">
        <v>236</v>
      </c>
      <c r="F5" s="62" t="s">
        <v>23</v>
      </c>
      <c r="G5" s="62">
        <v>304</v>
      </c>
      <c r="H5" s="64">
        <v>0.6</v>
      </c>
      <c r="I5" s="62" t="s">
        <v>24</v>
      </c>
      <c r="J5" s="62" t="s">
        <v>24</v>
      </c>
      <c r="K5" s="62" t="s">
        <v>259</v>
      </c>
      <c r="L5" s="66">
        <v>410</v>
      </c>
      <c r="M5" s="67">
        <v>206</v>
      </c>
      <c r="N5" s="66">
        <f>L5-M5</f>
        <v>204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230925</v>
      </c>
      <c r="AF5" s="62">
        <v>430</v>
      </c>
      <c r="AG5" s="64">
        <v>0.8</v>
      </c>
      <c r="AH5" s="67" t="s">
        <v>24</v>
      </c>
      <c r="AI5" s="65" t="s">
        <v>247</v>
      </c>
      <c r="AJ5" s="78" t="s">
        <v>241</v>
      </c>
      <c r="AK5" s="66">
        <v>6000</v>
      </c>
      <c r="AL5" s="67">
        <f>2500</f>
        <v>2500</v>
      </c>
      <c r="AM5" s="66">
        <f t="shared" si="0"/>
        <v>3500</v>
      </c>
    </row>
    <row r="6" spans="1:39" s="76" customFormat="1" ht="100.05" customHeight="1" x14ac:dyDescent="0.3">
      <c r="A6" s="62">
        <v>250061</v>
      </c>
      <c r="B6" s="62">
        <v>304</v>
      </c>
      <c r="C6" s="64">
        <v>0.7</v>
      </c>
      <c r="D6" s="62">
        <v>315</v>
      </c>
      <c r="E6" s="91" t="s">
        <v>236</v>
      </c>
      <c r="F6" s="62" t="s">
        <v>23</v>
      </c>
      <c r="G6" s="62">
        <v>304</v>
      </c>
      <c r="H6" s="64">
        <v>0.6</v>
      </c>
      <c r="I6" s="62" t="s">
        <v>24</v>
      </c>
      <c r="J6" s="62" t="s">
        <v>24</v>
      </c>
      <c r="K6" s="62" t="s">
        <v>259</v>
      </c>
      <c r="L6" s="66">
        <v>540</v>
      </c>
      <c r="M6" s="67"/>
      <c r="N6" s="66">
        <f>L6-M6</f>
        <v>540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8" si="1">AA6-AB6</f>
        <v>0</v>
      </c>
      <c r="AE6" s="62">
        <v>250080</v>
      </c>
      <c r="AF6" s="62">
        <v>304</v>
      </c>
      <c r="AG6" s="64">
        <v>0.6</v>
      </c>
      <c r="AH6" s="67" t="s">
        <v>24</v>
      </c>
      <c r="AI6" s="65" t="s">
        <v>272</v>
      </c>
      <c r="AJ6" s="78" t="s">
        <v>241</v>
      </c>
      <c r="AK6" s="66">
        <v>1000</v>
      </c>
      <c r="AL6" s="67"/>
      <c r="AM6" s="66">
        <f t="shared" si="0"/>
        <v>1000</v>
      </c>
    </row>
    <row r="7" spans="1:39" s="76" customFormat="1" ht="100.05" customHeight="1" x14ac:dyDescent="0.3">
      <c r="A7" s="62">
        <v>250079</v>
      </c>
      <c r="B7" s="62">
        <v>304</v>
      </c>
      <c r="C7" s="64">
        <v>0.7</v>
      </c>
      <c r="D7" s="62">
        <v>315</v>
      </c>
      <c r="E7" s="91" t="s">
        <v>258</v>
      </c>
      <c r="F7" s="62" t="s">
        <v>42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259</v>
      </c>
      <c r="L7" s="66">
        <v>964</v>
      </c>
      <c r="M7" s="67">
        <v>964</v>
      </c>
      <c r="N7" s="66">
        <f>L7-M7</f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250080</v>
      </c>
      <c r="AF7" s="62">
        <v>304</v>
      </c>
      <c r="AG7" s="64">
        <v>0.6</v>
      </c>
      <c r="AH7" s="67" t="s">
        <v>24</v>
      </c>
      <c r="AI7" s="65" t="s">
        <v>273</v>
      </c>
      <c r="AJ7" s="78" t="s">
        <v>241</v>
      </c>
      <c r="AK7" s="66">
        <v>1200</v>
      </c>
      <c r="AL7" s="67"/>
      <c r="AM7" s="66">
        <f t="shared" si="0"/>
        <v>1200</v>
      </c>
    </row>
    <row r="8" spans="1:39" s="76" customFormat="1" ht="100.05" customHeight="1" x14ac:dyDescent="0.3">
      <c r="A8" s="62">
        <v>250079</v>
      </c>
      <c r="B8" s="62">
        <v>304</v>
      </c>
      <c r="C8" s="64">
        <v>1</v>
      </c>
      <c r="D8" s="62">
        <v>315</v>
      </c>
      <c r="E8" s="91" t="s">
        <v>260</v>
      </c>
      <c r="F8" s="62" t="s">
        <v>42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259</v>
      </c>
      <c r="L8" s="66">
        <v>48</v>
      </c>
      <c r="M8" s="67"/>
      <c r="N8" s="66">
        <f>L8-M8</f>
        <v>48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250079</v>
      </c>
      <c r="AF8" s="62">
        <v>304</v>
      </c>
      <c r="AG8" s="64">
        <v>0.6</v>
      </c>
      <c r="AH8" s="67" t="s">
        <v>24</v>
      </c>
      <c r="AI8" s="65" t="s">
        <v>274</v>
      </c>
      <c r="AJ8" s="78" t="s">
        <v>241</v>
      </c>
      <c r="AK8" s="66">
        <v>964</v>
      </c>
      <c r="AL8" s="67"/>
      <c r="AM8" s="66">
        <f t="shared" si="0"/>
        <v>964</v>
      </c>
    </row>
    <row r="9" spans="1:39" s="76" customFormat="1" ht="100.05" customHeight="1" x14ac:dyDescent="0.3">
      <c r="A9" s="62">
        <v>250057</v>
      </c>
      <c r="B9" s="62">
        <v>304</v>
      </c>
      <c r="C9" s="64">
        <v>0.7</v>
      </c>
      <c r="D9" s="62">
        <v>543</v>
      </c>
      <c r="E9" s="91" t="s">
        <v>237</v>
      </c>
      <c r="F9" s="62" t="s">
        <v>121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212</v>
      </c>
      <c r="L9" s="66">
        <v>410</v>
      </c>
      <c r="M9" s="67"/>
      <c r="N9" s="66">
        <f t="shared" ref="N9:N18" si="2">L9-M9</f>
        <v>410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250079</v>
      </c>
      <c r="AF9" s="62">
        <v>304</v>
      </c>
      <c r="AG9" s="64">
        <v>0.6</v>
      </c>
      <c r="AH9" s="67" t="s">
        <v>24</v>
      </c>
      <c r="AI9" s="65" t="s">
        <v>275</v>
      </c>
      <c r="AJ9" s="78" t="s">
        <v>241</v>
      </c>
      <c r="AK9" s="66">
        <v>1314</v>
      </c>
      <c r="AL9" s="67"/>
      <c r="AM9" s="66">
        <f t="shared" si="0"/>
        <v>1314</v>
      </c>
    </row>
    <row r="10" spans="1:39" s="76" customFormat="1" ht="100.05" customHeight="1" x14ac:dyDescent="0.3">
      <c r="A10" s="62" t="s">
        <v>267</v>
      </c>
      <c r="B10" s="62">
        <v>430</v>
      </c>
      <c r="C10" s="64">
        <v>0.5</v>
      </c>
      <c r="D10" s="62">
        <v>475</v>
      </c>
      <c r="E10" s="91" t="s">
        <v>268</v>
      </c>
      <c r="F10" s="62" t="s">
        <v>24</v>
      </c>
      <c r="G10" s="62" t="s">
        <v>24</v>
      </c>
      <c r="H10" s="64" t="s">
        <v>24</v>
      </c>
      <c r="I10" s="62" t="s">
        <v>24</v>
      </c>
      <c r="J10" s="62" t="s">
        <v>24</v>
      </c>
      <c r="K10" s="62" t="s">
        <v>79</v>
      </c>
      <c r="L10" s="66">
        <v>1200</v>
      </c>
      <c r="M10" s="67"/>
      <c r="N10" s="66">
        <f t="shared" si="2"/>
        <v>1200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250079</v>
      </c>
      <c r="AF10" s="62">
        <v>304</v>
      </c>
      <c r="AG10" s="64">
        <v>0.6</v>
      </c>
      <c r="AH10" s="67" t="s">
        <v>24</v>
      </c>
      <c r="AI10" s="65" t="s">
        <v>276</v>
      </c>
      <c r="AJ10" s="78" t="s">
        <v>241</v>
      </c>
      <c r="AK10" s="66">
        <v>1314</v>
      </c>
      <c r="AL10" s="67"/>
      <c r="AM10" s="66">
        <f t="shared" si="0"/>
        <v>1314</v>
      </c>
    </row>
    <row r="11" spans="1:39" s="76" customFormat="1" ht="100.05" customHeight="1" x14ac:dyDescent="0.3">
      <c r="A11" s="62" t="s">
        <v>267</v>
      </c>
      <c r="B11" s="62">
        <v>430</v>
      </c>
      <c r="C11" s="64">
        <v>0.5</v>
      </c>
      <c r="D11" s="62">
        <v>290</v>
      </c>
      <c r="E11" s="91" t="s">
        <v>269</v>
      </c>
      <c r="F11" s="62" t="s">
        <v>24</v>
      </c>
      <c r="G11" s="62" t="s">
        <v>24</v>
      </c>
      <c r="H11" s="64" t="s">
        <v>24</v>
      </c>
      <c r="I11" s="62" t="s">
        <v>24</v>
      </c>
      <c r="J11" s="62" t="s">
        <v>24</v>
      </c>
      <c r="K11" s="62" t="s">
        <v>86</v>
      </c>
      <c r="L11" s="66">
        <v>1300</v>
      </c>
      <c r="M11" s="67"/>
      <c r="N11" s="66">
        <f t="shared" si="2"/>
        <v>1300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250079</v>
      </c>
      <c r="AF11" s="62">
        <v>304</v>
      </c>
      <c r="AG11" s="64">
        <v>0.6</v>
      </c>
      <c r="AH11" s="67" t="s">
        <v>24</v>
      </c>
      <c r="AI11" s="65" t="s">
        <v>277</v>
      </c>
      <c r="AJ11" s="78" t="s">
        <v>241</v>
      </c>
      <c r="AK11" s="66">
        <v>964</v>
      </c>
      <c r="AL11" s="67"/>
      <c r="AM11" s="66">
        <f t="shared" si="0"/>
        <v>964</v>
      </c>
    </row>
    <row r="12" spans="1:39" s="76" customFormat="1" ht="100.05" customHeight="1" x14ac:dyDescent="0.3">
      <c r="A12" s="62" t="s">
        <v>267</v>
      </c>
      <c r="B12" s="62">
        <v>430</v>
      </c>
      <c r="C12" s="64">
        <v>0.5</v>
      </c>
      <c r="D12" s="62">
        <v>350</v>
      </c>
      <c r="E12" s="91" t="s">
        <v>278</v>
      </c>
      <c r="F12" s="62" t="s">
        <v>24</v>
      </c>
      <c r="G12" s="62" t="s">
        <v>24</v>
      </c>
      <c r="H12" s="64" t="s">
        <v>24</v>
      </c>
      <c r="I12" s="62" t="s">
        <v>24</v>
      </c>
      <c r="J12" s="62" t="s">
        <v>24</v>
      </c>
      <c r="K12" s="62" t="s">
        <v>79</v>
      </c>
      <c r="L12" s="66">
        <v>1200</v>
      </c>
      <c r="M12" s="67"/>
      <c r="N12" s="66">
        <f t="shared" si="2"/>
        <v>1200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39" s="76" customFormat="1" ht="100.05" customHeight="1" x14ac:dyDescent="0.3">
      <c r="A13" s="62" t="s">
        <v>267</v>
      </c>
      <c r="B13" s="62">
        <v>430</v>
      </c>
      <c r="C13" s="64">
        <v>0.5</v>
      </c>
      <c r="D13" s="62">
        <v>315</v>
      </c>
      <c r="E13" s="91" t="s">
        <v>279</v>
      </c>
      <c r="F13" s="62" t="s">
        <v>24</v>
      </c>
      <c r="G13" s="62" t="s">
        <v>24</v>
      </c>
      <c r="H13" s="64" t="s">
        <v>24</v>
      </c>
      <c r="I13" s="62" t="s">
        <v>24</v>
      </c>
      <c r="J13" s="62" t="s">
        <v>24</v>
      </c>
      <c r="K13" s="62" t="s">
        <v>86</v>
      </c>
      <c r="L13" s="66">
        <v>1200</v>
      </c>
      <c r="M13" s="67"/>
      <c r="N13" s="66">
        <f t="shared" si="2"/>
        <v>1200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39" s="76" customFormat="1" ht="100.05" customHeight="1" x14ac:dyDescent="0.3">
      <c r="A14" s="62">
        <v>250078</v>
      </c>
      <c r="B14" s="62">
        <v>304</v>
      </c>
      <c r="C14" s="64">
        <v>0.7</v>
      </c>
      <c r="D14" s="62">
        <v>582</v>
      </c>
      <c r="E14" s="91" t="s">
        <v>280</v>
      </c>
      <c r="F14" s="62" t="s">
        <v>181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79</v>
      </c>
      <c r="L14" s="66">
        <v>790</v>
      </c>
      <c r="M14" s="67"/>
      <c r="N14" s="66">
        <f t="shared" si="2"/>
        <v>790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00.05" customHeight="1" x14ac:dyDescent="0.3">
      <c r="A15" s="62">
        <v>250080</v>
      </c>
      <c r="B15" s="62">
        <v>304</v>
      </c>
      <c r="C15" s="64">
        <v>0.6</v>
      </c>
      <c r="D15" s="62">
        <v>505</v>
      </c>
      <c r="E15" s="91" t="s">
        <v>285</v>
      </c>
      <c r="F15" s="62" t="s">
        <v>181</v>
      </c>
      <c r="G15" s="62">
        <v>430</v>
      </c>
      <c r="H15" s="64">
        <v>0.6</v>
      </c>
      <c r="I15" s="62" t="s">
        <v>24</v>
      </c>
      <c r="J15" s="62" t="s">
        <v>24</v>
      </c>
      <c r="K15" s="62" t="s">
        <v>79</v>
      </c>
      <c r="L15" s="66">
        <v>300</v>
      </c>
      <c r="M15" s="67"/>
      <c r="N15" s="66">
        <f t="shared" si="2"/>
        <v>300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62">
        <v>250080</v>
      </c>
      <c r="B16" s="62">
        <v>304</v>
      </c>
      <c r="C16" s="64">
        <v>0.6</v>
      </c>
      <c r="D16" s="62">
        <v>520</v>
      </c>
      <c r="E16" s="91" t="s">
        <v>282</v>
      </c>
      <c r="F16" s="62" t="s">
        <v>222</v>
      </c>
      <c r="G16" s="62">
        <v>430</v>
      </c>
      <c r="H16" s="64">
        <v>0.6</v>
      </c>
      <c r="I16" s="62" t="s">
        <v>24</v>
      </c>
      <c r="J16" s="62" t="s">
        <v>24</v>
      </c>
      <c r="K16" s="62" t="s">
        <v>86</v>
      </c>
      <c r="L16" s="66">
        <v>500</v>
      </c>
      <c r="M16" s="67"/>
      <c r="N16" s="66">
        <f t="shared" si="2"/>
        <v>500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62">
        <v>250080</v>
      </c>
      <c r="B17" s="62">
        <v>304</v>
      </c>
      <c r="C17" s="64">
        <v>0.6</v>
      </c>
      <c r="D17" s="62">
        <v>457</v>
      </c>
      <c r="E17" s="91" t="s">
        <v>283</v>
      </c>
      <c r="F17" s="62" t="s">
        <v>24</v>
      </c>
      <c r="G17" s="62" t="s">
        <v>24</v>
      </c>
      <c r="H17" s="64" t="s">
        <v>24</v>
      </c>
      <c r="I17" s="62" t="s">
        <v>24</v>
      </c>
      <c r="J17" s="62" t="s">
        <v>24</v>
      </c>
      <c r="K17" s="62" t="s">
        <v>284</v>
      </c>
      <c r="L17" s="66">
        <v>500</v>
      </c>
      <c r="M17" s="67"/>
      <c r="N17" s="66">
        <f t="shared" si="2"/>
        <v>500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/>
      <c r="AE17" s="62"/>
      <c r="AF17" s="62"/>
      <c r="AG17" s="64"/>
      <c r="AH17" s="67"/>
      <c r="AI17" s="65"/>
      <c r="AJ17" s="78"/>
      <c r="AK17" s="66"/>
      <c r="AL17" s="67"/>
      <c r="AM17" s="66"/>
    </row>
    <row r="18" spans="1:40" s="76" customFormat="1" ht="100.05" customHeight="1" x14ac:dyDescent="0.3">
      <c r="A18" s="62"/>
      <c r="B18" s="62"/>
      <c r="C18" s="64"/>
      <c r="D18" s="62"/>
      <c r="E18" s="65"/>
      <c r="F18" s="62"/>
      <c r="G18" s="62"/>
      <c r="H18" s="64"/>
      <c r="I18" s="62"/>
      <c r="J18" s="62"/>
      <c r="K18" s="62"/>
      <c r="L18" s="62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2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8"/>
      <c r="B19" s="68"/>
      <c r="C19" s="69"/>
      <c r="D19" s="68"/>
      <c r="E19" s="70"/>
      <c r="F19" s="68"/>
      <c r="G19" s="68"/>
      <c r="H19" s="69"/>
      <c r="I19" s="68"/>
      <c r="J19" s="68"/>
      <c r="K19" s="68"/>
      <c r="L19" s="66">
        <f>SUM(L4:L18)</f>
        <v>10112</v>
      </c>
      <c r="M19" s="71">
        <f>SUM(M4:M18)</f>
        <v>1170</v>
      </c>
      <c r="N19" s="66">
        <f>SUM(N4:N18)</f>
        <v>8942</v>
      </c>
      <c r="P19" s="68"/>
      <c r="Q19" s="68"/>
      <c r="R19" s="69"/>
      <c r="S19" s="68"/>
      <c r="T19" s="70"/>
      <c r="U19" s="68"/>
      <c r="V19" s="68"/>
      <c r="W19" s="69"/>
      <c r="X19" s="68"/>
      <c r="Y19" s="68"/>
      <c r="Z19" s="68"/>
      <c r="AA19" s="66">
        <f>AA4+AA6+AA7+AA8+AA18</f>
        <v>6000</v>
      </c>
      <c r="AB19" s="71">
        <f>SUM(AB4:AB18)</f>
        <v>0</v>
      </c>
      <c r="AC19" s="66">
        <f>SUM(AC4:AC18)</f>
        <v>6000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6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6"/>
    </row>
    <row r="21" spans="1:40" s="75" customFormat="1" ht="100.05" customHeight="1" x14ac:dyDescent="0.3">
      <c r="A21" s="109" t="s">
        <v>101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1"/>
      <c r="P21" s="109" t="s">
        <v>99</v>
      </c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1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45.80000000000001" x14ac:dyDescent="0.3">
      <c r="A22" s="81" t="s">
        <v>0</v>
      </c>
      <c r="B22" s="81" t="s">
        <v>9</v>
      </c>
      <c r="C22" s="82" t="s">
        <v>11</v>
      </c>
      <c r="D22" s="81" t="s">
        <v>2</v>
      </c>
      <c r="E22" s="81" t="s">
        <v>1</v>
      </c>
      <c r="F22" s="81" t="s">
        <v>14</v>
      </c>
      <c r="G22" s="81" t="s">
        <v>8</v>
      </c>
      <c r="H22" s="82" t="s">
        <v>10</v>
      </c>
      <c r="I22" s="82" t="s">
        <v>12</v>
      </c>
      <c r="J22" s="82" t="s">
        <v>13</v>
      </c>
      <c r="K22" s="81" t="s">
        <v>3</v>
      </c>
      <c r="L22" s="81" t="s">
        <v>7</v>
      </c>
      <c r="M22" s="81" t="s">
        <v>5</v>
      </c>
      <c r="N22" s="81" t="s">
        <v>6</v>
      </c>
      <c r="P22" s="81" t="s">
        <v>0</v>
      </c>
      <c r="Q22" s="81" t="s">
        <v>9</v>
      </c>
      <c r="R22" s="82" t="s">
        <v>11</v>
      </c>
      <c r="S22" s="81" t="s">
        <v>2</v>
      </c>
      <c r="T22" s="81" t="s">
        <v>1</v>
      </c>
      <c r="U22" s="81" t="s">
        <v>14</v>
      </c>
      <c r="V22" s="81" t="s">
        <v>8</v>
      </c>
      <c r="W22" s="82" t="s">
        <v>10</v>
      </c>
      <c r="X22" s="82" t="s">
        <v>12</v>
      </c>
      <c r="Y22" s="82" t="s">
        <v>13</v>
      </c>
      <c r="Z22" s="81" t="s">
        <v>3</v>
      </c>
      <c r="AA22" s="81" t="s">
        <v>7</v>
      </c>
      <c r="AB22" s="81" t="s">
        <v>5</v>
      </c>
      <c r="AC22" s="81" t="s">
        <v>6</v>
      </c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6" customFormat="1" ht="100.05" customHeight="1" x14ac:dyDescent="0.3">
      <c r="A23" s="62">
        <v>20125</v>
      </c>
      <c r="B23" s="62">
        <v>304</v>
      </c>
      <c r="C23" s="64">
        <v>0.6</v>
      </c>
      <c r="D23" s="62">
        <v>234</v>
      </c>
      <c r="E23" s="91" t="s">
        <v>249</v>
      </c>
      <c r="F23" s="62" t="s">
        <v>121</v>
      </c>
      <c r="G23" s="62">
        <v>430</v>
      </c>
      <c r="H23" s="64">
        <v>0.6</v>
      </c>
      <c r="I23" s="62" t="s">
        <v>24</v>
      </c>
      <c r="J23" s="62" t="s">
        <v>24</v>
      </c>
      <c r="K23" s="62" t="s">
        <v>86</v>
      </c>
      <c r="L23" s="66">
        <v>1000</v>
      </c>
      <c r="M23" s="67"/>
      <c r="N23" s="66">
        <f t="shared" ref="N23" si="3">L23-M23</f>
        <v>1000</v>
      </c>
      <c r="P23" s="62">
        <v>250079</v>
      </c>
      <c r="Q23" s="62">
        <v>304</v>
      </c>
      <c r="R23" s="64">
        <v>0.7</v>
      </c>
      <c r="S23" s="62">
        <v>324</v>
      </c>
      <c r="T23" s="65" t="s">
        <v>261</v>
      </c>
      <c r="U23" s="62" t="s">
        <v>23</v>
      </c>
      <c r="V23" s="62">
        <v>304</v>
      </c>
      <c r="W23" s="64">
        <v>0.6</v>
      </c>
      <c r="X23" s="62" t="s">
        <v>24</v>
      </c>
      <c r="Y23" s="62" t="s">
        <v>24</v>
      </c>
      <c r="Z23" s="62" t="s">
        <v>74</v>
      </c>
      <c r="AA23" s="66">
        <v>964</v>
      </c>
      <c r="AB23" s="67"/>
      <c r="AC23" s="66">
        <f t="shared" ref="AC23:AC35" si="4">AA23-AB23</f>
        <v>964</v>
      </c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</row>
    <row r="24" spans="1:40" s="76" customFormat="1" ht="100.05" customHeight="1" x14ac:dyDescent="0.3">
      <c r="A24" s="62">
        <v>20125</v>
      </c>
      <c r="B24" s="62">
        <v>304</v>
      </c>
      <c r="C24" s="64">
        <v>0.6</v>
      </c>
      <c r="D24" s="62">
        <v>234</v>
      </c>
      <c r="E24" s="91" t="s">
        <v>250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1000</v>
      </c>
      <c r="M24" s="67">
        <f>850+200</f>
        <v>1050</v>
      </c>
      <c r="N24" s="66">
        <f>L24-M24</f>
        <v>-50</v>
      </c>
      <c r="P24" s="62">
        <v>250079</v>
      </c>
      <c r="Q24" s="62">
        <v>304</v>
      </c>
      <c r="R24" s="64">
        <v>0.7</v>
      </c>
      <c r="S24" s="62">
        <v>324</v>
      </c>
      <c r="T24" s="93" t="s">
        <v>262</v>
      </c>
      <c r="U24" s="62" t="s">
        <v>23</v>
      </c>
      <c r="V24" s="62">
        <v>304</v>
      </c>
      <c r="W24" s="64">
        <v>0.6</v>
      </c>
      <c r="X24" s="62" t="s">
        <v>24</v>
      </c>
      <c r="Y24" s="62" t="s">
        <v>24</v>
      </c>
      <c r="Z24" s="62" t="s">
        <v>74</v>
      </c>
      <c r="AA24" s="66">
        <v>36</v>
      </c>
      <c r="AB24" s="67"/>
      <c r="AC24" s="66">
        <f t="shared" si="4"/>
        <v>36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62">
        <v>21025</v>
      </c>
      <c r="B25" s="62">
        <v>304</v>
      </c>
      <c r="C25" s="64">
        <v>0.6</v>
      </c>
      <c r="D25" s="62">
        <v>321</v>
      </c>
      <c r="E25" s="91" t="s">
        <v>253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1000</v>
      </c>
      <c r="M25" s="67">
        <v>1000</v>
      </c>
      <c r="N25" s="90">
        <f t="shared" ref="N25:N36" si="5">L25-M25</f>
        <v>0</v>
      </c>
      <c r="P25" s="62">
        <v>250079</v>
      </c>
      <c r="Q25" s="62">
        <v>304</v>
      </c>
      <c r="R25" s="64">
        <v>0.7</v>
      </c>
      <c r="S25" s="62">
        <v>307</v>
      </c>
      <c r="T25" s="93" t="s">
        <v>264</v>
      </c>
      <c r="U25" s="62" t="s">
        <v>23</v>
      </c>
      <c r="V25" s="62">
        <v>304</v>
      </c>
      <c r="W25" s="64">
        <v>0.6</v>
      </c>
      <c r="X25" s="62" t="s">
        <v>24</v>
      </c>
      <c r="Y25" s="62" t="s">
        <v>24</v>
      </c>
      <c r="Z25" s="62" t="s">
        <v>74</v>
      </c>
      <c r="AA25" s="66">
        <v>1314</v>
      </c>
      <c r="AB25" s="67"/>
      <c r="AC25" s="66">
        <f t="shared" si="4"/>
        <v>1314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62">
        <v>250078</v>
      </c>
      <c r="B26" s="62">
        <v>304</v>
      </c>
      <c r="C26" s="64">
        <v>0.7</v>
      </c>
      <c r="D26" s="62">
        <v>435</v>
      </c>
      <c r="E26" s="91" t="s">
        <v>286</v>
      </c>
      <c r="F26" s="62" t="s">
        <v>181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79</v>
      </c>
      <c r="L26" s="66">
        <v>790</v>
      </c>
      <c r="M26" s="67"/>
      <c r="N26" s="66">
        <f t="shared" si="5"/>
        <v>790</v>
      </c>
      <c r="P26" s="62">
        <v>250079</v>
      </c>
      <c r="Q26" s="62">
        <v>304</v>
      </c>
      <c r="R26" s="64">
        <v>0.7</v>
      </c>
      <c r="S26" s="62">
        <v>307</v>
      </c>
      <c r="T26" s="93" t="s">
        <v>263</v>
      </c>
      <c r="U26" s="62" t="s">
        <v>23</v>
      </c>
      <c r="V26" s="62">
        <v>304</v>
      </c>
      <c r="W26" s="64">
        <v>0.6</v>
      </c>
      <c r="X26" s="62" t="s">
        <v>24</v>
      </c>
      <c r="Y26" s="62" t="s">
        <v>24</v>
      </c>
      <c r="Z26" s="62" t="s">
        <v>74</v>
      </c>
      <c r="AA26" s="66">
        <v>36</v>
      </c>
      <c r="AB26" s="67"/>
      <c r="AC26" s="66">
        <f t="shared" si="4"/>
        <v>36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62">
        <v>250080</v>
      </c>
      <c r="B27" s="62">
        <v>304</v>
      </c>
      <c r="C27" s="64">
        <v>0.6</v>
      </c>
      <c r="D27" s="62">
        <v>435</v>
      </c>
      <c r="E27" s="86" t="s">
        <v>287</v>
      </c>
      <c r="F27" s="62" t="s">
        <v>181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79</v>
      </c>
      <c r="L27" s="66">
        <v>300</v>
      </c>
      <c r="M27" s="67"/>
      <c r="N27" s="66">
        <f t="shared" si="5"/>
        <v>300</v>
      </c>
      <c r="P27" s="62">
        <v>250080</v>
      </c>
      <c r="Q27" s="62">
        <v>304</v>
      </c>
      <c r="R27" s="64">
        <v>0.7</v>
      </c>
      <c r="S27" s="62">
        <v>307</v>
      </c>
      <c r="T27" s="93" t="s">
        <v>270</v>
      </c>
      <c r="U27" s="62" t="s">
        <v>23</v>
      </c>
      <c r="V27" s="62">
        <v>430</v>
      </c>
      <c r="W27" s="64">
        <v>0.6</v>
      </c>
      <c r="X27" s="62" t="s">
        <v>24</v>
      </c>
      <c r="Y27" s="62" t="s">
        <v>24</v>
      </c>
      <c r="Z27" s="62" t="s">
        <v>74</v>
      </c>
      <c r="AA27" s="66">
        <v>1000</v>
      </c>
      <c r="AB27" s="67"/>
      <c r="AC27" s="66">
        <f t="shared" si="4"/>
        <v>1000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62">
        <v>250080</v>
      </c>
      <c r="B28" s="62">
        <v>304</v>
      </c>
      <c r="C28" s="64">
        <v>0.6</v>
      </c>
      <c r="D28" s="62">
        <v>455</v>
      </c>
      <c r="E28" s="86" t="s">
        <v>288</v>
      </c>
      <c r="F28" s="62" t="s">
        <v>222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500</v>
      </c>
      <c r="M28" s="67">
        <f>150</f>
        <v>150</v>
      </c>
      <c r="N28" s="66">
        <f t="shared" si="5"/>
        <v>350</v>
      </c>
      <c r="P28" s="62">
        <v>250079</v>
      </c>
      <c r="Q28" s="62">
        <v>304</v>
      </c>
      <c r="R28" s="64">
        <v>0.7</v>
      </c>
      <c r="S28" s="62">
        <v>265</v>
      </c>
      <c r="T28" s="93" t="s">
        <v>265</v>
      </c>
      <c r="U28" s="62" t="s">
        <v>23</v>
      </c>
      <c r="V28" s="62">
        <v>304</v>
      </c>
      <c r="W28" s="64">
        <v>0.6</v>
      </c>
      <c r="X28" s="62" t="s">
        <v>24</v>
      </c>
      <c r="Y28" s="62" t="s">
        <v>24</v>
      </c>
      <c r="Z28" s="62" t="s">
        <v>74</v>
      </c>
      <c r="AA28" s="66">
        <v>1314</v>
      </c>
      <c r="AB28" s="67"/>
      <c r="AC28" s="66">
        <f t="shared" si="4"/>
        <v>1314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62">
        <v>250080</v>
      </c>
      <c r="B29" s="62">
        <v>304</v>
      </c>
      <c r="C29" s="64">
        <v>0.6</v>
      </c>
      <c r="D29" s="62">
        <v>405</v>
      </c>
      <c r="E29" s="86" t="s">
        <v>289</v>
      </c>
      <c r="F29" s="62" t="s">
        <v>24</v>
      </c>
      <c r="G29" s="62" t="s">
        <v>24</v>
      </c>
      <c r="H29" s="64" t="s">
        <v>24</v>
      </c>
      <c r="I29" s="62" t="s">
        <v>24</v>
      </c>
      <c r="J29" s="62" t="s">
        <v>24</v>
      </c>
      <c r="K29" s="62" t="s">
        <v>86</v>
      </c>
      <c r="L29" s="66">
        <v>500</v>
      </c>
      <c r="M29" s="67"/>
      <c r="N29" s="66">
        <f t="shared" si="5"/>
        <v>500</v>
      </c>
      <c r="P29" s="62">
        <v>250079</v>
      </c>
      <c r="Q29" s="62">
        <v>304</v>
      </c>
      <c r="R29" s="64">
        <v>0.7</v>
      </c>
      <c r="S29" s="62">
        <v>265</v>
      </c>
      <c r="T29" s="93" t="s">
        <v>266</v>
      </c>
      <c r="U29" s="62" t="s">
        <v>23</v>
      </c>
      <c r="V29" s="62">
        <v>304</v>
      </c>
      <c r="W29" s="64">
        <v>0.6</v>
      </c>
      <c r="X29" s="62" t="s">
        <v>24</v>
      </c>
      <c r="Y29" s="62" t="s">
        <v>24</v>
      </c>
      <c r="Z29" s="62" t="s">
        <v>74</v>
      </c>
      <c r="AA29" s="66">
        <v>36</v>
      </c>
      <c r="AB29" s="67"/>
      <c r="AC29" s="66">
        <f t="shared" si="4"/>
        <v>36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62">
        <v>250078</v>
      </c>
      <c r="B30" s="62">
        <v>304</v>
      </c>
      <c r="C30" s="64">
        <v>0.7</v>
      </c>
      <c r="D30" s="62">
        <v>385</v>
      </c>
      <c r="E30" s="91" t="s">
        <v>290</v>
      </c>
      <c r="F30" s="62" t="s">
        <v>181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790</v>
      </c>
      <c r="M30" s="67"/>
      <c r="N30" s="66">
        <f t="shared" si="5"/>
        <v>790</v>
      </c>
      <c r="P30" s="62">
        <v>250080</v>
      </c>
      <c r="Q30" s="62">
        <v>304</v>
      </c>
      <c r="R30" s="64">
        <v>0.7</v>
      </c>
      <c r="S30" s="62">
        <v>265</v>
      </c>
      <c r="T30" s="93" t="s">
        <v>271</v>
      </c>
      <c r="U30" s="62" t="s">
        <v>23</v>
      </c>
      <c r="V30" s="62">
        <v>430</v>
      </c>
      <c r="W30" s="64">
        <v>0.6</v>
      </c>
      <c r="X30" s="62" t="s">
        <v>24</v>
      </c>
      <c r="Y30" s="62" t="s">
        <v>24</v>
      </c>
      <c r="Z30" s="62" t="s">
        <v>74</v>
      </c>
      <c r="AA30" s="66">
        <v>1200</v>
      </c>
      <c r="AB30" s="67"/>
      <c r="AC30" s="66">
        <f t="shared" si="4"/>
        <v>1200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62">
        <v>250078</v>
      </c>
      <c r="B31" s="62">
        <v>304</v>
      </c>
      <c r="C31" s="64">
        <v>0.7</v>
      </c>
      <c r="D31" s="62">
        <v>355</v>
      </c>
      <c r="E31" s="91" t="s">
        <v>291</v>
      </c>
      <c r="F31" s="62" t="s">
        <v>181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79</v>
      </c>
      <c r="L31" s="66">
        <v>790</v>
      </c>
      <c r="M31" s="67"/>
      <c r="N31" s="66">
        <f>L31-M31</f>
        <v>790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62">
        <v>250080</v>
      </c>
      <c r="B32" s="62">
        <v>304</v>
      </c>
      <c r="C32" s="64">
        <v>0.6</v>
      </c>
      <c r="D32" s="62">
        <v>355</v>
      </c>
      <c r="E32" s="91" t="s">
        <v>292</v>
      </c>
      <c r="F32" s="62" t="s">
        <v>181</v>
      </c>
      <c r="G32" s="62">
        <v>430</v>
      </c>
      <c r="H32" s="64">
        <v>0.6</v>
      </c>
      <c r="I32" s="62" t="s">
        <v>24</v>
      </c>
      <c r="J32" s="62" t="s">
        <v>24</v>
      </c>
      <c r="K32" s="62" t="s">
        <v>79</v>
      </c>
      <c r="L32" s="66">
        <v>300</v>
      </c>
      <c r="M32" s="67"/>
      <c r="N32" s="66">
        <f t="shared" ref="N32:N35" si="6">L32-M32</f>
        <v>300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/>
      <c r="AN32" s="75"/>
    </row>
    <row r="33" spans="1:40" s="76" customFormat="1" ht="100.05" customHeight="1" x14ac:dyDescent="0.3">
      <c r="A33" s="62">
        <v>250080</v>
      </c>
      <c r="B33" s="62">
        <v>304</v>
      </c>
      <c r="C33" s="64">
        <v>0.6</v>
      </c>
      <c r="D33" s="62">
        <v>370</v>
      </c>
      <c r="E33" s="91" t="s">
        <v>293</v>
      </c>
      <c r="F33" s="62" t="s">
        <v>222</v>
      </c>
      <c r="G33" s="62">
        <v>430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500</v>
      </c>
      <c r="M33" s="67"/>
      <c r="N33" s="66">
        <f t="shared" si="6"/>
        <v>500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/>
      <c r="AN33" s="75"/>
    </row>
    <row r="34" spans="1:40" s="76" customFormat="1" ht="100.05" customHeight="1" x14ac:dyDescent="0.3">
      <c r="A34" s="62">
        <v>250080</v>
      </c>
      <c r="B34" s="62">
        <v>304</v>
      </c>
      <c r="C34" s="64">
        <v>0.6</v>
      </c>
      <c r="D34" s="62">
        <v>345</v>
      </c>
      <c r="E34" s="91" t="s">
        <v>294</v>
      </c>
      <c r="F34" s="62" t="s">
        <v>24</v>
      </c>
      <c r="G34" s="62" t="s">
        <v>24</v>
      </c>
      <c r="H34" s="64" t="s">
        <v>24</v>
      </c>
      <c r="I34" s="62" t="s">
        <v>24</v>
      </c>
      <c r="J34" s="62" t="s">
        <v>24</v>
      </c>
      <c r="K34" s="62" t="s">
        <v>86</v>
      </c>
      <c r="L34" s="66">
        <v>500</v>
      </c>
      <c r="M34" s="67"/>
      <c r="N34" s="66">
        <f t="shared" si="6"/>
        <v>500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/>
      <c r="AN34" s="75"/>
    </row>
    <row r="35" spans="1:40" s="76" customFormat="1" ht="100.05" customHeight="1" x14ac:dyDescent="0.3">
      <c r="A35" s="62">
        <v>250078</v>
      </c>
      <c r="B35" s="62">
        <v>304</v>
      </c>
      <c r="C35" s="64">
        <v>0.7</v>
      </c>
      <c r="D35" s="62">
        <v>323</v>
      </c>
      <c r="E35" s="91" t="s">
        <v>295</v>
      </c>
      <c r="F35" s="62" t="s">
        <v>181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79</v>
      </c>
      <c r="L35" s="66">
        <v>790</v>
      </c>
      <c r="M35" s="67"/>
      <c r="N35" s="66">
        <f t="shared" si="6"/>
        <v>790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/>
      <c r="AN35" s="75"/>
    </row>
    <row r="36" spans="1:40" s="76" customFormat="1" ht="100.05" customHeight="1" x14ac:dyDescent="0.3">
      <c r="A36" s="62"/>
      <c r="B36" s="62"/>
      <c r="C36" s="64"/>
      <c r="D36" s="62"/>
      <c r="E36" s="65"/>
      <c r="F36" s="62"/>
      <c r="G36" s="62"/>
      <c r="H36" s="64"/>
      <c r="I36" s="62"/>
      <c r="J36" s="62"/>
      <c r="K36" s="62"/>
      <c r="L36" s="62"/>
      <c r="M36" s="67"/>
      <c r="N36" s="66">
        <f t="shared" si="5"/>
        <v>0</v>
      </c>
      <c r="P36" s="68"/>
      <c r="Q36" s="68"/>
      <c r="R36" s="69"/>
      <c r="S36" s="68"/>
      <c r="T36" s="70"/>
      <c r="U36" s="68"/>
      <c r="V36" s="68"/>
      <c r="W36" s="69"/>
      <c r="X36" s="68"/>
      <c r="Y36" s="68"/>
      <c r="Z36" s="68"/>
      <c r="AA36" s="66">
        <f>SUM(AA23:AA31)</f>
        <v>5900</v>
      </c>
      <c r="AB36" s="71">
        <f>SUM(AB23:AB31)</f>
        <v>0</v>
      </c>
      <c r="AC36" s="66">
        <f>SUM(AC23:AC30)</f>
        <v>5900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8"/>
      <c r="B37" s="68"/>
      <c r="C37" s="69"/>
      <c r="D37" s="68"/>
      <c r="E37" s="70"/>
      <c r="F37" s="68"/>
      <c r="G37" s="68"/>
      <c r="H37" s="69"/>
      <c r="I37" s="68"/>
      <c r="J37" s="68"/>
      <c r="K37" s="68"/>
      <c r="L37" s="66">
        <f>SUM(L23:L36)</f>
        <v>8760</v>
      </c>
      <c r="M37" s="71">
        <f>SUM(M23:M36)</f>
        <v>2200</v>
      </c>
      <c r="N37" s="66">
        <f>SUM(N23:N36)</f>
        <v>6560</v>
      </c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68"/>
      <c r="AF37" s="68"/>
      <c r="AG37" s="69"/>
      <c r="AH37" s="68"/>
      <c r="AI37" s="70"/>
      <c r="AJ37" s="80"/>
      <c r="AK37" s="66">
        <f>SUM(AK4:AK36)</f>
        <v>13296</v>
      </c>
      <c r="AL37" s="71">
        <f>SUM(AL4:AL36)</f>
        <v>2500</v>
      </c>
      <c r="AM37" s="66">
        <f>SUM(AM4:AM36)</f>
        <v>10796</v>
      </c>
      <c r="AN37" s="75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5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spans="1:40" s="75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</sheetData>
  <mergeCells count="11">
    <mergeCell ref="A2:N2"/>
    <mergeCell ref="P2:AC2"/>
    <mergeCell ref="AE2:AM2"/>
    <mergeCell ref="A21:N21"/>
    <mergeCell ref="P21:AC21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3"/>
  <sheetViews>
    <sheetView zoomScale="25" zoomScaleNormal="25" workbookViewId="0">
      <selection activeCell="AU5" sqref="AU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45952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45952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95">
        <v>250042</v>
      </c>
      <c r="B4" s="62">
        <v>304</v>
      </c>
      <c r="C4" s="64">
        <v>0.9</v>
      </c>
      <c r="D4" s="62">
        <v>560</v>
      </c>
      <c r="E4" s="86" t="s">
        <v>225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750</v>
      </c>
      <c r="M4" s="67"/>
      <c r="N4" s="66">
        <f>L4-M4</f>
        <v>750</v>
      </c>
      <c r="P4" s="62">
        <v>230925</v>
      </c>
      <c r="Q4" s="62">
        <v>430</v>
      </c>
      <c r="R4" s="64">
        <v>0.8</v>
      </c>
      <c r="S4" s="62">
        <v>425</v>
      </c>
      <c r="T4" s="65" t="s">
        <v>239</v>
      </c>
      <c r="U4" s="62" t="s">
        <v>24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6000</v>
      </c>
      <c r="AB4" s="67"/>
      <c r="AC4" s="66">
        <f>AA4-AB4</f>
        <v>6000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/>
      <c r="AM4" s="66">
        <f t="shared" ref="AM4:AM36" si="0">AK4-AL4</f>
        <v>540</v>
      </c>
    </row>
    <row r="5" spans="1:39" s="76" customFormat="1" ht="100.05" customHeight="1" x14ac:dyDescent="0.3">
      <c r="A5" s="94">
        <v>250057</v>
      </c>
      <c r="B5" s="62">
        <v>304</v>
      </c>
      <c r="C5" s="64">
        <v>0.7</v>
      </c>
      <c r="D5" s="62">
        <v>315</v>
      </c>
      <c r="E5" s="91" t="s">
        <v>236</v>
      </c>
      <c r="F5" s="62" t="s">
        <v>23</v>
      </c>
      <c r="G5" s="62">
        <v>304</v>
      </c>
      <c r="H5" s="64">
        <v>0.6</v>
      </c>
      <c r="I5" s="62" t="s">
        <v>24</v>
      </c>
      <c r="J5" s="62" t="s">
        <v>24</v>
      </c>
      <c r="K5" s="62" t="s">
        <v>259</v>
      </c>
      <c r="L5" s="66">
        <v>410</v>
      </c>
      <c r="M5" s="67">
        <f>206+350</f>
        <v>556</v>
      </c>
      <c r="N5" s="66">
        <f>L5-M5</f>
        <v>-146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230925</v>
      </c>
      <c r="AF5" s="62">
        <v>430</v>
      </c>
      <c r="AG5" s="64">
        <v>0.8</v>
      </c>
      <c r="AH5" s="67" t="s">
        <v>24</v>
      </c>
      <c r="AI5" s="65" t="s">
        <v>247</v>
      </c>
      <c r="AJ5" s="78" t="s">
        <v>241</v>
      </c>
      <c r="AK5" s="66">
        <v>6000</v>
      </c>
      <c r="AL5" s="67">
        <f>2500+2550</f>
        <v>5050</v>
      </c>
      <c r="AM5" s="66">
        <f t="shared" si="0"/>
        <v>950</v>
      </c>
    </row>
    <row r="6" spans="1:39" s="76" customFormat="1" ht="100.05" customHeight="1" x14ac:dyDescent="0.3">
      <c r="A6" s="94">
        <v>250061</v>
      </c>
      <c r="B6" s="62">
        <v>304</v>
      </c>
      <c r="C6" s="64">
        <v>0.7</v>
      </c>
      <c r="D6" s="62">
        <v>315</v>
      </c>
      <c r="E6" s="91" t="s">
        <v>236</v>
      </c>
      <c r="F6" s="62" t="s">
        <v>23</v>
      </c>
      <c r="G6" s="62">
        <v>304</v>
      </c>
      <c r="H6" s="64">
        <v>0.6</v>
      </c>
      <c r="I6" s="62" t="s">
        <v>24</v>
      </c>
      <c r="J6" s="62" t="s">
        <v>24</v>
      </c>
      <c r="K6" s="62" t="s">
        <v>259</v>
      </c>
      <c r="L6" s="66">
        <v>540</v>
      </c>
      <c r="M6" s="67">
        <v>540</v>
      </c>
      <c r="N6" s="66">
        <f>L6-M6</f>
        <v>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8" si="1">AA6-AB6</f>
        <v>0</v>
      </c>
      <c r="AE6" s="62">
        <v>250080</v>
      </c>
      <c r="AF6" s="62">
        <v>304</v>
      </c>
      <c r="AG6" s="64">
        <v>0.6</v>
      </c>
      <c r="AH6" s="67" t="s">
        <v>24</v>
      </c>
      <c r="AI6" s="65" t="s">
        <v>272</v>
      </c>
      <c r="AJ6" s="78" t="s">
        <v>241</v>
      </c>
      <c r="AK6" s="66">
        <v>1000</v>
      </c>
      <c r="AL6" s="67"/>
      <c r="AM6" s="66">
        <f t="shared" si="0"/>
        <v>1000</v>
      </c>
    </row>
    <row r="7" spans="1:39" s="76" customFormat="1" ht="100.05" customHeight="1" x14ac:dyDescent="0.3">
      <c r="A7" s="94">
        <v>250079</v>
      </c>
      <c r="B7" s="62">
        <v>304</v>
      </c>
      <c r="C7" s="64">
        <v>1</v>
      </c>
      <c r="D7" s="62">
        <v>315</v>
      </c>
      <c r="E7" s="91" t="s">
        <v>260</v>
      </c>
      <c r="F7" s="62" t="s">
        <v>42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259</v>
      </c>
      <c r="L7" s="66">
        <v>48</v>
      </c>
      <c r="M7" s="67">
        <v>48</v>
      </c>
      <c r="N7" s="66">
        <f>L7-M7</f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1"/>
        <v>0</v>
      </c>
      <c r="AE7" s="62">
        <v>250080</v>
      </c>
      <c r="AF7" s="62">
        <v>304</v>
      </c>
      <c r="AG7" s="64">
        <v>0.6</v>
      </c>
      <c r="AH7" s="67" t="s">
        <v>24</v>
      </c>
      <c r="AI7" s="65" t="s">
        <v>273</v>
      </c>
      <c r="AJ7" s="78" t="s">
        <v>241</v>
      </c>
      <c r="AK7" s="66">
        <v>1200</v>
      </c>
      <c r="AL7" s="67"/>
      <c r="AM7" s="66">
        <f t="shared" si="0"/>
        <v>1200</v>
      </c>
    </row>
    <row r="8" spans="1:39" s="76" customFormat="1" ht="100.05" customHeight="1" x14ac:dyDescent="0.3">
      <c r="A8" s="95">
        <v>250057</v>
      </c>
      <c r="B8" s="62">
        <v>304</v>
      </c>
      <c r="C8" s="64">
        <v>0.7</v>
      </c>
      <c r="D8" s="62">
        <v>543</v>
      </c>
      <c r="E8" s="91" t="s">
        <v>237</v>
      </c>
      <c r="F8" s="62" t="s">
        <v>121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212</v>
      </c>
      <c r="L8" s="66">
        <v>410</v>
      </c>
      <c r="M8" s="67"/>
      <c r="N8" s="66">
        <f>L8-M8</f>
        <v>410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1"/>
        <v>0</v>
      </c>
      <c r="AE8" s="62">
        <v>250079</v>
      </c>
      <c r="AF8" s="62">
        <v>304</v>
      </c>
      <c r="AG8" s="64">
        <v>0.6</v>
      </c>
      <c r="AH8" s="67" t="s">
        <v>24</v>
      </c>
      <c r="AI8" s="65" t="s">
        <v>274</v>
      </c>
      <c r="AJ8" s="78" t="s">
        <v>241</v>
      </c>
      <c r="AK8" s="66">
        <v>964</v>
      </c>
      <c r="AL8" s="67"/>
      <c r="AM8" s="66">
        <f t="shared" si="0"/>
        <v>964</v>
      </c>
    </row>
    <row r="9" spans="1:39" s="76" customFormat="1" ht="100.05" customHeight="1" x14ac:dyDescent="0.3">
      <c r="A9" s="96" t="s">
        <v>267</v>
      </c>
      <c r="B9" s="62">
        <v>430</v>
      </c>
      <c r="C9" s="64">
        <v>0.5</v>
      </c>
      <c r="D9" s="62">
        <v>475</v>
      </c>
      <c r="E9" s="91" t="s">
        <v>268</v>
      </c>
      <c r="F9" s="62" t="s">
        <v>24</v>
      </c>
      <c r="G9" s="62" t="s">
        <v>24</v>
      </c>
      <c r="H9" s="64" t="s">
        <v>24</v>
      </c>
      <c r="I9" s="62" t="s">
        <v>24</v>
      </c>
      <c r="J9" s="62" t="s">
        <v>24</v>
      </c>
      <c r="K9" s="62" t="s">
        <v>79</v>
      </c>
      <c r="L9" s="66">
        <v>1200</v>
      </c>
      <c r="M9" s="67"/>
      <c r="N9" s="66">
        <f t="shared" ref="N9:N18" si="2">L9-M9</f>
        <v>1200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1"/>
        <v>0</v>
      </c>
      <c r="AE9" s="62">
        <v>250079</v>
      </c>
      <c r="AF9" s="62">
        <v>304</v>
      </c>
      <c r="AG9" s="64">
        <v>0.6</v>
      </c>
      <c r="AH9" s="67" t="s">
        <v>24</v>
      </c>
      <c r="AI9" s="65" t="s">
        <v>275</v>
      </c>
      <c r="AJ9" s="78" t="s">
        <v>241</v>
      </c>
      <c r="AK9" s="66">
        <v>1314</v>
      </c>
      <c r="AL9" s="67"/>
      <c r="AM9" s="66">
        <f t="shared" si="0"/>
        <v>1314</v>
      </c>
    </row>
    <row r="10" spans="1:39" s="76" customFormat="1" ht="100.05" customHeight="1" x14ac:dyDescent="0.3">
      <c r="A10" s="96" t="s">
        <v>267</v>
      </c>
      <c r="B10" s="62">
        <v>430</v>
      </c>
      <c r="C10" s="64">
        <v>0.5</v>
      </c>
      <c r="D10" s="62">
        <v>290</v>
      </c>
      <c r="E10" s="91" t="s">
        <v>269</v>
      </c>
      <c r="F10" s="62" t="s">
        <v>24</v>
      </c>
      <c r="G10" s="62" t="s">
        <v>24</v>
      </c>
      <c r="H10" s="64" t="s">
        <v>24</v>
      </c>
      <c r="I10" s="62" t="s">
        <v>24</v>
      </c>
      <c r="J10" s="62" t="s">
        <v>24</v>
      </c>
      <c r="K10" s="62" t="s">
        <v>86</v>
      </c>
      <c r="L10" s="66">
        <v>1300</v>
      </c>
      <c r="M10" s="67"/>
      <c r="N10" s="66">
        <f t="shared" si="2"/>
        <v>1300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1"/>
        <v>0</v>
      </c>
      <c r="AE10" s="62">
        <v>250079</v>
      </c>
      <c r="AF10" s="62">
        <v>304</v>
      </c>
      <c r="AG10" s="64">
        <v>0.6</v>
      </c>
      <c r="AH10" s="67" t="s">
        <v>24</v>
      </c>
      <c r="AI10" s="65" t="s">
        <v>276</v>
      </c>
      <c r="AJ10" s="78" t="s">
        <v>241</v>
      </c>
      <c r="AK10" s="66">
        <v>1314</v>
      </c>
      <c r="AL10" s="67"/>
      <c r="AM10" s="66">
        <f t="shared" si="0"/>
        <v>1314</v>
      </c>
    </row>
    <row r="11" spans="1:39" s="76" customFormat="1" ht="100.05" customHeight="1" x14ac:dyDescent="0.3">
      <c r="A11" s="96" t="s">
        <v>267</v>
      </c>
      <c r="B11" s="62">
        <v>430</v>
      </c>
      <c r="C11" s="64">
        <v>0.5</v>
      </c>
      <c r="D11" s="62">
        <v>350</v>
      </c>
      <c r="E11" s="91" t="s">
        <v>278</v>
      </c>
      <c r="F11" s="62" t="s">
        <v>24</v>
      </c>
      <c r="G11" s="62" t="s">
        <v>24</v>
      </c>
      <c r="H11" s="64" t="s">
        <v>24</v>
      </c>
      <c r="I11" s="62" t="s">
        <v>24</v>
      </c>
      <c r="J11" s="62" t="s">
        <v>24</v>
      </c>
      <c r="K11" s="62" t="s">
        <v>79</v>
      </c>
      <c r="L11" s="66">
        <v>1200</v>
      </c>
      <c r="M11" s="67"/>
      <c r="N11" s="66">
        <f t="shared" si="2"/>
        <v>1200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1"/>
        <v>0</v>
      </c>
      <c r="AE11" s="62">
        <v>250079</v>
      </c>
      <c r="AF11" s="62">
        <v>304</v>
      </c>
      <c r="AG11" s="64">
        <v>0.6</v>
      </c>
      <c r="AH11" s="67" t="s">
        <v>24</v>
      </c>
      <c r="AI11" s="65" t="s">
        <v>277</v>
      </c>
      <c r="AJ11" s="78" t="s">
        <v>241</v>
      </c>
      <c r="AK11" s="66">
        <v>964</v>
      </c>
      <c r="AL11" s="67"/>
      <c r="AM11" s="66">
        <f t="shared" si="0"/>
        <v>964</v>
      </c>
    </row>
    <row r="12" spans="1:39" s="76" customFormat="1" ht="100.05" customHeight="1" x14ac:dyDescent="0.3">
      <c r="A12" s="96" t="s">
        <v>267</v>
      </c>
      <c r="B12" s="62">
        <v>430</v>
      </c>
      <c r="C12" s="64">
        <v>0.5</v>
      </c>
      <c r="D12" s="62">
        <v>315</v>
      </c>
      <c r="E12" s="91" t="s">
        <v>279</v>
      </c>
      <c r="F12" s="62" t="s">
        <v>24</v>
      </c>
      <c r="G12" s="62" t="s">
        <v>24</v>
      </c>
      <c r="H12" s="64" t="s">
        <v>24</v>
      </c>
      <c r="I12" s="62" t="s">
        <v>24</v>
      </c>
      <c r="J12" s="62" t="s">
        <v>24</v>
      </c>
      <c r="K12" s="62" t="s">
        <v>86</v>
      </c>
      <c r="L12" s="66">
        <v>1200</v>
      </c>
      <c r="M12" s="67"/>
      <c r="N12" s="66">
        <f t="shared" si="2"/>
        <v>1200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1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39" s="76" customFormat="1" ht="100.05" customHeight="1" x14ac:dyDescent="0.3">
      <c r="A13" s="95">
        <v>250078</v>
      </c>
      <c r="B13" s="62">
        <v>304</v>
      </c>
      <c r="C13" s="64">
        <v>0.7</v>
      </c>
      <c r="D13" s="62">
        <v>582</v>
      </c>
      <c r="E13" s="91" t="s">
        <v>280</v>
      </c>
      <c r="F13" s="62" t="s">
        <v>181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79</v>
      </c>
      <c r="L13" s="66">
        <v>790</v>
      </c>
      <c r="M13" s="67"/>
      <c r="N13" s="66">
        <f t="shared" si="2"/>
        <v>790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1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39" s="76" customFormat="1" ht="100.05" customHeight="1" x14ac:dyDescent="0.3">
      <c r="A14" s="95">
        <v>250080</v>
      </c>
      <c r="B14" s="62">
        <v>304</v>
      </c>
      <c r="C14" s="64">
        <v>0.6</v>
      </c>
      <c r="D14" s="62">
        <v>505</v>
      </c>
      <c r="E14" s="91" t="s">
        <v>285</v>
      </c>
      <c r="F14" s="62" t="s">
        <v>181</v>
      </c>
      <c r="G14" s="62">
        <v>430</v>
      </c>
      <c r="H14" s="64">
        <v>0.6</v>
      </c>
      <c r="I14" s="62" t="s">
        <v>24</v>
      </c>
      <c r="J14" s="62" t="s">
        <v>24</v>
      </c>
      <c r="K14" s="62" t="s">
        <v>79</v>
      </c>
      <c r="L14" s="66">
        <v>300</v>
      </c>
      <c r="M14" s="67">
        <v>300</v>
      </c>
      <c r="N14" s="66">
        <f t="shared" si="2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1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00.05" customHeight="1" x14ac:dyDescent="0.3">
      <c r="A15" s="95">
        <v>250080</v>
      </c>
      <c r="B15" s="62">
        <v>304</v>
      </c>
      <c r="C15" s="64">
        <v>0.6</v>
      </c>
      <c r="D15" s="62">
        <v>520</v>
      </c>
      <c r="E15" s="91" t="s">
        <v>282</v>
      </c>
      <c r="F15" s="62" t="s">
        <v>222</v>
      </c>
      <c r="G15" s="62">
        <v>430</v>
      </c>
      <c r="H15" s="64">
        <v>0.6</v>
      </c>
      <c r="I15" s="62" t="s">
        <v>24</v>
      </c>
      <c r="J15" s="62" t="s">
        <v>24</v>
      </c>
      <c r="K15" s="62" t="s">
        <v>86</v>
      </c>
      <c r="L15" s="66">
        <v>500</v>
      </c>
      <c r="M15" s="67">
        <v>350</v>
      </c>
      <c r="N15" s="66">
        <f t="shared" si="2"/>
        <v>150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1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96">
        <v>250080</v>
      </c>
      <c r="B16" s="62">
        <v>304</v>
      </c>
      <c r="C16" s="64">
        <v>0.6</v>
      </c>
      <c r="D16" s="62">
        <v>457</v>
      </c>
      <c r="E16" s="91" t="s">
        <v>283</v>
      </c>
      <c r="F16" s="62" t="s">
        <v>24</v>
      </c>
      <c r="G16" s="62" t="s">
        <v>24</v>
      </c>
      <c r="H16" s="64" t="s">
        <v>24</v>
      </c>
      <c r="I16" s="62" t="s">
        <v>24</v>
      </c>
      <c r="J16" s="62" t="s">
        <v>24</v>
      </c>
      <c r="K16" s="62" t="s">
        <v>284</v>
      </c>
      <c r="L16" s="66">
        <v>500</v>
      </c>
      <c r="M16" s="67"/>
      <c r="N16" s="66">
        <f t="shared" si="2"/>
        <v>500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1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62"/>
      <c r="B17" s="62"/>
      <c r="C17" s="64"/>
      <c r="D17" s="62"/>
      <c r="E17" s="91"/>
      <c r="F17" s="62"/>
      <c r="G17" s="62"/>
      <c r="H17" s="64"/>
      <c r="I17" s="62"/>
      <c r="J17" s="62"/>
      <c r="K17" s="62"/>
      <c r="L17" s="66"/>
      <c r="M17" s="67"/>
      <c r="N17" s="66">
        <f t="shared" si="2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/>
      <c r="AE17" s="62"/>
      <c r="AF17" s="62"/>
      <c r="AG17" s="64"/>
      <c r="AH17" s="67"/>
      <c r="AI17" s="65"/>
      <c r="AJ17" s="78"/>
      <c r="AK17" s="66"/>
      <c r="AL17" s="67"/>
      <c r="AM17" s="66"/>
    </row>
    <row r="18" spans="1:40" s="76" customFormat="1" ht="100.05" customHeight="1" x14ac:dyDescent="0.3">
      <c r="A18" s="62"/>
      <c r="B18" s="62"/>
      <c r="C18" s="64"/>
      <c r="D18" s="62"/>
      <c r="E18" s="65"/>
      <c r="F18" s="62"/>
      <c r="G18" s="62"/>
      <c r="H18" s="64"/>
      <c r="I18" s="62"/>
      <c r="J18" s="62"/>
      <c r="K18" s="62"/>
      <c r="L18" s="62"/>
      <c r="M18" s="67"/>
      <c r="N18" s="66">
        <f t="shared" si="2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2"/>
      <c r="AB18" s="67"/>
      <c r="AC18" s="66">
        <f t="shared" si="1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8"/>
      <c r="B19" s="68"/>
      <c r="C19" s="69"/>
      <c r="D19" s="68"/>
      <c r="E19" s="70"/>
      <c r="F19" s="68"/>
      <c r="G19" s="68"/>
      <c r="H19" s="69"/>
      <c r="I19" s="68"/>
      <c r="J19" s="68"/>
      <c r="K19" s="68"/>
      <c r="L19" s="66">
        <f>SUM(L4:L18)</f>
        <v>9148</v>
      </c>
      <c r="M19" s="71">
        <f>SUM(M4:M18)</f>
        <v>1794</v>
      </c>
      <c r="N19" s="66">
        <f>SUM(N4:N18)</f>
        <v>7354</v>
      </c>
      <c r="P19" s="68"/>
      <c r="Q19" s="68"/>
      <c r="R19" s="69"/>
      <c r="S19" s="68"/>
      <c r="T19" s="70"/>
      <c r="U19" s="68"/>
      <c r="V19" s="68"/>
      <c r="W19" s="69"/>
      <c r="X19" s="68"/>
      <c r="Y19" s="68"/>
      <c r="Z19" s="68"/>
      <c r="AA19" s="66">
        <f>AA4+AA6+AA7+AA8+AA18</f>
        <v>6000</v>
      </c>
      <c r="AB19" s="71">
        <f>SUM(AB4:AB18)</f>
        <v>0</v>
      </c>
      <c r="AC19" s="66">
        <f>SUM(AC4:AC18)</f>
        <v>6000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6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6"/>
    </row>
    <row r="21" spans="1:40" s="75" customFormat="1" ht="100.05" customHeight="1" x14ac:dyDescent="0.3">
      <c r="A21" s="109" t="s">
        <v>101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1"/>
      <c r="P21" s="109" t="s">
        <v>99</v>
      </c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1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45.80000000000001" x14ac:dyDescent="0.3">
      <c r="A22" s="81" t="s">
        <v>0</v>
      </c>
      <c r="B22" s="81" t="s">
        <v>9</v>
      </c>
      <c r="C22" s="82" t="s">
        <v>11</v>
      </c>
      <c r="D22" s="81" t="s">
        <v>2</v>
      </c>
      <c r="E22" s="81" t="s">
        <v>1</v>
      </c>
      <c r="F22" s="81" t="s">
        <v>14</v>
      </c>
      <c r="G22" s="81" t="s">
        <v>8</v>
      </c>
      <c r="H22" s="82" t="s">
        <v>10</v>
      </c>
      <c r="I22" s="82" t="s">
        <v>12</v>
      </c>
      <c r="J22" s="82" t="s">
        <v>13</v>
      </c>
      <c r="K22" s="81" t="s">
        <v>3</v>
      </c>
      <c r="L22" s="81" t="s">
        <v>7</v>
      </c>
      <c r="M22" s="81" t="s">
        <v>5</v>
      </c>
      <c r="N22" s="81" t="s">
        <v>6</v>
      </c>
      <c r="P22" s="81" t="s">
        <v>0</v>
      </c>
      <c r="Q22" s="81" t="s">
        <v>9</v>
      </c>
      <c r="R22" s="82" t="s">
        <v>11</v>
      </c>
      <c r="S22" s="81" t="s">
        <v>2</v>
      </c>
      <c r="T22" s="81" t="s">
        <v>1</v>
      </c>
      <c r="U22" s="81" t="s">
        <v>14</v>
      </c>
      <c r="V22" s="81" t="s">
        <v>8</v>
      </c>
      <c r="W22" s="82" t="s">
        <v>10</v>
      </c>
      <c r="X22" s="82" t="s">
        <v>12</v>
      </c>
      <c r="Y22" s="82" t="s">
        <v>13</v>
      </c>
      <c r="Z22" s="81" t="s">
        <v>3</v>
      </c>
      <c r="AA22" s="81" t="s">
        <v>7</v>
      </c>
      <c r="AB22" s="81" t="s">
        <v>5</v>
      </c>
      <c r="AC22" s="81" t="s">
        <v>6</v>
      </c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6" customFormat="1" ht="100.05" customHeight="1" x14ac:dyDescent="0.3">
      <c r="A23" s="94">
        <v>21025</v>
      </c>
      <c r="B23" s="62">
        <v>304</v>
      </c>
      <c r="C23" s="64">
        <v>0.6</v>
      </c>
      <c r="D23" s="62">
        <v>234</v>
      </c>
      <c r="E23" s="91" t="s">
        <v>249</v>
      </c>
      <c r="F23" s="62" t="s">
        <v>121</v>
      </c>
      <c r="G23" s="62">
        <v>430</v>
      </c>
      <c r="H23" s="64">
        <v>0.6</v>
      </c>
      <c r="I23" s="62" t="s">
        <v>24</v>
      </c>
      <c r="J23" s="62" t="s">
        <v>24</v>
      </c>
      <c r="K23" s="62" t="s">
        <v>86</v>
      </c>
      <c r="L23" s="66">
        <v>1000</v>
      </c>
      <c r="M23" s="67"/>
      <c r="N23" s="66">
        <f t="shared" ref="N23" si="3">L23-M23</f>
        <v>1000</v>
      </c>
      <c r="P23" s="62">
        <v>250079</v>
      </c>
      <c r="Q23" s="62">
        <v>304</v>
      </c>
      <c r="R23" s="64">
        <v>0.7</v>
      </c>
      <c r="S23" s="62">
        <v>324</v>
      </c>
      <c r="T23" s="65" t="s">
        <v>261</v>
      </c>
      <c r="U23" s="62" t="s">
        <v>23</v>
      </c>
      <c r="V23" s="62">
        <v>304</v>
      </c>
      <c r="W23" s="64">
        <v>0.6</v>
      </c>
      <c r="X23" s="62" t="s">
        <v>24</v>
      </c>
      <c r="Y23" s="62" t="s">
        <v>24</v>
      </c>
      <c r="Z23" s="62" t="s">
        <v>74</v>
      </c>
      <c r="AA23" s="66">
        <v>964</v>
      </c>
      <c r="AB23" s="67"/>
      <c r="AC23" s="66">
        <f t="shared" ref="AC23:AC35" si="4">AA23-AB23</f>
        <v>964</v>
      </c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</row>
    <row r="24" spans="1:40" s="76" customFormat="1" ht="100.05" customHeight="1" x14ac:dyDescent="0.3">
      <c r="A24" s="95">
        <v>250078</v>
      </c>
      <c r="B24" s="62">
        <v>304</v>
      </c>
      <c r="C24" s="64">
        <v>0.7</v>
      </c>
      <c r="D24" s="62">
        <v>435</v>
      </c>
      <c r="E24" s="91" t="s">
        <v>286</v>
      </c>
      <c r="F24" s="62" t="s">
        <v>181</v>
      </c>
      <c r="G24" s="62">
        <v>304</v>
      </c>
      <c r="H24" s="64">
        <v>0.6</v>
      </c>
      <c r="I24" s="62" t="s">
        <v>24</v>
      </c>
      <c r="J24" s="62" t="s">
        <v>24</v>
      </c>
      <c r="K24" s="62" t="s">
        <v>79</v>
      </c>
      <c r="L24" s="66">
        <v>790</v>
      </c>
      <c r="M24" s="67"/>
      <c r="N24" s="66">
        <f>L24-M24</f>
        <v>790</v>
      </c>
      <c r="P24" s="62">
        <v>250079</v>
      </c>
      <c r="Q24" s="62">
        <v>304</v>
      </c>
      <c r="R24" s="64">
        <v>0.7</v>
      </c>
      <c r="S24" s="62">
        <v>324</v>
      </c>
      <c r="T24" s="93" t="s">
        <v>262</v>
      </c>
      <c r="U24" s="62" t="s">
        <v>23</v>
      </c>
      <c r="V24" s="62">
        <v>304</v>
      </c>
      <c r="W24" s="64">
        <v>0.6</v>
      </c>
      <c r="X24" s="62" t="s">
        <v>24</v>
      </c>
      <c r="Y24" s="62" t="s">
        <v>24</v>
      </c>
      <c r="Z24" s="62" t="s">
        <v>74</v>
      </c>
      <c r="AA24" s="66">
        <v>36</v>
      </c>
      <c r="AB24" s="67"/>
      <c r="AC24" s="66">
        <f t="shared" si="4"/>
        <v>36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5">
        <v>250080</v>
      </c>
      <c r="B25" s="62">
        <v>304</v>
      </c>
      <c r="C25" s="64">
        <v>0.6</v>
      </c>
      <c r="D25" s="62">
        <v>435</v>
      </c>
      <c r="E25" s="86" t="s">
        <v>287</v>
      </c>
      <c r="F25" s="62" t="s">
        <v>181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79</v>
      </c>
      <c r="L25" s="66">
        <v>300</v>
      </c>
      <c r="M25" s="67"/>
      <c r="N25" s="90">
        <f t="shared" ref="N25:N36" si="5">L25-M25</f>
        <v>300</v>
      </c>
      <c r="P25" s="62">
        <v>250079</v>
      </c>
      <c r="Q25" s="62">
        <v>304</v>
      </c>
      <c r="R25" s="64">
        <v>0.7</v>
      </c>
      <c r="S25" s="62">
        <v>307</v>
      </c>
      <c r="T25" s="93" t="s">
        <v>264</v>
      </c>
      <c r="U25" s="62" t="s">
        <v>23</v>
      </c>
      <c r="V25" s="62">
        <v>304</v>
      </c>
      <c r="W25" s="64">
        <v>0.6</v>
      </c>
      <c r="X25" s="62" t="s">
        <v>24</v>
      </c>
      <c r="Y25" s="62" t="s">
        <v>24</v>
      </c>
      <c r="Z25" s="62" t="s">
        <v>74</v>
      </c>
      <c r="AA25" s="66">
        <v>1314</v>
      </c>
      <c r="AB25" s="67"/>
      <c r="AC25" s="66">
        <f t="shared" si="4"/>
        <v>1314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5">
        <v>250080</v>
      </c>
      <c r="B26" s="62">
        <v>304</v>
      </c>
      <c r="C26" s="64">
        <v>0.6</v>
      </c>
      <c r="D26" s="62">
        <v>455</v>
      </c>
      <c r="E26" s="86" t="s">
        <v>288</v>
      </c>
      <c r="F26" s="62" t="s">
        <v>222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500</v>
      </c>
      <c r="M26" s="67">
        <f>150+350</f>
        <v>500</v>
      </c>
      <c r="N26" s="66">
        <f t="shared" si="5"/>
        <v>0</v>
      </c>
      <c r="P26" s="62">
        <v>250079</v>
      </c>
      <c r="Q26" s="62">
        <v>304</v>
      </c>
      <c r="R26" s="64">
        <v>0.7</v>
      </c>
      <c r="S26" s="62">
        <v>307</v>
      </c>
      <c r="T26" s="93" t="s">
        <v>263</v>
      </c>
      <c r="U26" s="62" t="s">
        <v>23</v>
      </c>
      <c r="V26" s="62">
        <v>304</v>
      </c>
      <c r="W26" s="64">
        <v>0.6</v>
      </c>
      <c r="X26" s="62" t="s">
        <v>24</v>
      </c>
      <c r="Y26" s="62" t="s">
        <v>24</v>
      </c>
      <c r="Z26" s="62" t="s">
        <v>74</v>
      </c>
      <c r="AA26" s="66">
        <v>36</v>
      </c>
      <c r="AB26" s="67"/>
      <c r="AC26" s="66">
        <f t="shared" si="4"/>
        <v>36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6">
        <v>250080</v>
      </c>
      <c r="B27" s="62">
        <v>304</v>
      </c>
      <c r="C27" s="64">
        <v>0.6</v>
      </c>
      <c r="D27" s="62">
        <v>405</v>
      </c>
      <c r="E27" s="86" t="s">
        <v>289</v>
      </c>
      <c r="F27" s="62" t="s">
        <v>24</v>
      </c>
      <c r="G27" s="62" t="s">
        <v>24</v>
      </c>
      <c r="H27" s="64" t="s">
        <v>24</v>
      </c>
      <c r="I27" s="62" t="s">
        <v>24</v>
      </c>
      <c r="J27" s="62" t="s">
        <v>24</v>
      </c>
      <c r="K27" s="62" t="s">
        <v>86</v>
      </c>
      <c r="L27" s="66">
        <v>500</v>
      </c>
      <c r="M27" s="67"/>
      <c r="N27" s="66">
        <f t="shared" si="5"/>
        <v>500</v>
      </c>
      <c r="P27" s="62">
        <v>250080</v>
      </c>
      <c r="Q27" s="62">
        <v>304</v>
      </c>
      <c r="R27" s="64">
        <v>0.7</v>
      </c>
      <c r="S27" s="62">
        <v>307</v>
      </c>
      <c r="T27" s="93" t="s">
        <v>270</v>
      </c>
      <c r="U27" s="62" t="s">
        <v>23</v>
      </c>
      <c r="V27" s="62">
        <v>430</v>
      </c>
      <c r="W27" s="64">
        <v>0.6</v>
      </c>
      <c r="X27" s="62" t="s">
        <v>24</v>
      </c>
      <c r="Y27" s="62" t="s">
        <v>24</v>
      </c>
      <c r="Z27" s="62" t="s">
        <v>74</v>
      </c>
      <c r="AA27" s="66">
        <v>1000</v>
      </c>
      <c r="AB27" s="67"/>
      <c r="AC27" s="66">
        <f t="shared" si="4"/>
        <v>1000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5">
        <v>250078</v>
      </c>
      <c r="B28" s="62">
        <v>304</v>
      </c>
      <c r="C28" s="64">
        <v>0.7</v>
      </c>
      <c r="D28" s="62">
        <v>385</v>
      </c>
      <c r="E28" s="91" t="s">
        <v>290</v>
      </c>
      <c r="F28" s="62" t="s">
        <v>181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79</v>
      </c>
      <c r="L28" s="66">
        <v>790</v>
      </c>
      <c r="M28" s="67"/>
      <c r="N28" s="66">
        <f t="shared" si="5"/>
        <v>790</v>
      </c>
      <c r="P28" s="62">
        <v>250079</v>
      </c>
      <c r="Q28" s="62">
        <v>304</v>
      </c>
      <c r="R28" s="64">
        <v>0.7</v>
      </c>
      <c r="S28" s="62">
        <v>265</v>
      </c>
      <c r="T28" s="93" t="s">
        <v>265</v>
      </c>
      <c r="U28" s="62" t="s">
        <v>23</v>
      </c>
      <c r="V28" s="62">
        <v>304</v>
      </c>
      <c r="W28" s="64">
        <v>0.6</v>
      </c>
      <c r="X28" s="62" t="s">
        <v>24</v>
      </c>
      <c r="Y28" s="62" t="s">
        <v>24</v>
      </c>
      <c r="Z28" s="62" t="s">
        <v>74</v>
      </c>
      <c r="AA28" s="66">
        <v>1314</v>
      </c>
      <c r="AB28" s="67"/>
      <c r="AC28" s="66">
        <f t="shared" si="4"/>
        <v>1314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5">
        <v>250078</v>
      </c>
      <c r="B29" s="62">
        <v>304</v>
      </c>
      <c r="C29" s="64">
        <v>0.7</v>
      </c>
      <c r="D29" s="62">
        <v>355</v>
      </c>
      <c r="E29" s="91" t="s">
        <v>291</v>
      </c>
      <c r="F29" s="62" t="s">
        <v>181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79</v>
      </c>
      <c r="L29" s="66">
        <v>790</v>
      </c>
      <c r="M29" s="67"/>
      <c r="N29" s="66">
        <f t="shared" si="5"/>
        <v>790</v>
      </c>
      <c r="P29" s="62">
        <v>250079</v>
      </c>
      <c r="Q29" s="62">
        <v>304</v>
      </c>
      <c r="R29" s="64">
        <v>0.7</v>
      </c>
      <c r="S29" s="62">
        <v>265</v>
      </c>
      <c r="T29" s="93" t="s">
        <v>266</v>
      </c>
      <c r="U29" s="62" t="s">
        <v>23</v>
      </c>
      <c r="V29" s="62">
        <v>304</v>
      </c>
      <c r="W29" s="64">
        <v>0.6</v>
      </c>
      <c r="X29" s="62" t="s">
        <v>24</v>
      </c>
      <c r="Y29" s="62" t="s">
        <v>24</v>
      </c>
      <c r="Z29" s="62" t="s">
        <v>74</v>
      </c>
      <c r="AA29" s="66">
        <v>36</v>
      </c>
      <c r="AB29" s="67"/>
      <c r="AC29" s="66">
        <f t="shared" si="4"/>
        <v>36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5">
        <v>250080</v>
      </c>
      <c r="B30" s="62">
        <v>304</v>
      </c>
      <c r="C30" s="64">
        <v>0.6</v>
      </c>
      <c r="D30" s="62">
        <v>355</v>
      </c>
      <c r="E30" s="91" t="s">
        <v>292</v>
      </c>
      <c r="F30" s="62" t="s">
        <v>181</v>
      </c>
      <c r="G30" s="62">
        <v>430</v>
      </c>
      <c r="H30" s="64">
        <v>0.6</v>
      </c>
      <c r="I30" s="62" t="s">
        <v>24</v>
      </c>
      <c r="J30" s="62" t="s">
        <v>24</v>
      </c>
      <c r="K30" s="62" t="s">
        <v>79</v>
      </c>
      <c r="L30" s="66">
        <v>300</v>
      </c>
      <c r="M30" s="67"/>
      <c r="N30" s="66">
        <f t="shared" si="5"/>
        <v>300</v>
      </c>
      <c r="P30" s="62">
        <v>250080</v>
      </c>
      <c r="Q30" s="62">
        <v>304</v>
      </c>
      <c r="R30" s="64">
        <v>0.7</v>
      </c>
      <c r="S30" s="62">
        <v>265</v>
      </c>
      <c r="T30" s="93" t="s">
        <v>271</v>
      </c>
      <c r="U30" s="62" t="s">
        <v>23</v>
      </c>
      <c r="V30" s="62">
        <v>430</v>
      </c>
      <c r="W30" s="64">
        <v>0.6</v>
      </c>
      <c r="X30" s="62" t="s">
        <v>24</v>
      </c>
      <c r="Y30" s="62" t="s">
        <v>24</v>
      </c>
      <c r="Z30" s="62" t="s">
        <v>74</v>
      </c>
      <c r="AA30" s="66">
        <v>1200</v>
      </c>
      <c r="AB30" s="67"/>
      <c r="AC30" s="66">
        <f t="shared" si="4"/>
        <v>1200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95">
        <v>250080</v>
      </c>
      <c r="B31" s="62">
        <v>304</v>
      </c>
      <c r="C31" s="64">
        <v>0.6</v>
      </c>
      <c r="D31" s="62">
        <v>370</v>
      </c>
      <c r="E31" s="91" t="s">
        <v>293</v>
      </c>
      <c r="F31" s="62" t="s">
        <v>222</v>
      </c>
      <c r="G31" s="62">
        <v>430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500</v>
      </c>
      <c r="M31" s="67"/>
      <c r="N31" s="66">
        <f>L31-M31</f>
        <v>500</v>
      </c>
      <c r="P31" s="62"/>
      <c r="Q31" s="62"/>
      <c r="R31" s="64"/>
      <c r="S31" s="62"/>
      <c r="T31" s="65"/>
      <c r="U31" s="62"/>
      <c r="V31" s="62"/>
      <c r="W31" s="64"/>
      <c r="X31" s="62"/>
      <c r="Y31" s="62"/>
      <c r="Z31" s="62"/>
      <c r="AA31" s="66"/>
      <c r="AB31" s="67"/>
      <c r="AC31" s="66">
        <f t="shared" si="4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96">
        <v>250080</v>
      </c>
      <c r="B32" s="62">
        <v>304</v>
      </c>
      <c r="C32" s="64">
        <v>0.6</v>
      </c>
      <c r="D32" s="62">
        <v>345</v>
      </c>
      <c r="E32" s="91" t="s">
        <v>294</v>
      </c>
      <c r="F32" s="62" t="s">
        <v>24</v>
      </c>
      <c r="G32" s="62" t="s">
        <v>24</v>
      </c>
      <c r="H32" s="64" t="s">
        <v>24</v>
      </c>
      <c r="I32" s="62" t="s">
        <v>24</v>
      </c>
      <c r="J32" s="62" t="s">
        <v>24</v>
      </c>
      <c r="K32" s="62" t="s">
        <v>86</v>
      </c>
      <c r="L32" s="66">
        <v>500</v>
      </c>
      <c r="M32" s="67"/>
      <c r="N32" s="66">
        <f t="shared" ref="N32:N35" si="6">L32-M32</f>
        <v>500</v>
      </c>
      <c r="P32" s="62"/>
      <c r="Q32" s="62"/>
      <c r="R32" s="64"/>
      <c r="S32" s="62"/>
      <c r="T32" s="65"/>
      <c r="U32" s="62"/>
      <c r="V32" s="62"/>
      <c r="W32" s="64"/>
      <c r="X32" s="62"/>
      <c r="Y32" s="62"/>
      <c r="Z32" s="62"/>
      <c r="AA32" s="66"/>
      <c r="AB32" s="67"/>
      <c r="AC32" s="66">
        <f t="shared" si="4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/>
      <c r="AN32" s="75"/>
    </row>
    <row r="33" spans="1:40" s="76" customFormat="1" ht="100.05" customHeight="1" x14ac:dyDescent="0.3">
      <c r="A33" s="95">
        <v>250078</v>
      </c>
      <c r="B33" s="62">
        <v>304</v>
      </c>
      <c r="C33" s="64">
        <v>0.7</v>
      </c>
      <c r="D33" s="62">
        <v>323</v>
      </c>
      <c r="E33" s="91" t="s">
        <v>295</v>
      </c>
      <c r="F33" s="62" t="s">
        <v>181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79</v>
      </c>
      <c r="L33" s="66">
        <v>790</v>
      </c>
      <c r="M33" s="67">
        <v>790</v>
      </c>
      <c r="N33" s="66">
        <f t="shared" si="6"/>
        <v>0</v>
      </c>
      <c r="P33" s="62"/>
      <c r="Q33" s="62"/>
      <c r="R33" s="64"/>
      <c r="S33" s="62"/>
      <c r="T33" s="65"/>
      <c r="U33" s="62"/>
      <c r="V33" s="62"/>
      <c r="W33" s="64"/>
      <c r="X33" s="62"/>
      <c r="Y33" s="62"/>
      <c r="Z33" s="62"/>
      <c r="AA33" s="66"/>
      <c r="AB33" s="67"/>
      <c r="AC33" s="66">
        <f t="shared" si="4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/>
      <c r="AN33" s="75"/>
    </row>
    <row r="34" spans="1:40" s="76" customFormat="1" ht="100.05" customHeight="1" x14ac:dyDescent="0.3">
      <c r="A34" s="62"/>
      <c r="B34" s="62"/>
      <c r="C34" s="64"/>
      <c r="D34" s="62"/>
      <c r="E34" s="91"/>
      <c r="F34" s="62"/>
      <c r="G34" s="62"/>
      <c r="H34" s="64"/>
      <c r="I34" s="62"/>
      <c r="J34" s="62"/>
      <c r="K34" s="62"/>
      <c r="L34" s="66"/>
      <c r="M34" s="67"/>
      <c r="N34" s="66">
        <f t="shared" si="6"/>
        <v>0</v>
      </c>
      <c r="P34" s="62"/>
      <c r="Q34" s="62"/>
      <c r="R34" s="64"/>
      <c r="S34" s="62"/>
      <c r="T34" s="65"/>
      <c r="U34" s="62"/>
      <c r="V34" s="62"/>
      <c r="W34" s="64"/>
      <c r="X34" s="62"/>
      <c r="Y34" s="62"/>
      <c r="Z34" s="62"/>
      <c r="AA34" s="66"/>
      <c r="AB34" s="67"/>
      <c r="AC34" s="66">
        <f t="shared" si="4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/>
      <c r="AN34" s="75"/>
    </row>
    <row r="35" spans="1:40" s="76" customFormat="1" ht="100.05" customHeight="1" x14ac:dyDescent="0.3">
      <c r="A35" s="62"/>
      <c r="B35" s="62"/>
      <c r="C35" s="64"/>
      <c r="D35" s="62"/>
      <c r="E35" s="91"/>
      <c r="F35" s="62"/>
      <c r="G35" s="62"/>
      <c r="H35" s="64"/>
      <c r="I35" s="62"/>
      <c r="J35" s="62"/>
      <c r="K35" s="62"/>
      <c r="L35" s="66"/>
      <c r="M35" s="67"/>
      <c r="N35" s="66">
        <f t="shared" si="6"/>
        <v>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4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/>
      <c r="AN35" s="75"/>
    </row>
    <row r="36" spans="1:40" s="76" customFormat="1" ht="100.05" customHeight="1" x14ac:dyDescent="0.3">
      <c r="A36" s="62"/>
      <c r="B36" s="62"/>
      <c r="C36" s="64"/>
      <c r="D36" s="62"/>
      <c r="E36" s="65"/>
      <c r="F36" s="62"/>
      <c r="G36" s="62"/>
      <c r="H36" s="64"/>
      <c r="I36" s="62"/>
      <c r="J36" s="62"/>
      <c r="K36" s="62"/>
      <c r="L36" s="62"/>
      <c r="M36" s="67"/>
      <c r="N36" s="66">
        <f t="shared" si="5"/>
        <v>0</v>
      </c>
      <c r="P36" s="68"/>
      <c r="Q36" s="68"/>
      <c r="R36" s="69"/>
      <c r="S36" s="68"/>
      <c r="T36" s="70"/>
      <c r="U36" s="68"/>
      <c r="V36" s="68"/>
      <c r="W36" s="69"/>
      <c r="X36" s="68"/>
      <c r="Y36" s="68"/>
      <c r="Z36" s="68"/>
      <c r="AA36" s="66">
        <f>SUM(AA23:AA31)</f>
        <v>5900</v>
      </c>
      <c r="AB36" s="71">
        <f>SUM(AB23:AB31)</f>
        <v>0</v>
      </c>
      <c r="AC36" s="66">
        <f>SUM(AC23:AC30)</f>
        <v>5900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68"/>
      <c r="B37" s="68"/>
      <c r="C37" s="69"/>
      <c r="D37" s="68"/>
      <c r="E37" s="70"/>
      <c r="F37" s="68"/>
      <c r="G37" s="68"/>
      <c r="H37" s="69"/>
      <c r="I37" s="68"/>
      <c r="J37" s="68"/>
      <c r="K37" s="68"/>
      <c r="L37" s="66">
        <f>SUM(L23:L36)</f>
        <v>6760</v>
      </c>
      <c r="M37" s="71">
        <f>SUM(M23:M36)</f>
        <v>1290</v>
      </c>
      <c r="N37" s="66">
        <f>SUM(N23:N36)</f>
        <v>5470</v>
      </c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68"/>
      <c r="AF37" s="68"/>
      <c r="AG37" s="69"/>
      <c r="AH37" s="68"/>
      <c r="AI37" s="70"/>
      <c r="AJ37" s="80"/>
      <c r="AK37" s="66">
        <f>SUM(AK4:AK36)</f>
        <v>13296</v>
      </c>
      <c r="AL37" s="71">
        <f>SUM(AL4:AL36)</f>
        <v>5050</v>
      </c>
      <c r="AM37" s="66">
        <f>SUM(AM4:AM36)</f>
        <v>8246</v>
      </c>
      <c r="AN37" s="75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5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spans="1:40" s="75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1:N21"/>
    <mergeCell ref="P21:AC2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5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45953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45953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>
        <v>250042</v>
      </c>
      <c r="B4" s="62">
        <v>304</v>
      </c>
      <c r="C4" s="64">
        <v>0.9</v>
      </c>
      <c r="D4" s="62">
        <v>560</v>
      </c>
      <c r="E4" s="86" t="s">
        <v>225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223</v>
      </c>
      <c r="L4" s="66">
        <v>750</v>
      </c>
      <c r="M4" s="67">
        <f>750+50</f>
        <v>800</v>
      </c>
      <c r="N4" s="66">
        <f>L4-M4</f>
        <v>-50</v>
      </c>
      <c r="P4" s="62">
        <v>230925</v>
      </c>
      <c r="Q4" s="62">
        <v>430</v>
      </c>
      <c r="R4" s="64">
        <v>0.8</v>
      </c>
      <c r="S4" s="62">
        <v>425</v>
      </c>
      <c r="T4" s="65" t="s">
        <v>239</v>
      </c>
      <c r="U4" s="62" t="s">
        <v>24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5300</v>
      </c>
      <c r="AB4" s="67">
        <v>1800</v>
      </c>
      <c r="AC4" s="66">
        <f>AA4-AB4</f>
        <v>3500</v>
      </c>
      <c r="AE4" s="62">
        <v>250061</v>
      </c>
      <c r="AF4" s="62">
        <v>304</v>
      </c>
      <c r="AG4" s="64" t="s">
        <v>24</v>
      </c>
      <c r="AH4" s="67" t="s">
        <v>24</v>
      </c>
      <c r="AI4" s="65" t="s">
        <v>245</v>
      </c>
      <c r="AJ4" s="78" t="s">
        <v>119</v>
      </c>
      <c r="AK4" s="66">
        <v>540</v>
      </c>
      <c r="AL4" s="67">
        <v>550</v>
      </c>
      <c r="AM4" s="66">
        <f t="shared" ref="AM4:AM28" si="0">AK4-AL4</f>
        <v>-10</v>
      </c>
    </row>
    <row r="5" spans="1:40" s="76" customFormat="1" ht="100.05" customHeight="1" x14ac:dyDescent="0.3">
      <c r="A5" s="97">
        <v>250057</v>
      </c>
      <c r="B5" s="62">
        <v>304</v>
      </c>
      <c r="C5" s="64">
        <v>0.7</v>
      </c>
      <c r="D5" s="62">
        <v>543</v>
      </c>
      <c r="E5" s="91" t="s">
        <v>237</v>
      </c>
      <c r="F5" s="62" t="s">
        <v>121</v>
      </c>
      <c r="G5" s="62">
        <v>304</v>
      </c>
      <c r="H5" s="64">
        <v>0.6</v>
      </c>
      <c r="I5" s="62" t="s">
        <v>24</v>
      </c>
      <c r="J5" s="62" t="s">
        <v>24</v>
      </c>
      <c r="K5" s="62" t="s">
        <v>212</v>
      </c>
      <c r="L5" s="66">
        <v>410</v>
      </c>
      <c r="M5" s="67"/>
      <c r="N5" s="66">
        <f t="shared" ref="N5:N7" si="1">L5-M5</f>
        <v>410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230925</v>
      </c>
      <c r="AF5" s="62">
        <v>430</v>
      </c>
      <c r="AG5" s="64">
        <v>0.8</v>
      </c>
      <c r="AH5" s="67" t="s">
        <v>24</v>
      </c>
      <c r="AI5" s="65" t="s">
        <v>247</v>
      </c>
      <c r="AJ5" s="78" t="s">
        <v>241</v>
      </c>
      <c r="AK5" s="66">
        <v>5300</v>
      </c>
      <c r="AL5" s="67">
        <f>2500+2550+450</f>
        <v>5500</v>
      </c>
      <c r="AM5" s="66">
        <f t="shared" si="0"/>
        <v>-200</v>
      </c>
    </row>
    <row r="6" spans="1:40" s="76" customFormat="1" ht="100.05" customHeight="1" x14ac:dyDescent="0.3">
      <c r="A6" s="97" t="s">
        <v>267</v>
      </c>
      <c r="B6" s="62">
        <v>430</v>
      </c>
      <c r="C6" s="64">
        <v>0.5</v>
      </c>
      <c r="D6" s="62">
        <v>475</v>
      </c>
      <c r="E6" s="91" t="s">
        <v>268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79</v>
      </c>
      <c r="L6" s="66">
        <v>1200</v>
      </c>
      <c r="M6" s="67"/>
      <c r="N6" s="66">
        <f t="shared" si="1"/>
        <v>1200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3" si="2">AA6-AB6</f>
        <v>0</v>
      </c>
      <c r="AE6" s="62">
        <v>250080</v>
      </c>
      <c r="AF6" s="62">
        <v>304</v>
      </c>
      <c r="AG6" s="64">
        <v>0.6</v>
      </c>
      <c r="AH6" s="67" t="s">
        <v>24</v>
      </c>
      <c r="AI6" s="65" t="s">
        <v>272</v>
      </c>
      <c r="AJ6" s="78" t="s">
        <v>241</v>
      </c>
      <c r="AK6" s="66">
        <v>1000</v>
      </c>
      <c r="AL6" s="67"/>
      <c r="AM6" s="66">
        <f t="shared" si="0"/>
        <v>1000</v>
      </c>
    </row>
    <row r="7" spans="1:40" s="76" customFormat="1" ht="100.05" customHeight="1" x14ac:dyDescent="0.3">
      <c r="A7" s="97" t="s">
        <v>267</v>
      </c>
      <c r="B7" s="62">
        <v>430</v>
      </c>
      <c r="C7" s="64">
        <v>0.5</v>
      </c>
      <c r="D7" s="62">
        <v>290</v>
      </c>
      <c r="E7" s="91" t="s">
        <v>269</v>
      </c>
      <c r="F7" s="62" t="s">
        <v>24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86</v>
      </c>
      <c r="L7" s="66">
        <v>1300</v>
      </c>
      <c r="M7" s="67"/>
      <c r="N7" s="66">
        <f t="shared" si="1"/>
        <v>1300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250080</v>
      </c>
      <c r="AF7" s="62">
        <v>304</v>
      </c>
      <c r="AG7" s="64">
        <v>0.6</v>
      </c>
      <c r="AH7" s="67" t="s">
        <v>24</v>
      </c>
      <c r="AI7" s="65" t="s">
        <v>273</v>
      </c>
      <c r="AJ7" s="78" t="s">
        <v>241</v>
      </c>
      <c r="AK7" s="66">
        <v>1200</v>
      </c>
      <c r="AL7" s="67">
        <v>1250</v>
      </c>
      <c r="AM7" s="66">
        <f t="shared" si="0"/>
        <v>-50</v>
      </c>
    </row>
    <row r="8" spans="1:40" s="76" customFormat="1" ht="100.05" customHeight="1" x14ac:dyDescent="0.3">
      <c r="A8" s="97" t="s">
        <v>267</v>
      </c>
      <c r="B8" s="62">
        <v>430</v>
      </c>
      <c r="C8" s="64">
        <v>0.5</v>
      </c>
      <c r="D8" s="62">
        <v>350</v>
      </c>
      <c r="E8" s="91" t="s">
        <v>278</v>
      </c>
      <c r="F8" s="62" t="s">
        <v>24</v>
      </c>
      <c r="G8" s="62" t="s">
        <v>24</v>
      </c>
      <c r="H8" s="64" t="s">
        <v>24</v>
      </c>
      <c r="I8" s="62" t="s">
        <v>24</v>
      </c>
      <c r="J8" s="62" t="s">
        <v>24</v>
      </c>
      <c r="K8" s="62" t="s">
        <v>79</v>
      </c>
      <c r="L8" s="66">
        <v>1200</v>
      </c>
      <c r="M8" s="67"/>
      <c r="N8" s="66">
        <f>L8-M8</f>
        <v>1200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250079</v>
      </c>
      <c r="AF8" s="62">
        <v>304</v>
      </c>
      <c r="AG8" s="64">
        <v>0.6</v>
      </c>
      <c r="AH8" s="67" t="s">
        <v>24</v>
      </c>
      <c r="AI8" s="65" t="s">
        <v>274</v>
      </c>
      <c r="AJ8" s="78" t="s">
        <v>241</v>
      </c>
      <c r="AK8" s="66">
        <v>964</v>
      </c>
      <c r="AL8" s="67"/>
      <c r="AM8" s="66">
        <f t="shared" si="0"/>
        <v>964</v>
      </c>
    </row>
    <row r="9" spans="1:40" s="76" customFormat="1" ht="100.05" customHeight="1" x14ac:dyDescent="0.3">
      <c r="A9" s="97" t="s">
        <v>267</v>
      </c>
      <c r="B9" s="62">
        <v>430</v>
      </c>
      <c r="C9" s="64">
        <v>0.5</v>
      </c>
      <c r="D9" s="62">
        <v>315</v>
      </c>
      <c r="E9" s="91" t="s">
        <v>279</v>
      </c>
      <c r="F9" s="62" t="s">
        <v>24</v>
      </c>
      <c r="G9" s="62" t="s">
        <v>24</v>
      </c>
      <c r="H9" s="64" t="s">
        <v>24</v>
      </c>
      <c r="I9" s="62" t="s">
        <v>24</v>
      </c>
      <c r="J9" s="62" t="s">
        <v>24</v>
      </c>
      <c r="K9" s="62" t="s">
        <v>86</v>
      </c>
      <c r="L9" s="66">
        <v>1200</v>
      </c>
      <c r="M9" s="67"/>
      <c r="N9" s="66">
        <f t="shared" ref="N9:N13" si="3">L9-M9</f>
        <v>1200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>
        <v>250079</v>
      </c>
      <c r="AF9" s="62">
        <v>304</v>
      </c>
      <c r="AG9" s="64">
        <v>0.6</v>
      </c>
      <c r="AH9" s="67" t="s">
        <v>24</v>
      </c>
      <c r="AI9" s="65" t="s">
        <v>276</v>
      </c>
      <c r="AJ9" s="78" t="s">
        <v>241</v>
      </c>
      <c r="AK9" s="66">
        <v>1314</v>
      </c>
      <c r="AL9" s="67"/>
      <c r="AM9" s="66">
        <f t="shared" si="0"/>
        <v>1314</v>
      </c>
    </row>
    <row r="10" spans="1:40" s="76" customFormat="1" ht="100.05" customHeight="1" x14ac:dyDescent="0.3">
      <c r="A10" s="97">
        <v>250078</v>
      </c>
      <c r="B10" s="62">
        <v>304</v>
      </c>
      <c r="C10" s="64">
        <v>0.7</v>
      </c>
      <c r="D10" s="62">
        <v>582</v>
      </c>
      <c r="E10" s="91" t="s">
        <v>280</v>
      </c>
      <c r="F10" s="62" t="s">
        <v>181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79</v>
      </c>
      <c r="L10" s="66">
        <v>790</v>
      </c>
      <c r="M10" s="67"/>
      <c r="N10" s="66">
        <f t="shared" si="3"/>
        <v>790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>
        <v>250079</v>
      </c>
      <c r="AF10" s="62">
        <v>304</v>
      </c>
      <c r="AG10" s="64">
        <v>0.6</v>
      </c>
      <c r="AH10" s="67" t="s">
        <v>24</v>
      </c>
      <c r="AI10" s="65" t="s">
        <v>277</v>
      </c>
      <c r="AJ10" s="78" t="s">
        <v>241</v>
      </c>
      <c r="AK10" s="66">
        <v>964</v>
      </c>
      <c r="AL10" s="67"/>
      <c r="AM10" s="66">
        <f t="shared" si="0"/>
        <v>964</v>
      </c>
    </row>
    <row r="11" spans="1:40" s="76" customFormat="1" ht="100.05" customHeight="1" x14ac:dyDescent="0.3">
      <c r="A11" s="97">
        <v>250080</v>
      </c>
      <c r="B11" s="62">
        <v>304</v>
      </c>
      <c r="C11" s="64">
        <v>0.6</v>
      </c>
      <c r="D11" s="62">
        <v>520</v>
      </c>
      <c r="E11" s="91" t="s">
        <v>282</v>
      </c>
      <c r="F11" s="62" t="s">
        <v>222</v>
      </c>
      <c r="G11" s="62">
        <v>430</v>
      </c>
      <c r="H11" s="64">
        <v>0.6</v>
      </c>
      <c r="I11" s="62" t="s">
        <v>24</v>
      </c>
      <c r="J11" s="62" t="s">
        <v>24</v>
      </c>
      <c r="K11" s="62" t="s">
        <v>86</v>
      </c>
      <c r="L11" s="66">
        <v>500</v>
      </c>
      <c r="M11" s="67">
        <f>350+150</f>
        <v>500</v>
      </c>
      <c r="N11" s="66">
        <f t="shared" si="3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97">
        <v>250080</v>
      </c>
      <c r="B12" s="62">
        <v>304</v>
      </c>
      <c r="C12" s="64">
        <v>0.6</v>
      </c>
      <c r="D12" s="62">
        <v>457</v>
      </c>
      <c r="E12" s="91" t="s">
        <v>283</v>
      </c>
      <c r="F12" s="62" t="s">
        <v>24</v>
      </c>
      <c r="G12" s="62" t="s">
        <v>24</v>
      </c>
      <c r="H12" s="64" t="s">
        <v>24</v>
      </c>
      <c r="I12" s="62" t="s">
        <v>24</v>
      </c>
      <c r="J12" s="62" t="s">
        <v>24</v>
      </c>
      <c r="K12" s="62" t="s">
        <v>284</v>
      </c>
      <c r="L12" s="66">
        <v>500</v>
      </c>
      <c r="M12" s="67">
        <v>500</v>
      </c>
      <c r="N12" s="66">
        <f t="shared" si="3"/>
        <v>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6" customFormat="1" ht="100.05" customHeight="1" x14ac:dyDescent="0.3">
      <c r="A13" s="97"/>
      <c r="B13" s="62"/>
      <c r="C13" s="64"/>
      <c r="D13" s="62"/>
      <c r="E13" s="65"/>
      <c r="F13" s="62"/>
      <c r="G13" s="62"/>
      <c r="H13" s="64"/>
      <c r="I13" s="62"/>
      <c r="J13" s="62"/>
      <c r="K13" s="62"/>
      <c r="L13" s="62"/>
      <c r="M13" s="67"/>
      <c r="N13" s="66">
        <f t="shared" si="3"/>
        <v>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2"/>
      <c r="AB13" s="67"/>
      <c r="AC13" s="66">
        <f t="shared" si="2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40" s="76" customFormat="1" ht="100.05" customHeight="1" x14ac:dyDescent="0.3">
      <c r="A14" s="68"/>
      <c r="B14" s="68"/>
      <c r="C14" s="69"/>
      <c r="D14" s="68"/>
      <c r="E14" s="70"/>
      <c r="F14" s="68"/>
      <c r="G14" s="68"/>
      <c r="H14" s="69"/>
      <c r="I14" s="68"/>
      <c r="J14" s="68"/>
      <c r="K14" s="68"/>
      <c r="L14" s="66">
        <f>SUM(L4:L13)</f>
        <v>7850</v>
      </c>
      <c r="M14" s="71">
        <f>SUM(M4:M13)</f>
        <v>1800</v>
      </c>
      <c r="N14" s="66">
        <f>SUM(N4:N13)</f>
        <v>6050</v>
      </c>
      <c r="P14" s="68"/>
      <c r="Q14" s="68"/>
      <c r="R14" s="69"/>
      <c r="S14" s="68"/>
      <c r="T14" s="70"/>
      <c r="U14" s="68"/>
      <c r="V14" s="68"/>
      <c r="W14" s="69"/>
      <c r="X14" s="68"/>
      <c r="Y14" s="68"/>
      <c r="Z14" s="68"/>
      <c r="AA14" s="66">
        <f>AA4+AA6+AA7+AA8+AA13</f>
        <v>5300</v>
      </c>
      <c r="AB14" s="71">
        <f>SUM(AB4:AB13)</f>
        <v>1800</v>
      </c>
      <c r="AC14" s="66">
        <f>SUM(AC4:AC13)</f>
        <v>3500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40" s="75" customFormat="1" ht="100.05" customHeight="1" x14ac:dyDescent="0.3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6"/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  <c r="AN15" s="76"/>
    </row>
    <row r="16" spans="1:40" s="75" customFormat="1" ht="100.05" customHeight="1" x14ac:dyDescent="0.3">
      <c r="A16" s="109" t="s">
        <v>101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1"/>
      <c r="P16" s="109" t="s">
        <v>99</v>
      </c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1"/>
      <c r="AD16" s="76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6"/>
    </row>
    <row r="17" spans="1:40" s="75" customFormat="1" ht="145.80000000000001" x14ac:dyDescent="0.3">
      <c r="A17" s="81" t="s">
        <v>0</v>
      </c>
      <c r="B17" s="81" t="s">
        <v>9</v>
      </c>
      <c r="C17" s="82" t="s">
        <v>11</v>
      </c>
      <c r="D17" s="81" t="s">
        <v>2</v>
      </c>
      <c r="E17" s="81" t="s">
        <v>1</v>
      </c>
      <c r="F17" s="81" t="s">
        <v>14</v>
      </c>
      <c r="G17" s="81" t="s">
        <v>8</v>
      </c>
      <c r="H17" s="82" t="s">
        <v>10</v>
      </c>
      <c r="I17" s="82" t="s">
        <v>12</v>
      </c>
      <c r="J17" s="82" t="s">
        <v>13</v>
      </c>
      <c r="K17" s="81" t="s">
        <v>3</v>
      </c>
      <c r="L17" s="81" t="s">
        <v>7</v>
      </c>
      <c r="M17" s="81" t="s">
        <v>5</v>
      </c>
      <c r="N17" s="81" t="s">
        <v>6</v>
      </c>
      <c r="P17" s="81" t="s">
        <v>0</v>
      </c>
      <c r="Q17" s="81" t="s">
        <v>9</v>
      </c>
      <c r="R17" s="82" t="s">
        <v>11</v>
      </c>
      <c r="S17" s="81" t="s">
        <v>2</v>
      </c>
      <c r="T17" s="81" t="s">
        <v>1</v>
      </c>
      <c r="U17" s="81" t="s">
        <v>14</v>
      </c>
      <c r="V17" s="81" t="s">
        <v>8</v>
      </c>
      <c r="W17" s="82" t="s">
        <v>10</v>
      </c>
      <c r="X17" s="82" t="s">
        <v>12</v>
      </c>
      <c r="Y17" s="82" t="s">
        <v>13</v>
      </c>
      <c r="Z17" s="81" t="s">
        <v>3</v>
      </c>
      <c r="AA17" s="81" t="s">
        <v>7</v>
      </c>
      <c r="AB17" s="81" t="s">
        <v>5</v>
      </c>
      <c r="AC17" s="81" t="s">
        <v>6</v>
      </c>
      <c r="AD17" s="76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6"/>
    </row>
    <row r="18" spans="1:40" s="76" customFormat="1" ht="100.05" customHeight="1" x14ac:dyDescent="0.3">
      <c r="A18" s="97">
        <v>21025</v>
      </c>
      <c r="B18" s="97">
        <v>304</v>
      </c>
      <c r="C18" s="64">
        <v>0.6</v>
      </c>
      <c r="D18" s="62">
        <v>234</v>
      </c>
      <c r="E18" s="91" t="s">
        <v>249</v>
      </c>
      <c r="F18" s="62" t="s">
        <v>121</v>
      </c>
      <c r="G18" s="62">
        <v>430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1000</v>
      </c>
      <c r="M18" s="67"/>
      <c r="N18" s="66">
        <f t="shared" ref="N18" si="4">L18-M18</f>
        <v>1000</v>
      </c>
      <c r="P18" s="62">
        <v>250079</v>
      </c>
      <c r="Q18" s="62">
        <v>304</v>
      </c>
      <c r="R18" s="64">
        <v>0.7</v>
      </c>
      <c r="S18" s="62">
        <v>324</v>
      </c>
      <c r="T18" s="65" t="s">
        <v>261</v>
      </c>
      <c r="U18" s="62" t="s">
        <v>23</v>
      </c>
      <c r="V18" s="62">
        <v>304</v>
      </c>
      <c r="W18" s="64">
        <v>0.6</v>
      </c>
      <c r="X18" s="62" t="s">
        <v>24</v>
      </c>
      <c r="Y18" s="62" t="s">
        <v>24</v>
      </c>
      <c r="Z18" s="62" t="s">
        <v>74</v>
      </c>
      <c r="AA18" s="66">
        <v>964</v>
      </c>
      <c r="AB18" s="67"/>
      <c r="AC18" s="66">
        <f t="shared" ref="AC18:AC27" si="5">AA18-AB18</f>
        <v>964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97">
        <v>250078</v>
      </c>
      <c r="B19" s="97">
        <v>304</v>
      </c>
      <c r="C19" s="64">
        <v>0.7</v>
      </c>
      <c r="D19" s="62">
        <v>435</v>
      </c>
      <c r="E19" s="91" t="s">
        <v>286</v>
      </c>
      <c r="F19" s="62" t="s">
        <v>181</v>
      </c>
      <c r="G19" s="62">
        <v>304</v>
      </c>
      <c r="H19" s="64">
        <v>0.6</v>
      </c>
      <c r="I19" s="62" t="s">
        <v>24</v>
      </c>
      <c r="J19" s="62" t="s">
        <v>24</v>
      </c>
      <c r="K19" s="62" t="s">
        <v>79</v>
      </c>
      <c r="L19" s="66">
        <v>790</v>
      </c>
      <c r="M19" s="67"/>
      <c r="N19" s="66">
        <f>L19-M19</f>
        <v>790</v>
      </c>
      <c r="P19" s="62">
        <v>250079</v>
      </c>
      <c r="Q19" s="62">
        <v>304</v>
      </c>
      <c r="R19" s="64">
        <v>0.7</v>
      </c>
      <c r="S19" s="62">
        <v>324</v>
      </c>
      <c r="T19" s="93" t="s">
        <v>262</v>
      </c>
      <c r="U19" s="62" t="s">
        <v>23</v>
      </c>
      <c r="V19" s="62">
        <v>304</v>
      </c>
      <c r="W19" s="64">
        <v>0.6</v>
      </c>
      <c r="X19" s="62" t="s">
        <v>24</v>
      </c>
      <c r="Y19" s="62" t="s">
        <v>24</v>
      </c>
      <c r="Z19" s="62" t="s">
        <v>74</v>
      </c>
      <c r="AA19" s="66">
        <v>36</v>
      </c>
      <c r="AB19" s="67"/>
      <c r="AC19" s="66">
        <f t="shared" si="5"/>
        <v>36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100.05" customHeight="1" x14ac:dyDescent="0.3">
      <c r="A20" s="97">
        <v>250080</v>
      </c>
      <c r="B20" s="97">
        <v>304</v>
      </c>
      <c r="C20" s="64">
        <v>0.6</v>
      </c>
      <c r="D20" s="62">
        <v>435</v>
      </c>
      <c r="E20" s="86" t="s">
        <v>287</v>
      </c>
      <c r="F20" s="62" t="s">
        <v>181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79</v>
      </c>
      <c r="L20" s="66">
        <v>300</v>
      </c>
      <c r="M20" s="67"/>
      <c r="N20" s="90">
        <f t="shared" ref="N20:N28" si="6">L20-M20</f>
        <v>300</v>
      </c>
      <c r="P20" s="62">
        <v>250079</v>
      </c>
      <c r="Q20" s="62">
        <v>304</v>
      </c>
      <c r="R20" s="64">
        <v>0.7</v>
      </c>
      <c r="S20" s="62">
        <v>307</v>
      </c>
      <c r="T20" s="93" t="s">
        <v>264</v>
      </c>
      <c r="U20" s="62" t="s">
        <v>23</v>
      </c>
      <c r="V20" s="62">
        <v>304</v>
      </c>
      <c r="W20" s="64">
        <v>0.6</v>
      </c>
      <c r="X20" s="62" t="s">
        <v>24</v>
      </c>
      <c r="Y20" s="62" t="s">
        <v>24</v>
      </c>
      <c r="Z20" s="62" t="s">
        <v>74</v>
      </c>
      <c r="AA20" s="66">
        <v>1314</v>
      </c>
      <c r="AB20" s="67"/>
      <c r="AC20" s="66">
        <f t="shared" si="5"/>
        <v>1314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>
        <v>250080</v>
      </c>
      <c r="B21" s="97">
        <v>304</v>
      </c>
      <c r="C21" s="64">
        <v>0.6</v>
      </c>
      <c r="D21" s="62">
        <v>405</v>
      </c>
      <c r="E21" s="86" t="s">
        <v>289</v>
      </c>
      <c r="F21" s="62" t="s">
        <v>24</v>
      </c>
      <c r="G21" s="62" t="s">
        <v>24</v>
      </c>
      <c r="H21" s="64" t="s">
        <v>24</v>
      </c>
      <c r="I21" s="62" t="s">
        <v>24</v>
      </c>
      <c r="J21" s="62" t="s">
        <v>24</v>
      </c>
      <c r="K21" s="62" t="s">
        <v>86</v>
      </c>
      <c r="L21" s="66">
        <v>500</v>
      </c>
      <c r="M21" s="67">
        <v>500</v>
      </c>
      <c r="N21" s="66">
        <f t="shared" si="6"/>
        <v>0</v>
      </c>
      <c r="P21" s="62">
        <v>250079</v>
      </c>
      <c r="Q21" s="62">
        <v>304</v>
      </c>
      <c r="R21" s="64">
        <v>0.7</v>
      </c>
      <c r="S21" s="62">
        <v>307</v>
      </c>
      <c r="T21" s="93" t="s">
        <v>263</v>
      </c>
      <c r="U21" s="62" t="s">
        <v>23</v>
      </c>
      <c r="V21" s="62">
        <v>304</v>
      </c>
      <c r="W21" s="64">
        <v>0.6</v>
      </c>
      <c r="X21" s="62" t="s">
        <v>24</v>
      </c>
      <c r="Y21" s="62" t="s">
        <v>24</v>
      </c>
      <c r="Z21" s="62" t="s">
        <v>74</v>
      </c>
      <c r="AA21" s="66">
        <v>36</v>
      </c>
      <c r="AB21" s="67"/>
      <c r="AC21" s="66">
        <f t="shared" si="5"/>
        <v>36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>
        <v>250078</v>
      </c>
      <c r="B22" s="97">
        <v>304</v>
      </c>
      <c r="C22" s="64">
        <v>0.7</v>
      </c>
      <c r="D22" s="62">
        <v>385</v>
      </c>
      <c r="E22" s="91" t="s">
        <v>290</v>
      </c>
      <c r="F22" s="62" t="s">
        <v>181</v>
      </c>
      <c r="G22" s="62">
        <v>304</v>
      </c>
      <c r="H22" s="64">
        <v>0.6</v>
      </c>
      <c r="I22" s="62" t="s">
        <v>24</v>
      </c>
      <c r="J22" s="62" t="s">
        <v>24</v>
      </c>
      <c r="K22" s="62" t="s">
        <v>79</v>
      </c>
      <c r="L22" s="66">
        <v>790</v>
      </c>
      <c r="M22" s="67"/>
      <c r="N22" s="66">
        <f t="shared" si="6"/>
        <v>790</v>
      </c>
      <c r="P22" s="62">
        <v>250080</v>
      </c>
      <c r="Q22" s="62">
        <v>304</v>
      </c>
      <c r="R22" s="64">
        <v>0.7</v>
      </c>
      <c r="S22" s="62">
        <v>307</v>
      </c>
      <c r="T22" s="93" t="s">
        <v>270</v>
      </c>
      <c r="U22" s="62" t="s">
        <v>23</v>
      </c>
      <c r="V22" s="62">
        <v>430</v>
      </c>
      <c r="W22" s="64">
        <v>0.6</v>
      </c>
      <c r="X22" s="62" t="s">
        <v>24</v>
      </c>
      <c r="Y22" s="62" t="s">
        <v>24</v>
      </c>
      <c r="Z22" s="62" t="s">
        <v>74</v>
      </c>
      <c r="AA22" s="66">
        <v>1000</v>
      </c>
      <c r="AB22" s="67"/>
      <c r="AC22" s="66">
        <f t="shared" si="5"/>
        <v>1000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>
        <v>250078</v>
      </c>
      <c r="B23" s="97">
        <v>304</v>
      </c>
      <c r="C23" s="64">
        <v>0.7</v>
      </c>
      <c r="D23" s="62">
        <v>355</v>
      </c>
      <c r="E23" s="91" t="s">
        <v>291</v>
      </c>
      <c r="F23" s="62" t="s">
        <v>181</v>
      </c>
      <c r="G23" s="62">
        <v>304</v>
      </c>
      <c r="H23" s="64">
        <v>0.6</v>
      </c>
      <c r="I23" s="62" t="s">
        <v>24</v>
      </c>
      <c r="J23" s="62" t="s">
        <v>24</v>
      </c>
      <c r="K23" s="62" t="s">
        <v>79</v>
      </c>
      <c r="L23" s="66">
        <v>790</v>
      </c>
      <c r="M23" s="67">
        <v>795</v>
      </c>
      <c r="N23" s="66">
        <f t="shared" si="6"/>
        <v>-5</v>
      </c>
      <c r="P23" s="62">
        <v>250079</v>
      </c>
      <c r="Q23" s="62">
        <v>304</v>
      </c>
      <c r="R23" s="64">
        <v>0.7</v>
      </c>
      <c r="S23" s="62">
        <v>265</v>
      </c>
      <c r="T23" s="93" t="s">
        <v>265</v>
      </c>
      <c r="U23" s="62" t="s">
        <v>23</v>
      </c>
      <c r="V23" s="62">
        <v>304</v>
      </c>
      <c r="W23" s="64">
        <v>0.6</v>
      </c>
      <c r="X23" s="62" t="s">
        <v>24</v>
      </c>
      <c r="Y23" s="62" t="s">
        <v>24</v>
      </c>
      <c r="Z23" s="62" t="s">
        <v>74</v>
      </c>
      <c r="AA23" s="66">
        <v>1314</v>
      </c>
      <c r="AB23" s="67"/>
      <c r="AC23" s="66">
        <f t="shared" si="5"/>
        <v>1314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>
        <v>250080</v>
      </c>
      <c r="B24" s="97">
        <v>304</v>
      </c>
      <c r="C24" s="64">
        <v>0.6</v>
      </c>
      <c r="D24" s="62">
        <v>355</v>
      </c>
      <c r="E24" s="91" t="s">
        <v>292</v>
      </c>
      <c r="F24" s="62" t="s">
        <v>181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79</v>
      </c>
      <c r="L24" s="66">
        <v>300</v>
      </c>
      <c r="M24" s="67">
        <v>305</v>
      </c>
      <c r="N24" s="66">
        <f t="shared" si="6"/>
        <v>-5</v>
      </c>
      <c r="P24" s="62">
        <v>250079</v>
      </c>
      <c r="Q24" s="62">
        <v>304</v>
      </c>
      <c r="R24" s="64">
        <v>0.7</v>
      </c>
      <c r="S24" s="62">
        <v>265</v>
      </c>
      <c r="T24" s="93" t="s">
        <v>266</v>
      </c>
      <c r="U24" s="62" t="s">
        <v>23</v>
      </c>
      <c r="V24" s="62">
        <v>304</v>
      </c>
      <c r="W24" s="64">
        <v>0.6</v>
      </c>
      <c r="X24" s="62" t="s">
        <v>24</v>
      </c>
      <c r="Y24" s="62" t="s">
        <v>24</v>
      </c>
      <c r="Z24" s="62" t="s">
        <v>74</v>
      </c>
      <c r="AA24" s="66">
        <v>36</v>
      </c>
      <c r="AB24" s="67"/>
      <c r="AC24" s="66">
        <f t="shared" si="5"/>
        <v>36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7">
        <v>250080</v>
      </c>
      <c r="B25" s="97">
        <v>304</v>
      </c>
      <c r="C25" s="64">
        <v>0.6</v>
      </c>
      <c r="D25" s="62">
        <v>370</v>
      </c>
      <c r="E25" s="91" t="s">
        <v>293</v>
      </c>
      <c r="F25" s="62" t="s">
        <v>222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500</v>
      </c>
      <c r="M25" s="67">
        <v>100</v>
      </c>
      <c r="N25" s="66">
        <f t="shared" si="6"/>
        <v>400</v>
      </c>
      <c r="P25" s="62">
        <v>250080</v>
      </c>
      <c r="Q25" s="62">
        <v>304</v>
      </c>
      <c r="R25" s="64">
        <v>0.7</v>
      </c>
      <c r="S25" s="62">
        <v>265</v>
      </c>
      <c r="T25" s="93" t="s">
        <v>271</v>
      </c>
      <c r="U25" s="62" t="s">
        <v>23</v>
      </c>
      <c r="V25" s="62">
        <v>430</v>
      </c>
      <c r="W25" s="64">
        <v>0.6</v>
      </c>
      <c r="X25" s="62" t="s">
        <v>24</v>
      </c>
      <c r="Y25" s="62" t="s">
        <v>24</v>
      </c>
      <c r="Z25" s="62" t="s">
        <v>74</v>
      </c>
      <c r="AA25" s="66">
        <v>1200</v>
      </c>
      <c r="AB25" s="67"/>
      <c r="AC25" s="66">
        <f t="shared" si="5"/>
        <v>1200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7">
        <v>250080</v>
      </c>
      <c r="B26" s="97">
        <v>304</v>
      </c>
      <c r="C26" s="64">
        <v>0.6</v>
      </c>
      <c r="D26" s="62">
        <v>345</v>
      </c>
      <c r="E26" s="91" t="s">
        <v>294</v>
      </c>
      <c r="F26" s="62" t="s">
        <v>24</v>
      </c>
      <c r="G26" s="62" t="s">
        <v>24</v>
      </c>
      <c r="H26" s="64" t="s">
        <v>24</v>
      </c>
      <c r="I26" s="62" t="s">
        <v>24</v>
      </c>
      <c r="J26" s="62" t="s">
        <v>24</v>
      </c>
      <c r="K26" s="62" t="s">
        <v>86</v>
      </c>
      <c r="L26" s="66">
        <v>500</v>
      </c>
      <c r="M26" s="67"/>
      <c r="N26" s="66">
        <f>L26-M26</f>
        <v>500</v>
      </c>
      <c r="P26" s="62"/>
      <c r="Q26" s="62"/>
      <c r="R26" s="64"/>
      <c r="S26" s="62"/>
      <c r="T26" s="65"/>
      <c r="U26" s="62"/>
      <c r="V26" s="62"/>
      <c r="W26" s="64"/>
      <c r="X26" s="62"/>
      <c r="Y26" s="62"/>
      <c r="Z26" s="62"/>
      <c r="AA26" s="66"/>
      <c r="AB26" s="67"/>
      <c r="AC26" s="66">
        <f t="shared" si="5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7">
        <v>250049</v>
      </c>
      <c r="B27" s="97">
        <v>304</v>
      </c>
      <c r="C27" s="64">
        <v>0.6</v>
      </c>
      <c r="D27" s="62"/>
      <c r="E27" s="91" t="s">
        <v>296</v>
      </c>
      <c r="F27" s="62" t="s">
        <v>42</v>
      </c>
      <c r="G27" s="62" t="s">
        <v>24</v>
      </c>
      <c r="H27" s="64" t="s">
        <v>24</v>
      </c>
      <c r="I27" s="62" t="s">
        <v>24</v>
      </c>
      <c r="J27" s="62" t="s">
        <v>24</v>
      </c>
      <c r="K27" s="62" t="s">
        <v>86</v>
      </c>
      <c r="L27" s="66">
        <v>450</v>
      </c>
      <c r="M27" s="67"/>
      <c r="N27" s="66">
        <f t="shared" ref="N27" si="7">L27-M27</f>
        <v>450</v>
      </c>
      <c r="P27" s="62"/>
      <c r="Q27" s="62"/>
      <c r="R27" s="64"/>
      <c r="S27" s="62"/>
      <c r="T27" s="65"/>
      <c r="U27" s="62"/>
      <c r="V27" s="62"/>
      <c r="W27" s="64"/>
      <c r="X27" s="62"/>
      <c r="Y27" s="62"/>
      <c r="Z27" s="62"/>
      <c r="AA27" s="66"/>
      <c r="AB27" s="67"/>
      <c r="AC27" s="66">
        <f t="shared" si="5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/>
      <c r="AN27" s="75"/>
    </row>
    <row r="28" spans="1:40" s="76" customFormat="1" ht="100.05" customHeight="1" x14ac:dyDescent="0.3">
      <c r="A28" s="97"/>
      <c r="B28" s="97"/>
      <c r="C28" s="64"/>
      <c r="D28" s="62"/>
      <c r="E28" s="65"/>
      <c r="F28" s="62"/>
      <c r="G28" s="62"/>
      <c r="H28" s="64"/>
      <c r="I28" s="62"/>
      <c r="J28" s="62"/>
      <c r="K28" s="62"/>
      <c r="L28" s="62"/>
      <c r="M28" s="67"/>
      <c r="N28" s="66">
        <f t="shared" si="6"/>
        <v>0</v>
      </c>
      <c r="P28" s="68"/>
      <c r="Q28" s="68"/>
      <c r="R28" s="69"/>
      <c r="S28" s="68"/>
      <c r="T28" s="70"/>
      <c r="U28" s="68"/>
      <c r="V28" s="68"/>
      <c r="W28" s="69"/>
      <c r="X28" s="68"/>
      <c r="Y28" s="68"/>
      <c r="Z28" s="68"/>
      <c r="AA28" s="66">
        <f>SUM(AA18:AA26)</f>
        <v>5900</v>
      </c>
      <c r="AB28" s="71">
        <f>SUM(AB18:AB26)</f>
        <v>0</v>
      </c>
      <c r="AC28" s="66">
        <f>SUM(AC18:AC25)</f>
        <v>5900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8"/>
      <c r="B29" s="98"/>
      <c r="C29" s="69"/>
      <c r="D29" s="68"/>
      <c r="E29" s="70"/>
      <c r="F29" s="68"/>
      <c r="G29" s="68"/>
      <c r="H29" s="69"/>
      <c r="I29" s="68"/>
      <c r="J29" s="68"/>
      <c r="K29" s="68"/>
      <c r="L29" s="66">
        <f>SUM(L18:L28)</f>
        <v>5920</v>
      </c>
      <c r="M29" s="71">
        <f>SUM(M18:M28)</f>
        <v>1700</v>
      </c>
      <c r="N29" s="66">
        <f>SUM(N18:N28)</f>
        <v>4220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68"/>
      <c r="AF29" s="68"/>
      <c r="AG29" s="69"/>
      <c r="AH29" s="68"/>
      <c r="AI29" s="70"/>
      <c r="AJ29" s="80"/>
      <c r="AK29" s="66">
        <f>SUM(AK4:AK28)</f>
        <v>11282</v>
      </c>
      <c r="AL29" s="71">
        <f>SUM(AL4:AL28)</f>
        <v>7300</v>
      </c>
      <c r="AM29" s="66">
        <f>SUM(AM4:AM28)</f>
        <v>3982</v>
      </c>
      <c r="AN29" s="75"/>
    </row>
    <row r="30" spans="1:40" s="75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E30" s="79"/>
      <c r="AF30" s="79"/>
      <c r="AG30" s="79"/>
      <c r="AH30" s="79"/>
      <c r="AI30" s="79"/>
      <c r="AJ30" s="79"/>
      <c r="AK30" s="79"/>
      <c r="AL30" s="79"/>
      <c r="AM30" s="79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</sheetData>
  <mergeCells count="11">
    <mergeCell ref="A2:N2"/>
    <mergeCell ref="P2:AC2"/>
    <mergeCell ref="AE2:AM2"/>
    <mergeCell ref="A16:N16"/>
    <mergeCell ref="P16:AC16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1"/>
  <sheetViews>
    <sheetView zoomScale="25" zoomScaleNormal="25" workbookViewId="0">
      <selection activeCell="P2" sqref="P2:AC2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45954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45954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>
        <v>250057</v>
      </c>
      <c r="B4" s="62">
        <v>304</v>
      </c>
      <c r="C4" s="64">
        <v>0.7</v>
      </c>
      <c r="D4" s="62">
        <v>543</v>
      </c>
      <c r="E4" s="91" t="s">
        <v>237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212</v>
      </c>
      <c r="L4" s="66">
        <v>410</v>
      </c>
      <c r="M4" s="67"/>
      <c r="N4" s="66">
        <f>L4-M4</f>
        <v>410</v>
      </c>
      <c r="P4" s="62">
        <v>230925</v>
      </c>
      <c r="Q4" s="62">
        <v>430</v>
      </c>
      <c r="R4" s="64">
        <v>0.8</v>
      </c>
      <c r="S4" s="62">
        <v>425</v>
      </c>
      <c r="T4" s="65" t="s">
        <v>239</v>
      </c>
      <c r="U4" s="62" t="s">
        <v>24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5300</v>
      </c>
      <c r="AB4" s="67">
        <f>1800+1700</f>
        <v>3500</v>
      </c>
      <c r="AC4" s="66">
        <f>AA4-AB4</f>
        <v>1800</v>
      </c>
      <c r="AE4" s="62">
        <v>250080</v>
      </c>
      <c r="AF4" s="62">
        <v>304</v>
      </c>
      <c r="AG4" s="64">
        <v>0.6</v>
      </c>
      <c r="AH4" s="67" t="s">
        <v>24</v>
      </c>
      <c r="AI4" s="65" t="s">
        <v>272</v>
      </c>
      <c r="AJ4" s="78" t="s">
        <v>241</v>
      </c>
      <c r="AK4" s="66">
        <v>1000</v>
      </c>
      <c r="AL4" s="67"/>
      <c r="AM4" s="66">
        <f t="shared" ref="AM4:AM24" si="0">AK4-AL4</f>
        <v>1000</v>
      </c>
    </row>
    <row r="5" spans="1:40" s="76" customFormat="1" ht="100.05" customHeight="1" x14ac:dyDescent="0.3">
      <c r="A5" s="97" t="s">
        <v>267</v>
      </c>
      <c r="B5" s="62">
        <v>430</v>
      </c>
      <c r="C5" s="64">
        <v>0.5</v>
      </c>
      <c r="D5" s="62">
        <v>475</v>
      </c>
      <c r="E5" s="91" t="s">
        <v>268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79</v>
      </c>
      <c r="L5" s="66">
        <v>1200</v>
      </c>
      <c r="M5" s="67"/>
      <c r="N5" s="66">
        <f t="shared" ref="N5:N7" si="1">L5-M5</f>
        <v>1200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250080</v>
      </c>
      <c r="AF5" s="62">
        <v>304</v>
      </c>
      <c r="AG5" s="64">
        <v>0.6</v>
      </c>
      <c r="AH5" s="67" t="s">
        <v>24</v>
      </c>
      <c r="AI5" s="65" t="s">
        <v>273</v>
      </c>
      <c r="AJ5" s="78" t="s">
        <v>241</v>
      </c>
      <c r="AK5" s="66">
        <v>1200</v>
      </c>
      <c r="AL5" s="67">
        <v>1250</v>
      </c>
      <c r="AM5" s="66">
        <f t="shared" si="0"/>
        <v>-50</v>
      </c>
    </row>
    <row r="6" spans="1:40" s="76" customFormat="1" ht="100.05" customHeight="1" x14ac:dyDescent="0.3">
      <c r="A6" s="97" t="s">
        <v>267</v>
      </c>
      <c r="B6" s="62">
        <v>430</v>
      </c>
      <c r="C6" s="64">
        <v>0.5</v>
      </c>
      <c r="D6" s="62">
        <v>290</v>
      </c>
      <c r="E6" s="91" t="s">
        <v>269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86</v>
      </c>
      <c r="L6" s="66">
        <v>1300</v>
      </c>
      <c r="M6" s="67"/>
      <c r="N6" s="66">
        <f t="shared" si="1"/>
        <v>1300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0" si="2">AA6-AB6</f>
        <v>0</v>
      </c>
      <c r="AE6" s="62">
        <v>250079</v>
      </c>
      <c r="AF6" s="62">
        <v>304</v>
      </c>
      <c r="AG6" s="64">
        <v>0.6</v>
      </c>
      <c r="AH6" s="67" t="s">
        <v>24</v>
      </c>
      <c r="AI6" s="65" t="s">
        <v>274</v>
      </c>
      <c r="AJ6" s="78" t="s">
        <v>241</v>
      </c>
      <c r="AK6" s="66">
        <v>964</v>
      </c>
      <c r="AL6" s="67"/>
      <c r="AM6" s="66">
        <f t="shared" si="0"/>
        <v>964</v>
      </c>
    </row>
    <row r="7" spans="1:40" s="76" customFormat="1" ht="100.05" customHeight="1" x14ac:dyDescent="0.3">
      <c r="A7" s="97" t="s">
        <v>267</v>
      </c>
      <c r="B7" s="62">
        <v>430</v>
      </c>
      <c r="C7" s="64">
        <v>0.5</v>
      </c>
      <c r="D7" s="62">
        <v>350</v>
      </c>
      <c r="E7" s="91" t="s">
        <v>278</v>
      </c>
      <c r="F7" s="62" t="s">
        <v>24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79</v>
      </c>
      <c r="L7" s="66">
        <v>1200</v>
      </c>
      <c r="M7" s="67"/>
      <c r="N7" s="66">
        <f t="shared" si="1"/>
        <v>1200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250079</v>
      </c>
      <c r="AF7" s="62">
        <v>304</v>
      </c>
      <c r="AG7" s="64">
        <v>0.6</v>
      </c>
      <c r="AH7" s="67" t="s">
        <v>24</v>
      </c>
      <c r="AI7" s="65" t="s">
        <v>297</v>
      </c>
      <c r="AJ7" s="78" t="s">
        <v>241</v>
      </c>
      <c r="AK7" s="66">
        <v>1314</v>
      </c>
      <c r="AL7" s="67"/>
      <c r="AM7" s="66">
        <f t="shared" si="0"/>
        <v>1314</v>
      </c>
    </row>
    <row r="8" spans="1:40" s="76" customFormat="1" ht="100.05" customHeight="1" x14ac:dyDescent="0.3">
      <c r="A8" s="97" t="s">
        <v>267</v>
      </c>
      <c r="B8" s="62">
        <v>430</v>
      </c>
      <c r="C8" s="64">
        <v>0.5</v>
      </c>
      <c r="D8" s="62">
        <v>315</v>
      </c>
      <c r="E8" s="91" t="s">
        <v>279</v>
      </c>
      <c r="F8" s="62" t="s">
        <v>24</v>
      </c>
      <c r="G8" s="62" t="s">
        <v>24</v>
      </c>
      <c r="H8" s="64" t="s">
        <v>24</v>
      </c>
      <c r="I8" s="62" t="s">
        <v>24</v>
      </c>
      <c r="J8" s="62" t="s">
        <v>24</v>
      </c>
      <c r="K8" s="62" t="s">
        <v>86</v>
      </c>
      <c r="L8" s="66">
        <v>1200</v>
      </c>
      <c r="M8" s="67"/>
      <c r="N8" s="66">
        <f>L8-M8</f>
        <v>1200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250079</v>
      </c>
      <c r="AF8" s="62">
        <v>304</v>
      </c>
      <c r="AG8" s="64">
        <v>0.6</v>
      </c>
      <c r="AH8" s="67" t="s">
        <v>24</v>
      </c>
      <c r="AI8" s="65" t="s">
        <v>276</v>
      </c>
      <c r="AJ8" s="78" t="s">
        <v>241</v>
      </c>
      <c r="AK8" s="66">
        <v>1314</v>
      </c>
      <c r="AL8" s="67">
        <v>1250</v>
      </c>
      <c r="AM8" s="66">
        <f t="shared" si="0"/>
        <v>64</v>
      </c>
    </row>
    <row r="9" spans="1:40" s="76" customFormat="1" ht="100.05" customHeight="1" x14ac:dyDescent="0.3">
      <c r="A9" s="97">
        <v>250078</v>
      </c>
      <c r="B9" s="62">
        <v>304</v>
      </c>
      <c r="C9" s="64">
        <v>0.7</v>
      </c>
      <c r="D9" s="62">
        <v>582</v>
      </c>
      <c r="E9" s="91" t="s">
        <v>280</v>
      </c>
      <c r="F9" s="62" t="s">
        <v>181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790</v>
      </c>
      <c r="M9" s="67"/>
      <c r="N9" s="66">
        <f t="shared" ref="N9:N10" si="3">L9-M9</f>
        <v>790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>
        <v>250079</v>
      </c>
      <c r="AF9" s="62">
        <v>304</v>
      </c>
      <c r="AG9" s="64">
        <v>0.6</v>
      </c>
      <c r="AH9" s="67" t="s">
        <v>24</v>
      </c>
      <c r="AI9" s="65" t="s">
        <v>277</v>
      </c>
      <c r="AJ9" s="78" t="s">
        <v>241</v>
      </c>
      <c r="AK9" s="66">
        <v>964</v>
      </c>
      <c r="AL9" s="67"/>
      <c r="AM9" s="66">
        <f t="shared" si="0"/>
        <v>964</v>
      </c>
    </row>
    <row r="10" spans="1:40" s="76" customFormat="1" ht="100.05" customHeight="1" x14ac:dyDescent="0.3">
      <c r="A10" s="97"/>
      <c r="B10" s="62"/>
      <c r="C10" s="64"/>
      <c r="D10" s="62"/>
      <c r="E10" s="65"/>
      <c r="F10" s="62"/>
      <c r="G10" s="62"/>
      <c r="H10" s="64"/>
      <c r="I10" s="62"/>
      <c r="J10" s="62"/>
      <c r="K10" s="62"/>
      <c r="L10" s="62"/>
      <c r="M10" s="67"/>
      <c r="N10" s="66">
        <f t="shared" si="3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2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68"/>
      <c r="B11" s="68"/>
      <c r="C11" s="69"/>
      <c r="D11" s="68"/>
      <c r="E11" s="70"/>
      <c r="F11" s="68"/>
      <c r="G11" s="68"/>
      <c r="H11" s="69"/>
      <c r="I11" s="68"/>
      <c r="J11" s="68"/>
      <c r="K11" s="68"/>
      <c r="L11" s="66">
        <f>SUM(L4:L10)</f>
        <v>6100</v>
      </c>
      <c r="M11" s="71">
        <f>SUM(M4:M10)</f>
        <v>0</v>
      </c>
      <c r="N11" s="66">
        <f>SUM(N4:N10)</f>
        <v>6100</v>
      </c>
      <c r="P11" s="68"/>
      <c r="Q11" s="68"/>
      <c r="R11" s="69"/>
      <c r="S11" s="68"/>
      <c r="T11" s="70"/>
      <c r="U11" s="68"/>
      <c r="V11" s="68"/>
      <c r="W11" s="69"/>
      <c r="X11" s="68"/>
      <c r="Y11" s="68"/>
      <c r="Z11" s="68"/>
      <c r="AA11" s="66">
        <f>AA4+AA6+AA7+AA8+AA10</f>
        <v>5300</v>
      </c>
      <c r="AB11" s="71">
        <f>SUM(AB4:AB10)</f>
        <v>3500</v>
      </c>
      <c r="AC11" s="66">
        <f>SUM(AC4:AC10)</f>
        <v>1800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5" customFormat="1" ht="100.05" customHeight="1" x14ac:dyDescent="0.3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6"/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  <c r="AN12" s="76"/>
    </row>
    <row r="13" spans="1:40" s="75" customFormat="1" ht="100.05" customHeight="1" x14ac:dyDescent="0.3">
      <c r="A13" s="109" t="s">
        <v>101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1"/>
      <c r="P13" s="109" t="s">
        <v>99</v>
      </c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1"/>
      <c r="AD13" s="76"/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  <c r="AN13" s="76"/>
    </row>
    <row r="14" spans="1:40" s="75" customFormat="1" ht="145.80000000000001" x14ac:dyDescent="0.3">
      <c r="A14" s="81" t="s">
        <v>0</v>
      </c>
      <c r="B14" s="81" t="s">
        <v>9</v>
      </c>
      <c r="C14" s="82" t="s">
        <v>11</v>
      </c>
      <c r="D14" s="81" t="s">
        <v>2</v>
      </c>
      <c r="E14" s="81" t="s">
        <v>1</v>
      </c>
      <c r="F14" s="81" t="s">
        <v>14</v>
      </c>
      <c r="G14" s="81" t="s">
        <v>8</v>
      </c>
      <c r="H14" s="82" t="s">
        <v>10</v>
      </c>
      <c r="I14" s="82" t="s">
        <v>12</v>
      </c>
      <c r="J14" s="82" t="s">
        <v>13</v>
      </c>
      <c r="K14" s="81" t="s">
        <v>3</v>
      </c>
      <c r="L14" s="81" t="s">
        <v>7</v>
      </c>
      <c r="M14" s="81" t="s">
        <v>5</v>
      </c>
      <c r="N14" s="81" t="s">
        <v>6</v>
      </c>
      <c r="P14" s="81" t="s">
        <v>0</v>
      </c>
      <c r="Q14" s="81" t="s">
        <v>9</v>
      </c>
      <c r="R14" s="82" t="s">
        <v>11</v>
      </c>
      <c r="S14" s="81" t="s">
        <v>2</v>
      </c>
      <c r="T14" s="81" t="s">
        <v>1</v>
      </c>
      <c r="U14" s="81" t="s">
        <v>14</v>
      </c>
      <c r="V14" s="81" t="s">
        <v>8</v>
      </c>
      <c r="W14" s="82" t="s">
        <v>10</v>
      </c>
      <c r="X14" s="82" t="s">
        <v>12</v>
      </c>
      <c r="Y14" s="82" t="s">
        <v>13</v>
      </c>
      <c r="Z14" s="81" t="s">
        <v>3</v>
      </c>
      <c r="AA14" s="81" t="s">
        <v>7</v>
      </c>
      <c r="AB14" s="81" t="s">
        <v>5</v>
      </c>
      <c r="AC14" s="81" t="s">
        <v>6</v>
      </c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6" customFormat="1" ht="100.05" customHeight="1" x14ac:dyDescent="0.3">
      <c r="A15" s="97">
        <v>21025</v>
      </c>
      <c r="B15" s="97">
        <v>304</v>
      </c>
      <c r="C15" s="64">
        <v>0.6</v>
      </c>
      <c r="D15" s="62">
        <v>234</v>
      </c>
      <c r="E15" s="91" t="s">
        <v>249</v>
      </c>
      <c r="F15" s="62" t="s">
        <v>121</v>
      </c>
      <c r="G15" s="62">
        <v>430</v>
      </c>
      <c r="H15" s="64">
        <v>0.6</v>
      </c>
      <c r="I15" s="62" t="s">
        <v>24</v>
      </c>
      <c r="J15" s="62" t="s">
        <v>24</v>
      </c>
      <c r="K15" s="62" t="s">
        <v>86</v>
      </c>
      <c r="L15" s="66">
        <v>1000</v>
      </c>
      <c r="M15" s="67"/>
      <c r="N15" s="66">
        <f t="shared" ref="N15" si="4">L15-M15</f>
        <v>1000</v>
      </c>
      <c r="P15" s="62">
        <v>250079</v>
      </c>
      <c r="Q15" s="62">
        <v>304</v>
      </c>
      <c r="R15" s="64">
        <v>0.7</v>
      </c>
      <c r="S15" s="62">
        <v>324</v>
      </c>
      <c r="T15" s="65" t="s">
        <v>261</v>
      </c>
      <c r="U15" s="62" t="s">
        <v>23</v>
      </c>
      <c r="V15" s="62">
        <v>304</v>
      </c>
      <c r="W15" s="64">
        <v>0.6</v>
      </c>
      <c r="X15" s="62" t="s">
        <v>24</v>
      </c>
      <c r="Y15" s="62" t="s">
        <v>24</v>
      </c>
      <c r="Z15" s="62" t="s">
        <v>74</v>
      </c>
      <c r="AA15" s="66">
        <v>964</v>
      </c>
      <c r="AB15" s="67"/>
      <c r="AC15" s="66">
        <f t="shared" ref="AC15:AC23" si="5">AA15-AB15</f>
        <v>964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40" s="76" customFormat="1" ht="100.05" customHeight="1" x14ac:dyDescent="0.3">
      <c r="A16" s="97">
        <v>250078</v>
      </c>
      <c r="B16" s="97">
        <v>304</v>
      </c>
      <c r="C16" s="64">
        <v>0.7</v>
      </c>
      <c r="D16" s="62">
        <v>435</v>
      </c>
      <c r="E16" s="91" t="s">
        <v>286</v>
      </c>
      <c r="F16" s="62" t="s">
        <v>181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79</v>
      </c>
      <c r="L16" s="66">
        <v>790</v>
      </c>
      <c r="M16" s="67"/>
      <c r="N16" s="66">
        <f>L16-M16</f>
        <v>790</v>
      </c>
      <c r="P16" s="62">
        <v>250079</v>
      </c>
      <c r="Q16" s="62">
        <v>304</v>
      </c>
      <c r="R16" s="64">
        <v>0.7</v>
      </c>
      <c r="S16" s="62">
        <v>324</v>
      </c>
      <c r="T16" s="93" t="s">
        <v>262</v>
      </c>
      <c r="U16" s="62" t="s">
        <v>23</v>
      </c>
      <c r="V16" s="62">
        <v>304</v>
      </c>
      <c r="W16" s="64">
        <v>0.6</v>
      </c>
      <c r="X16" s="62" t="s">
        <v>24</v>
      </c>
      <c r="Y16" s="62" t="s">
        <v>24</v>
      </c>
      <c r="Z16" s="62" t="s">
        <v>74</v>
      </c>
      <c r="AA16" s="66">
        <v>36</v>
      </c>
      <c r="AB16" s="67"/>
      <c r="AC16" s="66">
        <f t="shared" si="5"/>
        <v>36</v>
      </c>
      <c r="AD16" s="75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5"/>
    </row>
    <row r="17" spans="1:40" s="76" customFormat="1" ht="100.05" customHeight="1" x14ac:dyDescent="0.3">
      <c r="A17" s="97">
        <v>250080</v>
      </c>
      <c r="B17" s="97">
        <v>304</v>
      </c>
      <c r="C17" s="64">
        <v>0.6</v>
      </c>
      <c r="D17" s="62">
        <v>435</v>
      </c>
      <c r="E17" s="86" t="s">
        <v>287</v>
      </c>
      <c r="F17" s="62" t="s">
        <v>181</v>
      </c>
      <c r="G17" s="62">
        <v>430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300</v>
      </c>
      <c r="M17" s="67"/>
      <c r="N17" s="90">
        <f t="shared" ref="N17:N24" si="6">L17-M17</f>
        <v>300</v>
      </c>
      <c r="P17" s="62">
        <v>250079</v>
      </c>
      <c r="Q17" s="62">
        <v>304</v>
      </c>
      <c r="R17" s="64">
        <v>0.7</v>
      </c>
      <c r="S17" s="62">
        <v>307</v>
      </c>
      <c r="T17" s="93" t="s">
        <v>264</v>
      </c>
      <c r="U17" s="62" t="s">
        <v>23</v>
      </c>
      <c r="V17" s="62">
        <v>304</v>
      </c>
      <c r="W17" s="64">
        <v>0.6</v>
      </c>
      <c r="X17" s="62" t="s">
        <v>24</v>
      </c>
      <c r="Y17" s="62" t="s">
        <v>24</v>
      </c>
      <c r="Z17" s="62" t="s">
        <v>74</v>
      </c>
      <c r="AA17" s="66">
        <v>1314</v>
      </c>
      <c r="AB17" s="67"/>
      <c r="AC17" s="66">
        <f t="shared" si="5"/>
        <v>1314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5"/>
    </row>
    <row r="18" spans="1:40" s="76" customFormat="1" ht="100.05" customHeight="1" x14ac:dyDescent="0.3">
      <c r="A18" s="97">
        <v>250078</v>
      </c>
      <c r="B18" s="97">
        <v>304</v>
      </c>
      <c r="C18" s="64">
        <v>0.7</v>
      </c>
      <c r="D18" s="62">
        <v>385</v>
      </c>
      <c r="E18" s="91" t="s">
        <v>290</v>
      </c>
      <c r="F18" s="62" t="s">
        <v>181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79</v>
      </c>
      <c r="L18" s="66">
        <v>790</v>
      </c>
      <c r="M18" s="67"/>
      <c r="N18" s="66">
        <f t="shared" si="6"/>
        <v>790</v>
      </c>
      <c r="P18" s="62">
        <v>250079</v>
      </c>
      <c r="Q18" s="62">
        <v>304</v>
      </c>
      <c r="R18" s="64">
        <v>0.7</v>
      </c>
      <c r="S18" s="62">
        <v>307</v>
      </c>
      <c r="T18" s="93" t="s">
        <v>263</v>
      </c>
      <c r="U18" s="62" t="s">
        <v>23</v>
      </c>
      <c r="V18" s="62">
        <v>304</v>
      </c>
      <c r="W18" s="64">
        <v>0.6</v>
      </c>
      <c r="X18" s="62" t="s">
        <v>24</v>
      </c>
      <c r="Y18" s="62" t="s">
        <v>24</v>
      </c>
      <c r="Z18" s="62" t="s">
        <v>74</v>
      </c>
      <c r="AA18" s="66">
        <v>36</v>
      </c>
      <c r="AB18" s="67"/>
      <c r="AC18" s="66">
        <f t="shared" si="5"/>
        <v>36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97">
        <v>250080</v>
      </c>
      <c r="B19" s="97">
        <v>304</v>
      </c>
      <c r="C19" s="64">
        <v>0.6</v>
      </c>
      <c r="D19" s="62">
        <v>370</v>
      </c>
      <c r="E19" s="91" t="s">
        <v>293</v>
      </c>
      <c r="F19" s="62" t="s">
        <v>222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500</v>
      </c>
      <c r="M19" s="67">
        <v>100</v>
      </c>
      <c r="N19" s="66">
        <f t="shared" si="6"/>
        <v>400</v>
      </c>
      <c r="P19" s="62">
        <v>250080</v>
      </c>
      <c r="Q19" s="62">
        <v>304</v>
      </c>
      <c r="R19" s="64">
        <v>0.7</v>
      </c>
      <c r="S19" s="62">
        <v>307</v>
      </c>
      <c r="T19" s="93" t="s">
        <v>270</v>
      </c>
      <c r="U19" s="62" t="s">
        <v>23</v>
      </c>
      <c r="V19" s="62">
        <v>430</v>
      </c>
      <c r="W19" s="64">
        <v>0.6</v>
      </c>
      <c r="X19" s="62" t="s">
        <v>24</v>
      </c>
      <c r="Y19" s="62" t="s">
        <v>24</v>
      </c>
      <c r="Z19" s="62" t="s">
        <v>74</v>
      </c>
      <c r="AA19" s="66">
        <v>1000</v>
      </c>
      <c r="AB19" s="67"/>
      <c r="AC19" s="66">
        <f t="shared" si="5"/>
        <v>1000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100.05" customHeight="1" x14ac:dyDescent="0.3">
      <c r="A20" s="97">
        <v>250080</v>
      </c>
      <c r="B20" s="97">
        <v>304</v>
      </c>
      <c r="C20" s="64">
        <v>0.6</v>
      </c>
      <c r="D20" s="62">
        <v>345</v>
      </c>
      <c r="E20" s="91" t="s">
        <v>294</v>
      </c>
      <c r="F20" s="62" t="s">
        <v>24</v>
      </c>
      <c r="G20" s="62" t="s">
        <v>24</v>
      </c>
      <c r="H20" s="64" t="s">
        <v>24</v>
      </c>
      <c r="I20" s="62" t="s">
        <v>24</v>
      </c>
      <c r="J20" s="62" t="s">
        <v>24</v>
      </c>
      <c r="K20" s="62" t="s">
        <v>86</v>
      </c>
      <c r="L20" s="66">
        <v>500</v>
      </c>
      <c r="M20" s="67"/>
      <c r="N20" s="66">
        <f t="shared" si="6"/>
        <v>500</v>
      </c>
      <c r="P20" s="62">
        <v>250079</v>
      </c>
      <c r="Q20" s="62">
        <v>304</v>
      </c>
      <c r="R20" s="64">
        <v>0.7</v>
      </c>
      <c r="S20" s="62">
        <v>265</v>
      </c>
      <c r="T20" s="93" t="s">
        <v>265</v>
      </c>
      <c r="U20" s="62" t="s">
        <v>23</v>
      </c>
      <c r="V20" s="62">
        <v>304</v>
      </c>
      <c r="W20" s="64">
        <v>0.6</v>
      </c>
      <c r="X20" s="62" t="s">
        <v>24</v>
      </c>
      <c r="Y20" s="62" t="s">
        <v>24</v>
      </c>
      <c r="Z20" s="62" t="s">
        <v>74</v>
      </c>
      <c r="AA20" s="66">
        <v>1314</v>
      </c>
      <c r="AB20" s="67"/>
      <c r="AC20" s="66">
        <f t="shared" si="5"/>
        <v>1314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>
        <v>250049</v>
      </c>
      <c r="B21" s="97">
        <v>304</v>
      </c>
      <c r="C21" s="64">
        <v>0.6</v>
      </c>
      <c r="D21" s="62"/>
      <c r="E21" s="91" t="s">
        <v>296</v>
      </c>
      <c r="F21" s="62" t="s">
        <v>42</v>
      </c>
      <c r="G21" s="62" t="s">
        <v>24</v>
      </c>
      <c r="H21" s="64" t="s">
        <v>24</v>
      </c>
      <c r="I21" s="62" t="s">
        <v>24</v>
      </c>
      <c r="J21" s="62" t="s">
        <v>24</v>
      </c>
      <c r="K21" s="62" t="s">
        <v>86</v>
      </c>
      <c r="L21" s="66">
        <v>450</v>
      </c>
      <c r="M21" s="67"/>
      <c r="N21" s="66">
        <f t="shared" si="6"/>
        <v>450</v>
      </c>
      <c r="P21" s="62">
        <v>250079</v>
      </c>
      <c r="Q21" s="62">
        <v>304</v>
      </c>
      <c r="R21" s="64">
        <v>0.7</v>
      </c>
      <c r="S21" s="62">
        <v>265</v>
      </c>
      <c r="T21" s="93" t="s">
        <v>266</v>
      </c>
      <c r="U21" s="62" t="s">
        <v>23</v>
      </c>
      <c r="V21" s="62">
        <v>304</v>
      </c>
      <c r="W21" s="64">
        <v>0.6</v>
      </c>
      <c r="X21" s="62" t="s">
        <v>24</v>
      </c>
      <c r="Y21" s="62" t="s">
        <v>24</v>
      </c>
      <c r="Z21" s="62" t="s">
        <v>74</v>
      </c>
      <c r="AA21" s="66">
        <v>36</v>
      </c>
      <c r="AB21" s="67"/>
      <c r="AC21" s="66">
        <f t="shared" si="5"/>
        <v>36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/>
      <c r="B22" s="97"/>
      <c r="C22" s="64"/>
      <c r="D22" s="62"/>
      <c r="E22" s="91"/>
      <c r="F22" s="62"/>
      <c r="G22" s="62"/>
      <c r="H22" s="64"/>
      <c r="I22" s="62"/>
      <c r="J22" s="62"/>
      <c r="K22" s="62"/>
      <c r="L22" s="66"/>
      <c r="M22" s="67"/>
      <c r="N22" s="66">
        <f t="shared" si="6"/>
        <v>0</v>
      </c>
      <c r="P22" s="62">
        <v>250080</v>
      </c>
      <c r="Q22" s="62">
        <v>304</v>
      </c>
      <c r="R22" s="64">
        <v>0.7</v>
      </c>
      <c r="S22" s="62">
        <v>265</v>
      </c>
      <c r="T22" s="93" t="s">
        <v>271</v>
      </c>
      <c r="U22" s="62" t="s">
        <v>23</v>
      </c>
      <c r="V22" s="62">
        <v>430</v>
      </c>
      <c r="W22" s="64">
        <v>0.6</v>
      </c>
      <c r="X22" s="62" t="s">
        <v>24</v>
      </c>
      <c r="Y22" s="62" t="s">
        <v>24</v>
      </c>
      <c r="Z22" s="62" t="s">
        <v>74</v>
      </c>
      <c r="AA22" s="66">
        <v>1200</v>
      </c>
      <c r="AB22" s="67"/>
      <c r="AC22" s="66">
        <f t="shared" si="5"/>
        <v>1200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/>
      <c r="B23" s="97"/>
      <c r="C23" s="64"/>
      <c r="D23" s="62"/>
      <c r="E23" s="91"/>
      <c r="F23" s="62"/>
      <c r="G23" s="62"/>
      <c r="H23" s="64"/>
      <c r="I23" s="62"/>
      <c r="J23" s="62"/>
      <c r="K23" s="62"/>
      <c r="L23" s="66"/>
      <c r="M23" s="67"/>
      <c r="N23" s="66">
        <f t="shared" ref="N23" si="7">L23-M23</f>
        <v>0</v>
      </c>
      <c r="P23" s="62"/>
      <c r="Q23" s="62"/>
      <c r="R23" s="64"/>
      <c r="S23" s="62"/>
      <c r="T23" s="65"/>
      <c r="U23" s="62"/>
      <c r="V23" s="62"/>
      <c r="W23" s="64"/>
      <c r="X23" s="62"/>
      <c r="Y23" s="62"/>
      <c r="Z23" s="62"/>
      <c r="AA23" s="66"/>
      <c r="AB23" s="67"/>
      <c r="AC23" s="66">
        <f t="shared" si="5"/>
        <v>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/>
      <c r="AN23" s="75"/>
    </row>
    <row r="24" spans="1:40" s="76" customFormat="1" ht="100.05" customHeight="1" x14ac:dyDescent="0.3">
      <c r="A24" s="97"/>
      <c r="B24" s="97"/>
      <c r="C24" s="64"/>
      <c r="D24" s="62"/>
      <c r="E24" s="65"/>
      <c r="F24" s="62"/>
      <c r="G24" s="62"/>
      <c r="H24" s="64"/>
      <c r="I24" s="62"/>
      <c r="J24" s="62"/>
      <c r="K24" s="62"/>
      <c r="L24" s="62"/>
      <c r="M24" s="67"/>
      <c r="N24" s="66">
        <f t="shared" si="6"/>
        <v>0</v>
      </c>
      <c r="P24" s="68"/>
      <c r="Q24" s="68"/>
      <c r="R24" s="69"/>
      <c r="S24" s="68"/>
      <c r="T24" s="70"/>
      <c r="U24" s="68"/>
      <c r="V24" s="68"/>
      <c r="W24" s="69"/>
      <c r="X24" s="68"/>
      <c r="Y24" s="68"/>
      <c r="Z24" s="68"/>
      <c r="AA24" s="66">
        <f>SUM(AA15:AA22)</f>
        <v>5900</v>
      </c>
      <c r="AB24" s="71">
        <f>SUM(AB15:AB22)</f>
        <v>0</v>
      </c>
      <c r="AC24" s="66">
        <f>SUM(AC15:AC22)</f>
        <v>5900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8"/>
      <c r="B25" s="98"/>
      <c r="C25" s="69"/>
      <c r="D25" s="68"/>
      <c r="E25" s="70"/>
      <c r="F25" s="68"/>
      <c r="G25" s="68"/>
      <c r="H25" s="69"/>
      <c r="I25" s="68"/>
      <c r="J25" s="68"/>
      <c r="K25" s="68"/>
      <c r="L25" s="66">
        <f>SUM(L15:L24)</f>
        <v>4330</v>
      </c>
      <c r="M25" s="71">
        <f>SUM(M15:M24)</f>
        <v>100</v>
      </c>
      <c r="N25" s="66">
        <f>SUM(N15:N24)</f>
        <v>4230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68"/>
      <c r="AF25" s="68"/>
      <c r="AG25" s="69"/>
      <c r="AH25" s="68"/>
      <c r="AI25" s="70"/>
      <c r="AJ25" s="80"/>
      <c r="AK25" s="66">
        <f>SUM(AK4:AK24)</f>
        <v>6756</v>
      </c>
      <c r="AL25" s="71">
        <f>SUM(AL4:AL24)</f>
        <v>2500</v>
      </c>
      <c r="AM25" s="66">
        <f>SUM(AM4:AM24)</f>
        <v>4256</v>
      </c>
      <c r="AN25" s="75"/>
    </row>
    <row r="26" spans="1:40" s="75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 spans="1:40" s="75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 spans="1:40" s="75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6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5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5"/>
      <c r="AE32" s="79"/>
      <c r="AF32" s="79"/>
      <c r="AG32" s="79"/>
      <c r="AH32" s="79"/>
      <c r="AI32" s="79"/>
      <c r="AJ32" s="79"/>
      <c r="AK32" s="79"/>
      <c r="AL32" s="79"/>
      <c r="AM32" s="79"/>
      <c r="AN32" s="75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spans="1:40" s="56" customFormat="1" ht="100.0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0" s="56" customFormat="1" ht="100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1:40" s="56" customFormat="1" ht="100.0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13:N13"/>
    <mergeCell ref="P13:AC13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1"/>
  <sheetViews>
    <sheetView zoomScale="25" zoomScaleNormal="25" workbookViewId="0">
      <selection activeCell="E16" sqref="E16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45955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>
        <v>250057</v>
      </c>
      <c r="B4" s="62">
        <v>304</v>
      </c>
      <c r="C4" s="64">
        <v>0.7</v>
      </c>
      <c r="D4" s="62">
        <v>543</v>
      </c>
      <c r="E4" s="91" t="s">
        <v>237</v>
      </c>
      <c r="F4" s="62" t="s">
        <v>121</v>
      </c>
      <c r="G4" s="62">
        <v>304</v>
      </c>
      <c r="H4" s="64">
        <v>0.6</v>
      </c>
      <c r="I4" s="62" t="s">
        <v>24</v>
      </c>
      <c r="J4" s="62" t="s">
        <v>24</v>
      </c>
      <c r="K4" s="62" t="s">
        <v>212</v>
      </c>
      <c r="L4" s="66">
        <v>410</v>
      </c>
      <c r="M4" s="67">
        <v>430</v>
      </c>
      <c r="N4" s="66">
        <f>L4-M4</f>
        <v>-20</v>
      </c>
      <c r="P4" s="62">
        <v>230925</v>
      </c>
      <c r="Q4" s="62">
        <v>430</v>
      </c>
      <c r="R4" s="64">
        <v>0.8</v>
      </c>
      <c r="S4" s="62">
        <v>425</v>
      </c>
      <c r="T4" s="65" t="s">
        <v>239</v>
      </c>
      <c r="U4" s="62" t="s">
        <v>24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5300</v>
      </c>
      <c r="AB4" s="67">
        <f>1800+1700+1000</f>
        <v>4500</v>
      </c>
      <c r="AC4" s="66">
        <f>AA4-AB4</f>
        <v>800</v>
      </c>
      <c r="AE4" s="62">
        <v>250080</v>
      </c>
      <c r="AF4" s="62">
        <v>304</v>
      </c>
      <c r="AG4" s="64">
        <v>0.6</v>
      </c>
      <c r="AH4" s="67" t="s">
        <v>24</v>
      </c>
      <c r="AI4" s="65" t="s">
        <v>272</v>
      </c>
      <c r="AJ4" s="78" t="s">
        <v>241</v>
      </c>
      <c r="AK4" s="66">
        <v>1000</v>
      </c>
      <c r="AL4" s="67">
        <v>1000</v>
      </c>
      <c r="AM4" s="66">
        <f t="shared" ref="AM4:AM24" si="0">AK4-AL4</f>
        <v>0</v>
      </c>
    </row>
    <row r="5" spans="1:40" s="76" customFormat="1" ht="100.05" customHeight="1" x14ac:dyDescent="0.3">
      <c r="A5" s="97" t="s">
        <v>267</v>
      </c>
      <c r="B5" s="62">
        <v>430</v>
      </c>
      <c r="C5" s="64">
        <v>0.5</v>
      </c>
      <c r="D5" s="62">
        <v>475</v>
      </c>
      <c r="E5" s="91" t="s">
        <v>268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79</v>
      </c>
      <c r="L5" s="66">
        <v>1200</v>
      </c>
      <c r="M5" s="67">
        <v>1150</v>
      </c>
      <c r="N5" s="66">
        <f t="shared" ref="N5:N7" si="1">L5-M5</f>
        <v>50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250079</v>
      </c>
      <c r="AF5" s="62">
        <v>304</v>
      </c>
      <c r="AG5" s="64">
        <v>0.6</v>
      </c>
      <c r="AH5" s="67" t="s">
        <v>24</v>
      </c>
      <c r="AI5" s="65" t="s">
        <v>274</v>
      </c>
      <c r="AJ5" s="78" t="s">
        <v>241</v>
      </c>
      <c r="AK5" s="66">
        <v>964</v>
      </c>
      <c r="AL5" s="67"/>
      <c r="AM5" s="66">
        <f t="shared" si="0"/>
        <v>964</v>
      </c>
    </row>
    <row r="6" spans="1:40" s="76" customFormat="1" ht="100.05" customHeight="1" x14ac:dyDescent="0.3">
      <c r="A6" s="97" t="s">
        <v>267</v>
      </c>
      <c r="B6" s="62">
        <v>430</v>
      </c>
      <c r="C6" s="64">
        <v>0.5</v>
      </c>
      <c r="D6" s="62">
        <v>290</v>
      </c>
      <c r="E6" s="91" t="s">
        <v>269</v>
      </c>
      <c r="F6" s="62" t="s">
        <v>24</v>
      </c>
      <c r="G6" s="62" t="s">
        <v>24</v>
      </c>
      <c r="H6" s="64" t="s">
        <v>24</v>
      </c>
      <c r="I6" s="62" t="s">
        <v>24</v>
      </c>
      <c r="J6" s="62" t="s">
        <v>24</v>
      </c>
      <c r="K6" s="62" t="s">
        <v>86</v>
      </c>
      <c r="L6" s="66">
        <v>1300</v>
      </c>
      <c r="M6" s="67">
        <v>1150</v>
      </c>
      <c r="N6" s="66">
        <f t="shared" si="1"/>
        <v>150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0" si="2">AA6-AB6</f>
        <v>0</v>
      </c>
      <c r="AE6" s="62">
        <v>250079</v>
      </c>
      <c r="AF6" s="62">
        <v>304</v>
      </c>
      <c r="AG6" s="64">
        <v>0.6</v>
      </c>
      <c r="AH6" s="67" t="s">
        <v>24</v>
      </c>
      <c r="AI6" s="65" t="s">
        <v>297</v>
      </c>
      <c r="AJ6" s="78" t="s">
        <v>241</v>
      </c>
      <c r="AK6" s="66">
        <v>1314</v>
      </c>
      <c r="AL6" s="67">
        <v>820</v>
      </c>
      <c r="AM6" s="66">
        <f t="shared" si="0"/>
        <v>494</v>
      </c>
    </row>
    <row r="7" spans="1:40" s="76" customFormat="1" ht="100.05" customHeight="1" x14ac:dyDescent="0.3">
      <c r="A7" s="97" t="s">
        <v>267</v>
      </c>
      <c r="B7" s="62">
        <v>430</v>
      </c>
      <c r="C7" s="64">
        <v>0.5</v>
      </c>
      <c r="D7" s="62">
        <v>350</v>
      </c>
      <c r="E7" s="91" t="s">
        <v>278</v>
      </c>
      <c r="F7" s="62" t="s">
        <v>24</v>
      </c>
      <c r="G7" s="62" t="s">
        <v>24</v>
      </c>
      <c r="H7" s="64" t="s">
        <v>24</v>
      </c>
      <c r="I7" s="62" t="s">
        <v>24</v>
      </c>
      <c r="J7" s="62" t="s">
        <v>24</v>
      </c>
      <c r="K7" s="62" t="s">
        <v>79</v>
      </c>
      <c r="L7" s="66">
        <v>1200</v>
      </c>
      <c r="M7" s="67">
        <v>700</v>
      </c>
      <c r="N7" s="66">
        <f t="shared" si="1"/>
        <v>500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250079</v>
      </c>
      <c r="AF7" s="62">
        <v>304</v>
      </c>
      <c r="AG7" s="64">
        <v>0.6</v>
      </c>
      <c r="AH7" s="67" t="s">
        <v>24</v>
      </c>
      <c r="AI7" s="65" t="s">
        <v>277</v>
      </c>
      <c r="AJ7" s="78" t="s">
        <v>241</v>
      </c>
      <c r="AK7" s="66">
        <v>964</v>
      </c>
      <c r="AL7" s="67"/>
      <c r="AM7" s="66">
        <f t="shared" si="0"/>
        <v>964</v>
      </c>
    </row>
    <row r="8" spans="1:40" s="76" customFormat="1" ht="100.05" customHeight="1" x14ac:dyDescent="0.3">
      <c r="A8" s="97" t="s">
        <v>267</v>
      </c>
      <c r="B8" s="62">
        <v>430</v>
      </c>
      <c r="C8" s="64">
        <v>0.5</v>
      </c>
      <c r="D8" s="62">
        <v>315</v>
      </c>
      <c r="E8" s="91" t="s">
        <v>279</v>
      </c>
      <c r="F8" s="62" t="s">
        <v>24</v>
      </c>
      <c r="G8" s="62" t="s">
        <v>24</v>
      </c>
      <c r="H8" s="64" t="s">
        <v>24</v>
      </c>
      <c r="I8" s="62" t="s">
        <v>24</v>
      </c>
      <c r="J8" s="62" t="s">
        <v>24</v>
      </c>
      <c r="K8" s="62" t="s">
        <v>86</v>
      </c>
      <c r="L8" s="66">
        <v>1200</v>
      </c>
      <c r="M8" s="67"/>
      <c r="N8" s="66">
        <f>L8-M8</f>
        <v>1200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40" s="76" customFormat="1" ht="100.05" customHeight="1" x14ac:dyDescent="0.3">
      <c r="A9" s="97">
        <v>250078</v>
      </c>
      <c r="B9" s="62">
        <v>304</v>
      </c>
      <c r="C9" s="64">
        <v>0.7</v>
      </c>
      <c r="D9" s="62">
        <v>582</v>
      </c>
      <c r="E9" s="91" t="s">
        <v>280</v>
      </c>
      <c r="F9" s="62" t="s">
        <v>181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790</v>
      </c>
      <c r="M9" s="67"/>
      <c r="N9" s="66">
        <f t="shared" ref="N9:N10" si="3">L9-M9</f>
        <v>790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97"/>
      <c r="B10" s="62"/>
      <c r="C10" s="64"/>
      <c r="D10" s="62"/>
      <c r="E10" s="65"/>
      <c r="F10" s="62"/>
      <c r="G10" s="62"/>
      <c r="H10" s="64"/>
      <c r="I10" s="62"/>
      <c r="J10" s="62"/>
      <c r="K10" s="62"/>
      <c r="L10" s="62"/>
      <c r="M10" s="67"/>
      <c r="N10" s="66">
        <f t="shared" si="3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2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68"/>
      <c r="B11" s="68"/>
      <c r="C11" s="69"/>
      <c r="D11" s="68"/>
      <c r="E11" s="70"/>
      <c r="F11" s="68"/>
      <c r="G11" s="68"/>
      <c r="H11" s="69"/>
      <c r="I11" s="68"/>
      <c r="J11" s="68"/>
      <c r="K11" s="68"/>
      <c r="L11" s="66">
        <f>SUM(L4:L10)</f>
        <v>6100</v>
      </c>
      <c r="M11" s="71">
        <f>SUM(M4:M10)</f>
        <v>3430</v>
      </c>
      <c r="N11" s="66">
        <f>SUM(N4:N10)</f>
        <v>2670</v>
      </c>
      <c r="P11" s="68"/>
      <c r="Q11" s="68"/>
      <c r="R11" s="69"/>
      <c r="S11" s="68"/>
      <c r="T11" s="70"/>
      <c r="U11" s="68"/>
      <c r="V11" s="68"/>
      <c r="W11" s="69"/>
      <c r="X11" s="68"/>
      <c r="Y11" s="68"/>
      <c r="Z11" s="68"/>
      <c r="AA11" s="66">
        <f>AA4+AA6+AA7+AA8+AA10</f>
        <v>5300</v>
      </c>
      <c r="AB11" s="71">
        <f>SUM(AB4:AB10)</f>
        <v>4500</v>
      </c>
      <c r="AC11" s="66">
        <f>SUM(AC4:AC10)</f>
        <v>800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5" customFormat="1" ht="100.05" customHeight="1" x14ac:dyDescent="0.3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6"/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  <c r="AN12" s="76"/>
    </row>
    <row r="13" spans="1:40" s="75" customFormat="1" ht="100.05" customHeight="1" x14ac:dyDescent="0.3">
      <c r="A13" s="109" t="s">
        <v>101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1"/>
      <c r="P13" s="109" t="s">
        <v>99</v>
      </c>
      <c r="Q13" s="110"/>
      <c r="R13" s="110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1"/>
      <c r="AD13" s="76"/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  <c r="AN13" s="76"/>
    </row>
    <row r="14" spans="1:40" s="75" customFormat="1" ht="145.80000000000001" x14ac:dyDescent="0.3">
      <c r="A14" s="81" t="s">
        <v>0</v>
      </c>
      <c r="B14" s="81" t="s">
        <v>9</v>
      </c>
      <c r="C14" s="82" t="s">
        <v>11</v>
      </c>
      <c r="D14" s="81" t="s">
        <v>2</v>
      </c>
      <c r="E14" s="81" t="s">
        <v>1</v>
      </c>
      <c r="F14" s="81" t="s">
        <v>14</v>
      </c>
      <c r="G14" s="81" t="s">
        <v>8</v>
      </c>
      <c r="H14" s="82" t="s">
        <v>10</v>
      </c>
      <c r="I14" s="82" t="s">
        <v>12</v>
      </c>
      <c r="J14" s="82" t="s">
        <v>13</v>
      </c>
      <c r="K14" s="81" t="s">
        <v>3</v>
      </c>
      <c r="L14" s="81" t="s">
        <v>7</v>
      </c>
      <c r="M14" s="81" t="s">
        <v>5</v>
      </c>
      <c r="N14" s="81" t="s">
        <v>6</v>
      </c>
      <c r="P14" s="81" t="s">
        <v>0</v>
      </c>
      <c r="Q14" s="81" t="s">
        <v>9</v>
      </c>
      <c r="R14" s="82" t="s">
        <v>11</v>
      </c>
      <c r="S14" s="81" t="s">
        <v>2</v>
      </c>
      <c r="T14" s="81" t="s">
        <v>1</v>
      </c>
      <c r="U14" s="81" t="s">
        <v>14</v>
      </c>
      <c r="V14" s="81" t="s">
        <v>8</v>
      </c>
      <c r="W14" s="82" t="s">
        <v>10</v>
      </c>
      <c r="X14" s="82" t="s">
        <v>12</v>
      </c>
      <c r="Y14" s="82" t="s">
        <v>13</v>
      </c>
      <c r="Z14" s="81" t="s">
        <v>3</v>
      </c>
      <c r="AA14" s="81" t="s">
        <v>7</v>
      </c>
      <c r="AB14" s="81" t="s">
        <v>5</v>
      </c>
      <c r="AC14" s="81" t="s">
        <v>6</v>
      </c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6" customFormat="1" ht="100.05" customHeight="1" x14ac:dyDescent="0.3">
      <c r="A15" s="97">
        <v>21025</v>
      </c>
      <c r="B15" s="97">
        <v>304</v>
      </c>
      <c r="C15" s="64">
        <v>0.6</v>
      </c>
      <c r="D15" s="62">
        <v>234</v>
      </c>
      <c r="E15" s="91" t="s">
        <v>249</v>
      </c>
      <c r="F15" s="62" t="s">
        <v>121</v>
      </c>
      <c r="G15" s="62">
        <v>430</v>
      </c>
      <c r="H15" s="64">
        <v>0.6</v>
      </c>
      <c r="I15" s="62" t="s">
        <v>24</v>
      </c>
      <c r="J15" s="62" t="s">
        <v>24</v>
      </c>
      <c r="K15" s="62" t="s">
        <v>86</v>
      </c>
      <c r="L15" s="66">
        <v>1000</v>
      </c>
      <c r="M15" s="67"/>
      <c r="N15" s="66">
        <f t="shared" ref="N15" si="4">L15-M15</f>
        <v>1000</v>
      </c>
      <c r="P15" s="62">
        <v>250079</v>
      </c>
      <c r="Q15" s="62">
        <v>304</v>
      </c>
      <c r="R15" s="64">
        <v>0.7</v>
      </c>
      <c r="S15" s="62">
        <v>324</v>
      </c>
      <c r="T15" s="65" t="s">
        <v>261</v>
      </c>
      <c r="U15" s="62" t="s">
        <v>23</v>
      </c>
      <c r="V15" s="62">
        <v>304</v>
      </c>
      <c r="W15" s="64">
        <v>0.6</v>
      </c>
      <c r="X15" s="62" t="s">
        <v>24</v>
      </c>
      <c r="Y15" s="62" t="s">
        <v>24</v>
      </c>
      <c r="Z15" s="62" t="s">
        <v>74</v>
      </c>
      <c r="AA15" s="66">
        <v>964</v>
      </c>
      <c r="AB15" s="67"/>
      <c r="AC15" s="66">
        <f t="shared" ref="AC15:AC23" si="5">AA15-AB15</f>
        <v>964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40" s="76" customFormat="1" ht="100.05" customHeight="1" x14ac:dyDescent="0.3">
      <c r="A16" s="97">
        <v>250078</v>
      </c>
      <c r="B16" s="97">
        <v>304</v>
      </c>
      <c r="C16" s="64">
        <v>0.7</v>
      </c>
      <c r="D16" s="62">
        <v>435</v>
      </c>
      <c r="E16" s="91" t="s">
        <v>286</v>
      </c>
      <c r="F16" s="62" t="s">
        <v>181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79</v>
      </c>
      <c r="L16" s="66">
        <v>790</v>
      </c>
      <c r="M16" s="67">
        <v>800</v>
      </c>
      <c r="N16" s="66">
        <f>L16-M16</f>
        <v>-10</v>
      </c>
      <c r="P16" s="62">
        <v>250079</v>
      </c>
      <c r="Q16" s="62">
        <v>304</v>
      </c>
      <c r="R16" s="64">
        <v>0.7</v>
      </c>
      <c r="S16" s="62">
        <v>324</v>
      </c>
      <c r="T16" s="93" t="s">
        <v>262</v>
      </c>
      <c r="U16" s="62" t="s">
        <v>23</v>
      </c>
      <c r="V16" s="62">
        <v>304</v>
      </c>
      <c r="W16" s="64">
        <v>0.6</v>
      </c>
      <c r="X16" s="62" t="s">
        <v>24</v>
      </c>
      <c r="Y16" s="62" t="s">
        <v>24</v>
      </c>
      <c r="Z16" s="62" t="s">
        <v>74</v>
      </c>
      <c r="AA16" s="66">
        <v>36</v>
      </c>
      <c r="AB16" s="67"/>
      <c r="AC16" s="66">
        <f t="shared" si="5"/>
        <v>36</v>
      </c>
      <c r="AD16" s="75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5"/>
    </row>
    <row r="17" spans="1:40" s="76" customFormat="1" ht="100.05" customHeight="1" x14ac:dyDescent="0.3">
      <c r="A17" s="97">
        <v>250080</v>
      </c>
      <c r="B17" s="97">
        <v>304</v>
      </c>
      <c r="C17" s="64">
        <v>0.6</v>
      </c>
      <c r="D17" s="62">
        <v>435</v>
      </c>
      <c r="E17" s="86" t="s">
        <v>287</v>
      </c>
      <c r="F17" s="62" t="s">
        <v>181</v>
      </c>
      <c r="G17" s="62">
        <v>430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300</v>
      </c>
      <c r="M17" s="67"/>
      <c r="N17" s="90">
        <f t="shared" ref="N17:N24" si="6">L17-M17</f>
        <v>300</v>
      </c>
      <c r="P17" s="62">
        <v>250079</v>
      </c>
      <c r="Q17" s="62">
        <v>304</v>
      </c>
      <c r="R17" s="64">
        <v>0.7</v>
      </c>
      <c r="S17" s="62">
        <v>307</v>
      </c>
      <c r="T17" s="93" t="s">
        <v>264</v>
      </c>
      <c r="U17" s="62" t="s">
        <v>23</v>
      </c>
      <c r="V17" s="62">
        <v>304</v>
      </c>
      <c r="W17" s="64">
        <v>0.6</v>
      </c>
      <c r="X17" s="62" t="s">
        <v>24</v>
      </c>
      <c r="Y17" s="62" t="s">
        <v>24</v>
      </c>
      <c r="Z17" s="62" t="s">
        <v>74</v>
      </c>
      <c r="AA17" s="66">
        <v>1314</v>
      </c>
      <c r="AB17" s="67"/>
      <c r="AC17" s="66">
        <f t="shared" si="5"/>
        <v>1314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5"/>
    </row>
    <row r="18" spans="1:40" s="76" customFormat="1" ht="100.05" customHeight="1" x14ac:dyDescent="0.3">
      <c r="A18" s="97">
        <v>250078</v>
      </c>
      <c r="B18" s="97">
        <v>304</v>
      </c>
      <c r="C18" s="64">
        <v>0.7</v>
      </c>
      <c r="D18" s="62">
        <v>385</v>
      </c>
      <c r="E18" s="91" t="s">
        <v>290</v>
      </c>
      <c r="F18" s="62" t="s">
        <v>181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79</v>
      </c>
      <c r="L18" s="66">
        <v>790</v>
      </c>
      <c r="M18" s="67">
        <f>100+720</f>
        <v>820</v>
      </c>
      <c r="N18" s="66">
        <f t="shared" si="6"/>
        <v>-30</v>
      </c>
      <c r="P18" s="62">
        <v>250079</v>
      </c>
      <c r="Q18" s="62">
        <v>304</v>
      </c>
      <c r="R18" s="64">
        <v>0.7</v>
      </c>
      <c r="S18" s="62">
        <v>307</v>
      </c>
      <c r="T18" s="93" t="s">
        <v>263</v>
      </c>
      <c r="U18" s="62" t="s">
        <v>23</v>
      </c>
      <c r="V18" s="62">
        <v>304</v>
      </c>
      <c r="W18" s="64">
        <v>0.6</v>
      </c>
      <c r="X18" s="62" t="s">
        <v>24</v>
      </c>
      <c r="Y18" s="62" t="s">
        <v>24</v>
      </c>
      <c r="Z18" s="62" t="s">
        <v>74</v>
      </c>
      <c r="AA18" s="66">
        <v>36</v>
      </c>
      <c r="AB18" s="67"/>
      <c r="AC18" s="66">
        <f t="shared" si="5"/>
        <v>36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97">
        <v>250080</v>
      </c>
      <c r="B19" s="97">
        <v>304</v>
      </c>
      <c r="C19" s="64">
        <v>0.6</v>
      </c>
      <c r="D19" s="62">
        <v>370</v>
      </c>
      <c r="E19" s="91" t="s">
        <v>293</v>
      </c>
      <c r="F19" s="62" t="s">
        <v>222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500</v>
      </c>
      <c r="M19" s="67">
        <f>100+400</f>
        <v>500</v>
      </c>
      <c r="N19" s="66">
        <f t="shared" si="6"/>
        <v>0</v>
      </c>
      <c r="P19" s="62">
        <v>250080</v>
      </c>
      <c r="Q19" s="62">
        <v>304</v>
      </c>
      <c r="R19" s="64">
        <v>0.7</v>
      </c>
      <c r="S19" s="62">
        <v>307</v>
      </c>
      <c r="T19" s="93" t="s">
        <v>270</v>
      </c>
      <c r="U19" s="62" t="s">
        <v>23</v>
      </c>
      <c r="V19" s="62">
        <v>430</v>
      </c>
      <c r="W19" s="64">
        <v>0.6</v>
      </c>
      <c r="X19" s="62" t="s">
        <v>24</v>
      </c>
      <c r="Y19" s="62" t="s">
        <v>24</v>
      </c>
      <c r="Z19" s="62" t="s">
        <v>74</v>
      </c>
      <c r="AA19" s="66">
        <v>1000</v>
      </c>
      <c r="AB19" s="67"/>
      <c r="AC19" s="66">
        <f t="shared" si="5"/>
        <v>1000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100.05" customHeight="1" x14ac:dyDescent="0.3">
      <c r="A20" s="97">
        <v>250080</v>
      </c>
      <c r="B20" s="97">
        <v>304</v>
      </c>
      <c r="C20" s="64">
        <v>0.6</v>
      </c>
      <c r="D20" s="62">
        <v>345</v>
      </c>
      <c r="E20" s="91" t="s">
        <v>294</v>
      </c>
      <c r="F20" s="62" t="s">
        <v>24</v>
      </c>
      <c r="G20" s="62" t="s">
        <v>24</v>
      </c>
      <c r="H20" s="64" t="s">
        <v>24</v>
      </c>
      <c r="I20" s="62" t="s">
        <v>24</v>
      </c>
      <c r="J20" s="62" t="s">
        <v>24</v>
      </c>
      <c r="K20" s="62" t="s">
        <v>86</v>
      </c>
      <c r="L20" s="66">
        <v>500</v>
      </c>
      <c r="M20" s="67">
        <v>500</v>
      </c>
      <c r="N20" s="66">
        <f t="shared" si="6"/>
        <v>0</v>
      </c>
      <c r="P20" s="62">
        <v>250079</v>
      </c>
      <c r="Q20" s="62">
        <v>304</v>
      </c>
      <c r="R20" s="64">
        <v>0.7</v>
      </c>
      <c r="S20" s="62">
        <v>265</v>
      </c>
      <c r="T20" s="93" t="s">
        <v>265</v>
      </c>
      <c r="U20" s="62" t="s">
        <v>23</v>
      </c>
      <c r="V20" s="62">
        <v>304</v>
      </c>
      <c r="W20" s="64">
        <v>0.6</v>
      </c>
      <c r="X20" s="62" t="s">
        <v>24</v>
      </c>
      <c r="Y20" s="62" t="s">
        <v>24</v>
      </c>
      <c r="Z20" s="62" t="s">
        <v>74</v>
      </c>
      <c r="AA20" s="66">
        <v>1314</v>
      </c>
      <c r="AB20" s="67"/>
      <c r="AC20" s="66">
        <f t="shared" si="5"/>
        <v>1314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>
        <v>250049</v>
      </c>
      <c r="B21" s="97">
        <v>304</v>
      </c>
      <c r="C21" s="64">
        <v>0.6</v>
      </c>
      <c r="D21" s="62"/>
      <c r="E21" s="91" t="s">
        <v>296</v>
      </c>
      <c r="F21" s="62" t="s">
        <v>42</v>
      </c>
      <c r="G21" s="62" t="s">
        <v>24</v>
      </c>
      <c r="H21" s="64" t="s">
        <v>24</v>
      </c>
      <c r="I21" s="62" t="s">
        <v>24</v>
      </c>
      <c r="J21" s="62" t="s">
        <v>24</v>
      </c>
      <c r="K21" s="62" t="s">
        <v>86</v>
      </c>
      <c r="L21" s="66">
        <v>450</v>
      </c>
      <c r="M21" s="67"/>
      <c r="N21" s="66">
        <f t="shared" si="6"/>
        <v>450</v>
      </c>
      <c r="P21" s="62">
        <v>250079</v>
      </c>
      <c r="Q21" s="62">
        <v>304</v>
      </c>
      <c r="R21" s="64">
        <v>0.7</v>
      </c>
      <c r="S21" s="62">
        <v>265</v>
      </c>
      <c r="T21" s="93" t="s">
        <v>266</v>
      </c>
      <c r="U21" s="62" t="s">
        <v>23</v>
      </c>
      <c r="V21" s="62">
        <v>304</v>
      </c>
      <c r="W21" s="64">
        <v>0.6</v>
      </c>
      <c r="X21" s="62" t="s">
        <v>24</v>
      </c>
      <c r="Y21" s="62" t="s">
        <v>24</v>
      </c>
      <c r="Z21" s="62" t="s">
        <v>74</v>
      </c>
      <c r="AA21" s="66">
        <v>36</v>
      </c>
      <c r="AB21" s="67"/>
      <c r="AC21" s="66">
        <f t="shared" si="5"/>
        <v>36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/>
      <c r="B22" s="97"/>
      <c r="C22" s="64"/>
      <c r="D22" s="62"/>
      <c r="E22" s="91"/>
      <c r="F22" s="62"/>
      <c r="G22" s="62"/>
      <c r="H22" s="64"/>
      <c r="I22" s="62"/>
      <c r="J22" s="62"/>
      <c r="K22" s="62"/>
      <c r="L22" s="66"/>
      <c r="M22" s="67"/>
      <c r="N22" s="66">
        <f t="shared" si="6"/>
        <v>0</v>
      </c>
      <c r="P22" s="62">
        <v>250080</v>
      </c>
      <c r="Q22" s="62">
        <v>304</v>
      </c>
      <c r="R22" s="64">
        <v>0.7</v>
      </c>
      <c r="S22" s="62">
        <v>265</v>
      </c>
      <c r="T22" s="93" t="s">
        <v>271</v>
      </c>
      <c r="U22" s="62" t="s">
        <v>23</v>
      </c>
      <c r="V22" s="62">
        <v>430</v>
      </c>
      <c r="W22" s="64">
        <v>0.6</v>
      </c>
      <c r="X22" s="62" t="s">
        <v>24</v>
      </c>
      <c r="Y22" s="62" t="s">
        <v>24</v>
      </c>
      <c r="Z22" s="62" t="s">
        <v>74</v>
      </c>
      <c r="AA22" s="66">
        <v>1200</v>
      </c>
      <c r="AB22" s="67"/>
      <c r="AC22" s="66">
        <f t="shared" si="5"/>
        <v>1200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/>
      <c r="B23" s="97"/>
      <c r="C23" s="64"/>
      <c r="D23" s="62"/>
      <c r="E23" s="91"/>
      <c r="F23" s="62"/>
      <c r="G23" s="62"/>
      <c r="H23" s="64"/>
      <c r="I23" s="62"/>
      <c r="J23" s="62"/>
      <c r="K23" s="62"/>
      <c r="L23" s="66"/>
      <c r="M23" s="67"/>
      <c r="N23" s="66">
        <f t="shared" si="6"/>
        <v>0</v>
      </c>
      <c r="P23" s="62"/>
      <c r="Q23" s="62"/>
      <c r="R23" s="64"/>
      <c r="S23" s="62"/>
      <c r="T23" s="65"/>
      <c r="U23" s="62"/>
      <c r="V23" s="62"/>
      <c r="W23" s="64"/>
      <c r="X23" s="62"/>
      <c r="Y23" s="62"/>
      <c r="Z23" s="62"/>
      <c r="AA23" s="66"/>
      <c r="AB23" s="67"/>
      <c r="AC23" s="66">
        <f t="shared" si="5"/>
        <v>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/>
      <c r="AN23" s="75"/>
    </row>
    <row r="24" spans="1:40" s="76" customFormat="1" ht="100.05" customHeight="1" x14ac:dyDescent="0.3">
      <c r="A24" s="97"/>
      <c r="B24" s="97"/>
      <c r="C24" s="64"/>
      <c r="D24" s="62"/>
      <c r="E24" s="65"/>
      <c r="F24" s="62"/>
      <c r="G24" s="62"/>
      <c r="H24" s="64"/>
      <c r="I24" s="62"/>
      <c r="J24" s="62"/>
      <c r="K24" s="62"/>
      <c r="L24" s="62"/>
      <c r="M24" s="67"/>
      <c r="N24" s="66">
        <f t="shared" si="6"/>
        <v>0</v>
      </c>
      <c r="P24" s="68"/>
      <c r="Q24" s="68"/>
      <c r="R24" s="69"/>
      <c r="S24" s="68"/>
      <c r="T24" s="70"/>
      <c r="U24" s="68"/>
      <c r="V24" s="68"/>
      <c r="W24" s="69"/>
      <c r="X24" s="68"/>
      <c r="Y24" s="68"/>
      <c r="Z24" s="68"/>
      <c r="AA24" s="66">
        <f>SUM(AA15:AA22)</f>
        <v>5900</v>
      </c>
      <c r="AB24" s="71">
        <f>SUM(AB15:AB22)</f>
        <v>0</v>
      </c>
      <c r="AC24" s="66">
        <f>SUM(AC15:AC22)</f>
        <v>5900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8"/>
      <c r="B25" s="98"/>
      <c r="C25" s="69"/>
      <c r="D25" s="68"/>
      <c r="E25" s="70"/>
      <c r="F25" s="68"/>
      <c r="G25" s="68"/>
      <c r="H25" s="69"/>
      <c r="I25" s="68"/>
      <c r="J25" s="68"/>
      <c r="K25" s="68"/>
      <c r="L25" s="66">
        <f>SUM(L15:L24)</f>
        <v>4330</v>
      </c>
      <c r="M25" s="71">
        <f>SUM(M15:M24)</f>
        <v>2620</v>
      </c>
      <c r="N25" s="66">
        <f>SUM(N15:N24)</f>
        <v>1710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5"/>
      <c r="AE25" s="68"/>
      <c r="AF25" s="68"/>
      <c r="AG25" s="69"/>
      <c r="AH25" s="68"/>
      <c r="AI25" s="70"/>
      <c r="AJ25" s="80"/>
      <c r="AK25" s="66">
        <f>SUM(AK4:AK24)</f>
        <v>4242</v>
      </c>
      <c r="AL25" s="71">
        <f>SUM(AL4:AL24)</f>
        <v>1820</v>
      </c>
      <c r="AM25" s="66">
        <f>SUM(AM4:AM24)</f>
        <v>2422</v>
      </c>
      <c r="AN25" s="75"/>
    </row>
    <row r="26" spans="1:40" s="75" customFormat="1" ht="100.05" customHeight="1" x14ac:dyDescent="0.3">
      <c r="A26" s="79"/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E26" s="79"/>
      <c r="AF26" s="79"/>
      <c r="AG26" s="79"/>
      <c r="AH26" s="79"/>
      <c r="AI26" s="79"/>
      <c r="AJ26" s="79"/>
      <c r="AK26" s="79"/>
      <c r="AL26" s="79"/>
      <c r="AM26" s="79"/>
    </row>
    <row r="27" spans="1:40" s="75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 spans="1:40" s="75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spans="1:40" s="76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5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5"/>
      <c r="AE29" s="79"/>
      <c r="AF29" s="79"/>
      <c r="AG29" s="79"/>
      <c r="AH29" s="79"/>
      <c r="AI29" s="79"/>
      <c r="AJ29" s="79"/>
      <c r="AK29" s="79"/>
      <c r="AL29" s="79"/>
      <c r="AM29" s="79"/>
      <c r="AN29" s="75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6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5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5"/>
      <c r="AE32" s="79"/>
      <c r="AF32" s="79"/>
      <c r="AG32" s="79"/>
      <c r="AH32" s="79"/>
      <c r="AI32" s="79"/>
      <c r="AJ32" s="79"/>
      <c r="AK32" s="79"/>
      <c r="AL32" s="79"/>
      <c r="AM32" s="79"/>
      <c r="AN32" s="75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56" customFormat="1" ht="100.0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3"/>
      <c r="AE44" s="2"/>
      <c r="AF44" s="2"/>
      <c r="AG44" s="2"/>
      <c r="AH44" s="2"/>
      <c r="AI44" s="2"/>
      <c r="AJ44" s="2"/>
      <c r="AK44" s="2"/>
      <c r="AL44" s="2"/>
      <c r="AM44" s="2"/>
      <c r="AN44" s="3"/>
    </row>
    <row r="45" spans="1:40" s="56" customFormat="1" ht="100.0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0" s="56" customFormat="1" ht="100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1:40" s="56" customFormat="1" ht="100.0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</sheetData>
  <mergeCells count="11">
    <mergeCell ref="A2:N2"/>
    <mergeCell ref="P2:AC2"/>
    <mergeCell ref="AE2:AM2"/>
    <mergeCell ref="A13:N13"/>
    <mergeCell ref="P13:AC13"/>
    <mergeCell ref="AK1:AM1"/>
    <mergeCell ref="A1:C1"/>
    <mergeCell ref="K1:N1"/>
    <mergeCell ref="P1:R1"/>
    <mergeCell ref="Z1:AC1"/>
    <mergeCell ref="AE1:AG1"/>
  </mergeCells>
  <printOptions horizontalCentered="1" verticalCentered="1"/>
  <pageMargins left="0.25" right="0.25" top="0.75" bottom="0.75" header="0.3" footer="0.3"/>
  <pageSetup paperSize="9" scale="24" orientation="landscape" horizontalDpi="1200" verticalDpi="120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8"/>
  <sheetViews>
    <sheetView topLeftCell="A10" zoomScale="25" zoomScaleNormal="25" workbookViewId="0">
      <selection activeCell="A16" sqref="A16:M17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45957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45957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99" t="s">
        <v>267</v>
      </c>
      <c r="B4" s="99">
        <v>430</v>
      </c>
      <c r="C4" s="100">
        <v>0.5</v>
      </c>
      <c r="D4" s="99">
        <v>475</v>
      </c>
      <c r="E4" s="101" t="s">
        <v>268</v>
      </c>
      <c r="F4" s="99" t="s">
        <v>24</v>
      </c>
      <c r="G4" s="99" t="s">
        <v>24</v>
      </c>
      <c r="H4" s="100" t="s">
        <v>24</v>
      </c>
      <c r="I4" s="99" t="s">
        <v>24</v>
      </c>
      <c r="J4" s="99" t="s">
        <v>24</v>
      </c>
      <c r="K4" s="99" t="s">
        <v>79</v>
      </c>
      <c r="L4" s="89">
        <v>1200</v>
      </c>
      <c r="M4" s="102">
        <v>1150</v>
      </c>
      <c r="N4" s="66">
        <f>L4-M4</f>
        <v>50</v>
      </c>
      <c r="P4" s="62">
        <v>230925</v>
      </c>
      <c r="Q4" s="62">
        <v>430</v>
      </c>
      <c r="R4" s="64">
        <v>0.8</v>
      </c>
      <c r="S4" s="62">
        <v>425</v>
      </c>
      <c r="T4" s="65" t="s">
        <v>239</v>
      </c>
      <c r="U4" s="62" t="s">
        <v>24</v>
      </c>
      <c r="V4" s="62" t="s">
        <v>24</v>
      </c>
      <c r="W4" s="64" t="s">
        <v>24</v>
      </c>
      <c r="X4" s="62" t="s">
        <v>24</v>
      </c>
      <c r="Y4" s="62" t="s">
        <v>24</v>
      </c>
      <c r="Z4" s="62" t="s">
        <v>74</v>
      </c>
      <c r="AA4" s="66">
        <v>5300</v>
      </c>
      <c r="AB4" s="67">
        <f>1800+1700+1000+1100</f>
        <v>5600</v>
      </c>
      <c r="AC4" s="66">
        <f>AA4-AB4</f>
        <v>-300</v>
      </c>
      <c r="AE4" s="62">
        <v>250079</v>
      </c>
      <c r="AF4" s="62">
        <v>304</v>
      </c>
      <c r="AG4" s="64">
        <v>0.6</v>
      </c>
      <c r="AH4" s="67" t="s">
        <v>24</v>
      </c>
      <c r="AI4" s="65" t="s">
        <v>274</v>
      </c>
      <c r="AJ4" s="78" t="s">
        <v>241</v>
      </c>
      <c r="AK4" s="66">
        <v>964</v>
      </c>
      <c r="AL4" s="67">
        <v>1000</v>
      </c>
      <c r="AM4" s="66">
        <f t="shared" ref="AM4:AM31" si="0">AK4-AL4</f>
        <v>-36</v>
      </c>
    </row>
    <row r="5" spans="1:39" s="76" customFormat="1" ht="100.05" customHeight="1" x14ac:dyDescent="0.3">
      <c r="A5" s="99" t="s">
        <v>267</v>
      </c>
      <c r="B5" s="99">
        <v>430</v>
      </c>
      <c r="C5" s="100">
        <v>0.5</v>
      </c>
      <c r="D5" s="99">
        <v>290</v>
      </c>
      <c r="E5" s="101" t="s">
        <v>269</v>
      </c>
      <c r="F5" s="99" t="s">
        <v>24</v>
      </c>
      <c r="G5" s="99" t="s">
        <v>24</v>
      </c>
      <c r="H5" s="100" t="s">
        <v>24</v>
      </c>
      <c r="I5" s="99" t="s">
        <v>24</v>
      </c>
      <c r="J5" s="99" t="s">
        <v>24</v>
      </c>
      <c r="K5" s="99" t="s">
        <v>86</v>
      </c>
      <c r="L5" s="89">
        <v>1300</v>
      </c>
      <c r="M5" s="102"/>
      <c r="N5" s="66">
        <f t="shared" ref="N5:N7" si="1">L5-M5</f>
        <v>1300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250079</v>
      </c>
      <c r="AF5" s="62">
        <v>304</v>
      </c>
      <c r="AG5" s="64">
        <v>0.6</v>
      </c>
      <c r="AH5" s="67" t="s">
        <v>24</v>
      </c>
      <c r="AI5" s="65" t="s">
        <v>297</v>
      </c>
      <c r="AJ5" s="78" t="s">
        <v>241</v>
      </c>
      <c r="AK5" s="66">
        <v>1314</v>
      </c>
      <c r="AL5" s="67">
        <f>820+740</f>
        <v>1560</v>
      </c>
      <c r="AM5" s="66">
        <f t="shared" si="0"/>
        <v>-246</v>
      </c>
    </row>
    <row r="6" spans="1:39" s="76" customFormat="1" ht="100.05" customHeight="1" x14ac:dyDescent="0.3">
      <c r="A6" s="99" t="s">
        <v>267</v>
      </c>
      <c r="B6" s="99">
        <v>430</v>
      </c>
      <c r="C6" s="100">
        <v>0.5</v>
      </c>
      <c r="D6" s="99">
        <v>350</v>
      </c>
      <c r="E6" s="101" t="s">
        <v>278</v>
      </c>
      <c r="F6" s="99" t="s">
        <v>24</v>
      </c>
      <c r="G6" s="99" t="s">
        <v>24</v>
      </c>
      <c r="H6" s="100" t="s">
        <v>24</v>
      </c>
      <c r="I6" s="99" t="s">
        <v>24</v>
      </c>
      <c r="J6" s="99" t="s">
        <v>24</v>
      </c>
      <c r="K6" s="99" t="s">
        <v>79</v>
      </c>
      <c r="L6" s="89">
        <v>1200</v>
      </c>
      <c r="M6" s="102">
        <f>700+480</f>
        <v>1180</v>
      </c>
      <c r="N6" s="66">
        <f t="shared" si="1"/>
        <v>20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8" si="2">AA6-AB6</f>
        <v>0</v>
      </c>
      <c r="AE6" s="62">
        <v>250079</v>
      </c>
      <c r="AF6" s="62">
        <v>304</v>
      </c>
      <c r="AG6" s="64">
        <v>0.6</v>
      </c>
      <c r="AH6" s="67" t="s">
        <v>24</v>
      </c>
      <c r="AI6" s="65" t="s">
        <v>277</v>
      </c>
      <c r="AJ6" s="78" t="s">
        <v>241</v>
      </c>
      <c r="AK6" s="66">
        <v>964</v>
      </c>
      <c r="AL6" s="67"/>
      <c r="AM6" s="66">
        <f t="shared" si="0"/>
        <v>964</v>
      </c>
    </row>
    <row r="7" spans="1:39" s="76" customFormat="1" ht="100.05" customHeight="1" x14ac:dyDescent="0.3">
      <c r="A7" s="99" t="s">
        <v>267</v>
      </c>
      <c r="B7" s="99">
        <v>430</v>
      </c>
      <c r="C7" s="100">
        <v>0.5</v>
      </c>
      <c r="D7" s="99">
        <v>315</v>
      </c>
      <c r="E7" s="101" t="s">
        <v>279</v>
      </c>
      <c r="F7" s="99" t="s">
        <v>24</v>
      </c>
      <c r="G7" s="99" t="s">
        <v>24</v>
      </c>
      <c r="H7" s="100" t="s">
        <v>24</v>
      </c>
      <c r="I7" s="99" t="s">
        <v>24</v>
      </c>
      <c r="J7" s="99" t="s">
        <v>24</v>
      </c>
      <c r="K7" s="99" t="s">
        <v>86</v>
      </c>
      <c r="L7" s="89">
        <v>1200</v>
      </c>
      <c r="M7" s="102">
        <v>930</v>
      </c>
      <c r="N7" s="66">
        <f t="shared" si="1"/>
        <v>270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/>
      <c r="AF7" s="62"/>
      <c r="AG7" s="64"/>
      <c r="AH7" s="67"/>
      <c r="AI7" s="65"/>
      <c r="AJ7" s="78"/>
      <c r="AK7" s="66"/>
      <c r="AL7" s="67"/>
      <c r="AM7" s="66">
        <f t="shared" si="0"/>
        <v>0</v>
      </c>
    </row>
    <row r="8" spans="1:39" s="76" customFormat="1" ht="100.05" customHeight="1" x14ac:dyDescent="0.3">
      <c r="A8" s="99">
        <v>250078</v>
      </c>
      <c r="B8" s="99">
        <v>304</v>
      </c>
      <c r="C8" s="100">
        <v>0.7</v>
      </c>
      <c r="D8" s="99">
        <v>582</v>
      </c>
      <c r="E8" s="101" t="s">
        <v>280</v>
      </c>
      <c r="F8" s="99" t="s">
        <v>181</v>
      </c>
      <c r="G8" s="99">
        <v>304</v>
      </c>
      <c r="H8" s="100">
        <v>0.6</v>
      </c>
      <c r="I8" s="99" t="s">
        <v>24</v>
      </c>
      <c r="J8" s="99" t="s">
        <v>24</v>
      </c>
      <c r="K8" s="99" t="s">
        <v>79</v>
      </c>
      <c r="L8" s="89">
        <v>790</v>
      </c>
      <c r="M8" s="102">
        <v>790</v>
      </c>
      <c r="N8" s="66">
        <f>L8-M8</f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39" s="76" customFormat="1" ht="100.05" customHeight="1" x14ac:dyDescent="0.3">
      <c r="A9" s="99">
        <v>250082</v>
      </c>
      <c r="B9" s="99">
        <v>430</v>
      </c>
      <c r="C9" s="100">
        <v>0.6</v>
      </c>
      <c r="D9" s="99">
        <v>582</v>
      </c>
      <c r="E9" s="101" t="s">
        <v>305</v>
      </c>
      <c r="F9" s="99" t="s">
        <v>181</v>
      </c>
      <c r="G9" s="99">
        <v>430</v>
      </c>
      <c r="H9" s="100">
        <v>0.6</v>
      </c>
      <c r="I9" s="99" t="s">
        <v>24</v>
      </c>
      <c r="J9" s="99" t="s">
        <v>24</v>
      </c>
      <c r="K9" s="99" t="s">
        <v>79</v>
      </c>
      <c r="L9" s="89">
        <v>1000</v>
      </c>
      <c r="M9" s="102">
        <v>960</v>
      </c>
      <c r="N9" s="66">
        <f t="shared" ref="N9:N14" si="3">L9-M9</f>
        <v>40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/>
    </row>
    <row r="10" spans="1:39" s="76" customFormat="1" ht="100.05" customHeight="1" x14ac:dyDescent="0.3">
      <c r="A10" s="99">
        <v>250081</v>
      </c>
      <c r="B10" s="99">
        <v>304</v>
      </c>
      <c r="C10" s="100">
        <v>0.6</v>
      </c>
      <c r="D10" s="99">
        <v>577</v>
      </c>
      <c r="E10" s="101" t="s">
        <v>309</v>
      </c>
      <c r="F10" s="99" t="s">
        <v>181</v>
      </c>
      <c r="G10" s="99">
        <v>430</v>
      </c>
      <c r="H10" s="100">
        <v>0.6</v>
      </c>
      <c r="I10" s="99" t="s">
        <v>24</v>
      </c>
      <c r="J10" s="99" t="s">
        <v>24</v>
      </c>
      <c r="K10" s="99" t="s">
        <v>86</v>
      </c>
      <c r="L10" s="89">
        <v>600</v>
      </c>
      <c r="M10" s="102"/>
      <c r="N10" s="66">
        <f t="shared" si="3"/>
        <v>600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/>
    </row>
    <row r="11" spans="1:39" s="76" customFormat="1" ht="100.05" customHeight="1" x14ac:dyDescent="0.3">
      <c r="A11" s="99">
        <v>250082</v>
      </c>
      <c r="B11" s="99">
        <v>430</v>
      </c>
      <c r="C11" s="100">
        <v>0.6</v>
      </c>
      <c r="D11" s="99">
        <v>719</v>
      </c>
      <c r="E11" s="101" t="s">
        <v>306</v>
      </c>
      <c r="F11" s="99" t="s">
        <v>181</v>
      </c>
      <c r="G11" s="99">
        <v>430</v>
      </c>
      <c r="H11" s="100">
        <v>0.6</v>
      </c>
      <c r="I11" s="99" t="s">
        <v>24</v>
      </c>
      <c r="J11" s="99" t="s">
        <v>24</v>
      </c>
      <c r="K11" s="99" t="s">
        <v>79</v>
      </c>
      <c r="L11" s="89">
        <v>1000</v>
      </c>
      <c r="M11" s="102"/>
      <c r="N11" s="66">
        <f t="shared" si="3"/>
        <v>1000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/>
    </row>
    <row r="12" spans="1:39" s="76" customFormat="1" ht="100.05" customHeight="1" x14ac:dyDescent="0.3">
      <c r="A12" s="99">
        <v>250082</v>
      </c>
      <c r="B12" s="99">
        <v>430</v>
      </c>
      <c r="C12" s="100">
        <v>0.6</v>
      </c>
      <c r="D12" s="99">
        <v>653</v>
      </c>
      <c r="E12" s="101" t="s">
        <v>307</v>
      </c>
      <c r="F12" s="99" t="s">
        <v>181</v>
      </c>
      <c r="G12" s="99">
        <v>430</v>
      </c>
      <c r="H12" s="100">
        <v>0.6</v>
      </c>
      <c r="I12" s="99" t="s">
        <v>24</v>
      </c>
      <c r="J12" s="99" t="s">
        <v>24</v>
      </c>
      <c r="K12" s="99" t="s">
        <v>79</v>
      </c>
      <c r="L12" s="89">
        <v>1000</v>
      </c>
      <c r="M12" s="102"/>
      <c r="N12" s="66">
        <f t="shared" si="3"/>
        <v>1000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/>
      <c r="AF12" s="62"/>
      <c r="AG12" s="64"/>
      <c r="AH12" s="67"/>
      <c r="AI12" s="65"/>
      <c r="AJ12" s="78"/>
      <c r="AK12" s="66"/>
      <c r="AL12" s="67"/>
      <c r="AM12" s="66"/>
    </row>
    <row r="13" spans="1:39" s="76" customFormat="1" ht="100.05" customHeight="1" x14ac:dyDescent="0.3">
      <c r="A13" s="99">
        <v>250081</v>
      </c>
      <c r="B13" s="99">
        <v>304</v>
      </c>
      <c r="C13" s="100">
        <v>0.6</v>
      </c>
      <c r="D13" s="99">
        <v>550</v>
      </c>
      <c r="E13" s="101" t="s">
        <v>308</v>
      </c>
      <c r="F13" s="99" t="s">
        <v>181</v>
      </c>
      <c r="G13" s="99">
        <v>430</v>
      </c>
      <c r="H13" s="100">
        <v>0.6</v>
      </c>
      <c r="I13" s="99" t="s">
        <v>24</v>
      </c>
      <c r="J13" s="99" t="s">
        <v>24</v>
      </c>
      <c r="K13" s="99" t="s">
        <v>86</v>
      </c>
      <c r="L13" s="89">
        <v>400</v>
      </c>
      <c r="M13" s="102"/>
      <c r="N13" s="66">
        <f t="shared" si="3"/>
        <v>400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/>
      <c r="AF13" s="62"/>
      <c r="AG13" s="64"/>
      <c r="AH13" s="67"/>
      <c r="AI13" s="65"/>
      <c r="AJ13" s="78"/>
      <c r="AK13" s="66"/>
      <c r="AL13" s="67"/>
      <c r="AM13" s="66"/>
    </row>
    <row r="14" spans="1:39" s="76" customFormat="1" ht="100.05" customHeight="1" x14ac:dyDescent="0.3">
      <c r="A14" s="99">
        <v>250084</v>
      </c>
      <c r="B14" s="99">
        <v>304</v>
      </c>
      <c r="C14" s="100">
        <v>0.7</v>
      </c>
      <c r="D14" s="99">
        <v>577</v>
      </c>
      <c r="E14" s="101" t="s">
        <v>312</v>
      </c>
      <c r="F14" s="99" t="s">
        <v>181</v>
      </c>
      <c r="G14" s="99">
        <v>304</v>
      </c>
      <c r="H14" s="100">
        <v>0.6</v>
      </c>
      <c r="I14" s="99" t="s">
        <v>24</v>
      </c>
      <c r="J14" s="99" t="s">
        <v>24</v>
      </c>
      <c r="K14" s="99" t="s">
        <v>86</v>
      </c>
      <c r="L14" s="89">
        <v>715</v>
      </c>
      <c r="M14" s="102"/>
      <c r="N14" s="66">
        <f t="shared" si="3"/>
        <v>715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/>
      <c r="AF14" s="62"/>
      <c r="AG14" s="64"/>
      <c r="AH14" s="67"/>
      <c r="AI14" s="65"/>
      <c r="AJ14" s="78"/>
      <c r="AK14" s="66"/>
      <c r="AL14" s="67"/>
      <c r="AM14" s="66"/>
    </row>
    <row r="15" spans="1:39" s="76" customFormat="1" ht="100.05" customHeight="1" x14ac:dyDescent="0.3">
      <c r="A15" s="99">
        <v>250084</v>
      </c>
      <c r="B15" s="99">
        <v>304</v>
      </c>
      <c r="C15" s="100">
        <v>1</v>
      </c>
      <c r="D15" s="99">
        <v>577</v>
      </c>
      <c r="E15" s="101" t="s">
        <v>313</v>
      </c>
      <c r="F15" s="99" t="s">
        <v>181</v>
      </c>
      <c r="G15" s="99">
        <v>304</v>
      </c>
      <c r="H15" s="100">
        <v>0.6</v>
      </c>
      <c r="I15" s="99" t="s">
        <v>24</v>
      </c>
      <c r="J15" s="99" t="s">
        <v>24</v>
      </c>
      <c r="K15" s="99" t="s">
        <v>86</v>
      </c>
      <c r="L15" s="89">
        <v>15</v>
      </c>
      <c r="M15" s="102"/>
      <c r="N15" s="66">
        <f t="shared" ref="N15:N18" si="4">L15-M15</f>
        <v>15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99">
        <v>250084</v>
      </c>
      <c r="B16" s="99">
        <v>304</v>
      </c>
      <c r="C16" s="100">
        <v>0.7</v>
      </c>
      <c r="D16" s="99">
        <v>427</v>
      </c>
      <c r="E16" s="101" t="s">
        <v>314</v>
      </c>
      <c r="F16" s="99" t="s">
        <v>181</v>
      </c>
      <c r="G16" s="99">
        <v>304</v>
      </c>
      <c r="H16" s="100">
        <v>0.6</v>
      </c>
      <c r="I16" s="99" t="s">
        <v>24</v>
      </c>
      <c r="J16" s="99" t="s">
        <v>24</v>
      </c>
      <c r="K16" s="99" t="s">
        <v>86</v>
      </c>
      <c r="L16" s="89">
        <v>715</v>
      </c>
      <c r="M16" s="102">
        <v>720</v>
      </c>
      <c r="N16" s="66">
        <f t="shared" si="4"/>
        <v>-5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/>
      <c r="AF16" s="62"/>
      <c r="AG16" s="64"/>
      <c r="AH16" s="67"/>
      <c r="AI16" s="65"/>
      <c r="AJ16" s="78"/>
      <c r="AK16" s="66"/>
      <c r="AL16" s="67"/>
      <c r="AM16" s="66"/>
    </row>
    <row r="17" spans="1:40" s="76" customFormat="1" ht="100.05" customHeight="1" x14ac:dyDescent="0.3">
      <c r="A17" s="99">
        <v>250084</v>
      </c>
      <c r="B17" s="99">
        <v>304</v>
      </c>
      <c r="C17" s="100">
        <v>1</v>
      </c>
      <c r="D17" s="99">
        <v>427</v>
      </c>
      <c r="E17" s="101" t="s">
        <v>321</v>
      </c>
      <c r="F17" s="99" t="s">
        <v>181</v>
      </c>
      <c r="G17" s="99">
        <v>304</v>
      </c>
      <c r="H17" s="100">
        <v>0.6</v>
      </c>
      <c r="I17" s="99" t="s">
        <v>24</v>
      </c>
      <c r="J17" s="99" t="s">
        <v>24</v>
      </c>
      <c r="K17" s="99" t="s">
        <v>86</v>
      </c>
      <c r="L17" s="89">
        <v>15</v>
      </c>
      <c r="M17" s="102"/>
      <c r="N17" s="66">
        <f t="shared" si="4"/>
        <v>15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/>
      <c r="AF17" s="62"/>
      <c r="AG17" s="64"/>
      <c r="AH17" s="67"/>
      <c r="AI17" s="65"/>
      <c r="AJ17" s="78"/>
      <c r="AK17" s="66"/>
      <c r="AL17" s="67"/>
      <c r="AM17" s="66"/>
    </row>
    <row r="18" spans="1:40" s="76" customFormat="1" ht="100.05" customHeight="1" x14ac:dyDescent="0.3">
      <c r="A18" s="97"/>
      <c r="B18" s="62"/>
      <c r="C18" s="64"/>
      <c r="D18" s="62"/>
      <c r="E18" s="65"/>
      <c r="F18" s="62"/>
      <c r="G18" s="62"/>
      <c r="H18" s="64"/>
      <c r="I18" s="62"/>
      <c r="J18" s="62"/>
      <c r="K18" s="62"/>
      <c r="L18" s="62"/>
      <c r="M18" s="67"/>
      <c r="N18" s="66">
        <f t="shared" si="4"/>
        <v>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2"/>
      <c r="AB18" s="67"/>
      <c r="AC18" s="66">
        <f t="shared" si="2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68"/>
      <c r="B19" s="68"/>
      <c r="C19" s="69"/>
      <c r="D19" s="68"/>
      <c r="E19" s="70"/>
      <c r="F19" s="68"/>
      <c r="G19" s="68"/>
      <c r="H19" s="69"/>
      <c r="I19" s="68"/>
      <c r="J19" s="68"/>
      <c r="K19" s="68"/>
      <c r="L19" s="66">
        <f>SUM(L4:L18)</f>
        <v>11150</v>
      </c>
      <c r="M19" s="71">
        <f>SUM(M4:M18)</f>
        <v>5730</v>
      </c>
      <c r="N19" s="66">
        <f>SUM(N4:N18)</f>
        <v>5420</v>
      </c>
      <c r="P19" s="68"/>
      <c r="Q19" s="68"/>
      <c r="R19" s="69"/>
      <c r="S19" s="68"/>
      <c r="T19" s="70"/>
      <c r="U19" s="68"/>
      <c r="V19" s="68"/>
      <c r="W19" s="69"/>
      <c r="X19" s="68"/>
      <c r="Y19" s="68"/>
      <c r="Z19" s="68"/>
      <c r="AA19" s="66">
        <f>AA4+AA6+AA7+AA8+AA18</f>
        <v>5300</v>
      </c>
      <c r="AB19" s="71">
        <f>SUM(AB4:AB18)</f>
        <v>5600</v>
      </c>
      <c r="AC19" s="66">
        <f>SUM(AC4:AC18)</f>
        <v>-300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5" customFormat="1" ht="100.05" customHeight="1" x14ac:dyDescent="0.3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6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6"/>
    </row>
    <row r="21" spans="1:40" s="75" customFormat="1" ht="100.05" customHeight="1" x14ac:dyDescent="0.3">
      <c r="A21" s="109" t="s">
        <v>101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1"/>
      <c r="P21" s="109" t="s">
        <v>99</v>
      </c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1"/>
      <c r="AD21" s="76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6"/>
    </row>
    <row r="22" spans="1:40" s="75" customFormat="1" ht="145.80000000000001" x14ac:dyDescent="0.3">
      <c r="A22" s="81" t="s">
        <v>0</v>
      </c>
      <c r="B22" s="81" t="s">
        <v>9</v>
      </c>
      <c r="C22" s="82" t="s">
        <v>11</v>
      </c>
      <c r="D22" s="81" t="s">
        <v>2</v>
      </c>
      <c r="E22" s="81" t="s">
        <v>1</v>
      </c>
      <c r="F22" s="81" t="s">
        <v>14</v>
      </c>
      <c r="G22" s="81" t="s">
        <v>8</v>
      </c>
      <c r="H22" s="82" t="s">
        <v>10</v>
      </c>
      <c r="I22" s="82" t="s">
        <v>12</v>
      </c>
      <c r="J22" s="82" t="s">
        <v>13</v>
      </c>
      <c r="K22" s="81" t="s">
        <v>3</v>
      </c>
      <c r="L22" s="81" t="s">
        <v>7</v>
      </c>
      <c r="M22" s="81" t="s">
        <v>5</v>
      </c>
      <c r="N22" s="81" t="s">
        <v>6</v>
      </c>
      <c r="P22" s="81" t="s">
        <v>0</v>
      </c>
      <c r="Q22" s="81" t="s">
        <v>9</v>
      </c>
      <c r="R22" s="82" t="s">
        <v>11</v>
      </c>
      <c r="S22" s="81" t="s">
        <v>2</v>
      </c>
      <c r="T22" s="81" t="s">
        <v>1</v>
      </c>
      <c r="U22" s="81" t="s">
        <v>14</v>
      </c>
      <c r="V22" s="81" t="s">
        <v>8</v>
      </c>
      <c r="W22" s="82" t="s">
        <v>10</v>
      </c>
      <c r="X22" s="82" t="s">
        <v>12</v>
      </c>
      <c r="Y22" s="82" t="s">
        <v>13</v>
      </c>
      <c r="Z22" s="81" t="s">
        <v>3</v>
      </c>
      <c r="AA22" s="81" t="s">
        <v>7</v>
      </c>
      <c r="AB22" s="81" t="s">
        <v>5</v>
      </c>
      <c r="AC22" s="81" t="s">
        <v>6</v>
      </c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6" customFormat="1" ht="100.05" customHeight="1" x14ac:dyDescent="0.3">
      <c r="A23" s="99">
        <v>21025</v>
      </c>
      <c r="B23" s="99">
        <v>304</v>
      </c>
      <c r="C23" s="100">
        <v>0.6</v>
      </c>
      <c r="D23" s="99">
        <v>234</v>
      </c>
      <c r="E23" s="101" t="s">
        <v>249</v>
      </c>
      <c r="F23" s="99" t="s">
        <v>121</v>
      </c>
      <c r="G23" s="99">
        <v>430</v>
      </c>
      <c r="H23" s="100">
        <v>0.6</v>
      </c>
      <c r="I23" s="99" t="s">
        <v>24</v>
      </c>
      <c r="J23" s="99" t="s">
        <v>24</v>
      </c>
      <c r="K23" s="99" t="s">
        <v>86</v>
      </c>
      <c r="L23" s="89">
        <v>1000</v>
      </c>
      <c r="M23" s="102"/>
      <c r="N23" s="66">
        <f t="shared" ref="N23" si="5">L23-M23</f>
        <v>1000</v>
      </c>
      <c r="P23" s="62">
        <v>250079</v>
      </c>
      <c r="Q23" s="62">
        <v>304</v>
      </c>
      <c r="R23" s="64">
        <v>0.7</v>
      </c>
      <c r="S23" s="62">
        <v>324</v>
      </c>
      <c r="T23" s="65" t="s">
        <v>261</v>
      </c>
      <c r="U23" s="62" t="s">
        <v>23</v>
      </c>
      <c r="V23" s="62">
        <v>304</v>
      </c>
      <c r="W23" s="64">
        <v>0.6</v>
      </c>
      <c r="X23" s="62" t="s">
        <v>24</v>
      </c>
      <c r="Y23" s="62" t="s">
        <v>24</v>
      </c>
      <c r="Z23" s="62" t="s">
        <v>74</v>
      </c>
      <c r="AA23" s="66">
        <v>964</v>
      </c>
      <c r="AB23" s="67">
        <v>250</v>
      </c>
      <c r="AC23" s="66">
        <f t="shared" ref="AC23:AC41" si="6">AA23-AB23</f>
        <v>714</v>
      </c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</row>
    <row r="24" spans="1:40" s="76" customFormat="1" ht="100.05" customHeight="1" x14ac:dyDescent="0.3">
      <c r="A24" s="99">
        <v>250080</v>
      </c>
      <c r="B24" s="99">
        <v>304</v>
      </c>
      <c r="C24" s="100">
        <v>0.6</v>
      </c>
      <c r="D24" s="99">
        <v>435</v>
      </c>
      <c r="E24" s="92" t="s">
        <v>287</v>
      </c>
      <c r="F24" s="99" t="s">
        <v>181</v>
      </c>
      <c r="G24" s="99">
        <v>430</v>
      </c>
      <c r="H24" s="100">
        <v>0.6</v>
      </c>
      <c r="I24" s="99" t="s">
        <v>24</v>
      </c>
      <c r="J24" s="99" t="s">
        <v>24</v>
      </c>
      <c r="K24" s="99" t="s">
        <v>79</v>
      </c>
      <c r="L24" s="89">
        <v>300</v>
      </c>
      <c r="M24" s="102"/>
      <c r="N24" s="66">
        <f>L24-M24</f>
        <v>300</v>
      </c>
      <c r="P24" s="62">
        <v>250079</v>
      </c>
      <c r="Q24" s="62">
        <v>304</v>
      </c>
      <c r="R24" s="64">
        <v>0.7</v>
      </c>
      <c r="S24" s="62">
        <v>324</v>
      </c>
      <c r="T24" s="93" t="s">
        <v>262</v>
      </c>
      <c r="U24" s="62" t="s">
        <v>23</v>
      </c>
      <c r="V24" s="62">
        <v>304</v>
      </c>
      <c r="W24" s="64">
        <v>0.6</v>
      </c>
      <c r="X24" s="62" t="s">
        <v>24</v>
      </c>
      <c r="Y24" s="62" t="s">
        <v>24</v>
      </c>
      <c r="Z24" s="62" t="s">
        <v>74</v>
      </c>
      <c r="AA24" s="66">
        <v>36</v>
      </c>
      <c r="AB24" s="67"/>
      <c r="AC24" s="66">
        <f t="shared" si="6"/>
        <v>36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9">
        <v>250049</v>
      </c>
      <c r="B25" s="99">
        <v>304</v>
      </c>
      <c r="C25" s="100">
        <v>0.6</v>
      </c>
      <c r="D25" s="99">
        <v>425</v>
      </c>
      <c r="E25" s="101" t="s">
        <v>296</v>
      </c>
      <c r="F25" s="99" t="s">
        <v>42</v>
      </c>
      <c r="G25" s="99" t="s">
        <v>24</v>
      </c>
      <c r="H25" s="100" t="s">
        <v>24</v>
      </c>
      <c r="I25" s="99" t="s">
        <v>24</v>
      </c>
      <c r="J25" s="99" t="s">
        <v>24</v>
      </c>
      <c r="K25" s="99" t="s">
        <v>86</v>
      </c>
      <c r="L25" s="89">
        <v>450</v>
      </c>
      <c r="M25" s="102">
        <v>500</v>
      </c>
      <c r="N25" s="90">
        <f t="shared" ref="N25:N41" si="7">L25-M25</f>
        <v>-50</v>
      </c>
      <c r="P25" s="62">
        <v>250079</v>
      </c>
      <c r="Q25" s="62">
        <v>304</v>
      </c>
      <c r="R25" s="64">
        <v>0.7</v>
      </c>
      <c r="S25" s="62">
        <v>307</v>
      </c>
      <c r="T25" s="93" t="s">
        <v>264</v>
      </c>
      <c r="U25" s="62" t="s">
        <v>23</v>
      </c>
      <c r="V25" s="62">
        <v>304</v>
      </c>
      <c r="W25" s="64">
        <v>0.6</v>
      </c>
      <c r="X25" s="62" t="s">
        <v>24</v>
      </c>
      <c r="Y25" s="62" t="s">
        <v>24</v>
      </c>
      <c r="Z25" s="62" t="s">
        <v>74</v>
      </c>
      <c r="AA25" s="66">
        <v>1314</v>
      </c>
      <c r="AB25" s="67">
        <f>850+550</f>
        <v>1400</v>
      </c>
      <c r="AC25" s="66">
        <f t="shared" si="6"/>
        <v>-86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9">
        <v>151025</v>
      </c>
      <c r="B26" s="99">
        <v>304</v>
      </c>
      <c r="C26" s="100">
        <v>0.7</v>
      </c>
      <c r="D26" s="99">
        <v>380</v>
      </c>
      <c r="E26" s="101" t="s">
        <v>298</v>
      </c>
      <c r="F26" s="99" t="s">
        <v>121</v>
      </c>
      <c r="G26" s="99">
        <v>430</v>
      </c>
      <c r="H26" s="100">
        <v>0.6</v>
      </c>
      <c r="I26" s="99" t="s">
        <v>24</v>
      </c>
      <c r="J26" s="99" t="s">
        <v>24</v>
      </c>
      <c r="K26" s="99" t="s">
        <v>86</v>
      </c>
      <c r="L26" s="89">
        <v>1000</v>
      </c>
      <c r="M26" s="102">
        <v>1000</v>
      </c>
      <c r="N26" s="66">
        <f t="shared" si="7"/>
        <v>0</v>
      </c>
      <c r="P26" s="62">
        <v>250079</v>
      </c>
      <c r="Q26" s="62">
        <v>304</v>
      </c>
      <c r="R26" s="64">
        <v>0.7</v>
      </c>
      <c r="S26" s="62">
        <v>307</v>
      </c>
      <c r="T26" s="93" t="s">
        <v>263</v>
      </c>
      <c r="U26" s="62" t="s">
        <v>23</v>
      </c>
      <c r="V26" s="62">
        <v>304</v>
      </c>
      <c r="W26" s="64">
        <v>0.6</v>
      </c>
      <c r="X26" s="62" t="s">
        <v>24</v>
      </c>
      <c r="Y26" s="62" t="s">
        <v>24</v>
      </c>
      <c r="Z26" s="62" t="s">
        <v>74</v>
      </c>
      <c r="AA26" s="66">
        <v>36</v>
      </c>
      <c r="AB26" s="67">
        <v>50</v>
      </c>
      <c r="AC26" s="66">
        <f t="shared" si="6"/>
        <v>-14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9">
        <v>151025</v>
      </c>
      <c r="B27" s="99">
        <v>304</v>
      </c>
      <c r="C27" s="100">
        <v>0.7</v>
      </c>
      <c r="D27" s="99">
        <v>319</v>
      </c>
      <c r="E27" s="101" t="s">
        <v>299</v>
      </c>
      <c r="F27" s="99" t="s">
        <v>121</v>
      </c>
      <c r="G27" s="99">
        <v>430</v>
      </c>
      <c r="H27" s="100">
        <v>0.6</v>
      </c>
      <c r="I27" s="99" t="s">
        <v>24</v>
      </c>
      <c r="J27" s="99" t="s">
        <v>24</v>
      </c>
      <c r="K27" s="99" t="s">
        <v>86</v>
      </c>
      <c r="L27" s="89">
        <v>1000</v>
      </c>
      <c r="M27" s="102"/>
      <c r="N27" s="66">
        <f t="shared" si="7"/>
        <v>1000</v>
      </c>
      <c r="P27" s="62">
        <v>250080</v>
      </c>
      <c r="Q27" s="62">
        <v>304</v>
      </c>
      <c r="R27" s="64">
        <v>0.7</v>
      </c>
      <c r="S27" s="62">
        <v>307</v>
      </c>
      <c r="T27" s="93" t="s">
        <v>270</v>
      </c>
      <c r="U27" s="62" t="s">
        <v>23</v>
      </c>
      <c r="V27" s="62">
        <v>430</v>
      </c>
      <c r="W27" s="64">
        <v>0.6</v>
      </c>
      <c r="X27" s="62" t="s">
        <v>24</v>
      </c>
      <c r="Y27" s="62" t="s">
        <v>24</v>
      </c>
      <c r="Z27" s="62" t="s">
        <v>74</v>
      </c>
      <c r="AA27" s="66">
        <v>1000</v>
      </c>
      <c r="AB27" s="67">
        <v>1000</v>
      </c>
      <c r="AC27" s="66">
        <f t="shared" si="6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9" t="s">
        <v>300</v>
      </c>
      <c r="B28" s="99">
        <v>304</v>
      </c>
      <c r="C28" s="100">
        <v>0.7</v>
      </c>
      <c r="D28" s="99">
        <v>319</v>
      </c>
      <c r="E28" s="101" t="s">
        <v>299</v>
      </c>
      <c r="F28" s="99" t="s">
        <v>121</v>
      </c>
      <c r="G28" s="99">
        <v>430</v>
      </c>
      <c r="H28" s="100">
        <v>0.6</v>
      </c>
      <c r="I28" s="99" t="s">
        <v>24</v>
      </c>
      <c r="J28" s="99" t="s">
        <v>24</v>
      </c>
      <c r="K28" s="99" t="s">
        <v>86</v>
      </c>
      <c r="L28" s="89">
        <v>1000</v>
      </c>
      <c r="M28" s="102"/>
      <c r="N28" s="66">
        <f t="shared" si="7"/>
        <v>1000</v>
      </c>
      <c r="P28" s="62">
        <v>250079</v>
      </c>
      <c r="Q28" s="62">
        <v>304</v>
      </c>
      <c r="R28" s="64">
        <v>0.7</v>
      </c>
      <c r="S28" s="62">
        <v>265</v>
      </c>
      <c r="T28" s="93" t="s">
        <v>265</v>
      </c>
      <c r="U28" s="62" t="s">
        <v>23</v>
      </c>
      <c r="V28" s="62">
        <v>304</v>
      </c>
      <c r="W28" s="64">
        <v>0.6</v>
      </c>
      <c r="X28" s="62" t="s">
        <v>24</v>
      </c>
      <c r="Y28" s="62" t="s">
        <v>24</v>
      </c>
      <c r="Z28" s="62" t="s">
        <v>74</v>
      </c>
      <c r="AA28" s="66">
        <v>1314</v>
      </c>
      <c r="AB28" s="67"/>
      <c r="AC28" s="66">
        <f t="shared" si="6"/>
        <v>1314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9">
        <v>151025</v>
      </c>
      <c r="B29" s="99">
        <v>304</v>
      </c>
      <c r="C29" s="100">
        <v>0.7</v>
      </c>
      <c r="D29" s="99">
        <v>433</v>
      </c>
      <c r="E29" s="101" t="s">
        <v>301</v>
      </c>
      <c r="F29" s="99" t="s">
        <v>121</v>
      </c>
      <c r="G29" s="99">
        <v>430</v>
      </c>
      <c r="H29" s="100">
        <v>0.6</v>
      </c>
      <c r="I29" s="99" t="s">
        <v>24</v>
      </c>
      <c r="J29" s="99" t="s">
        <v>24</v>
      </c>
      <c r="K29" s="99" t="s">
        <v>86</v>
      </c>
      <c r="L29" s="89">
        <v>1000</v>
      </c>
      <c r="M29" s="102"/>
      <c r="N29" s="66">
        <f t="shared" si="7"/>
        <v>1000</v>
      </c>
      <c r="P29" s="62">
        <v>250079</v>
      </c>
      <c r="Q29" s="62">
        <v>304</v>
      </c>
      <c r="R29" s="64">
        <v>0.7</v>
      </c>
      <c r="S29" s="62">
        <v>265</v>
      </c>
      <c r="T29" s="93" t="s">
        <v>266</v>
      </c>
      <c r="U29" s="62" t="s">
        <v>23</v>
      </c>
      <c r="V29" s="62">
        <v>304</v>
      </c>
      <c r="W29" s="64">
        <v>0.6</v>
      </c>
      <c r="X29" s="62" t="s">
        <v>24</v>
      </c>
      <c r="Y29" s="62" t="s">
        <v>24</v>
      </c>
      <c r="Z29" s="62" t="s">
        <v>74</v>
      </c>
      <c r="AA29" s="66">
        <v>36</v>
      </c>
      <c r="AB29" s="67"/>
      <c r="AC29" s="66">
        <f t="shared" si="6"/>
        <v>36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9">
        <v>2250081</v>
      </c>
      <c r="B30" s="99">
        <v>304</v>
      </c>
      <c r="C30" s="100">
        <v>0.6</v>
      </c>
      <c r="D30" s="99">
        <v>427</v>
      </c>
      <c r="E30" s="101" t="s">
        <v>311</v>
      </c>
      <c r="F30" s="99" t="s">
        <v>23</v>
      </c>
      <c r="G30" s="99">
        <v>430</v>
      </c>
      <c r="H30" s="100">
        <v>0.6</v>
      </c>
      <c r="I30" s="99" t="s">
        <v>24</v>
      </c>
      <c r="J30" s="99" t="s">
        <v>24</v>
      </c>
      <c r="K30" s="99" t="s">
        <v>86</v>
      </c>
      <c r="L30" s="89">
        <v>500</v>
      </c>
      <c r="M30" s="102"/>
      <c r="N30" s="66">
        <f t="shared" si="7"/>
        <v>500</v>
      </c>
      <c r="P30" s="62">
        <v>250080</v>
      </c>
      <c r="Q30" s="62">
        <v>304</v>
      </c>
      <c r="R30" s="64">
        <v>0.7</v>
      </c>
      <c r="S30" s="62">
        <v>265</v>
      </c>
      <c r="T30" s="93" t="s">
        <v>271</v>
      </c>
      <c r="U30" s="62" t="s">
        <v>23</v>
      </c>
      <c r="V30" s="62">
        <v>430</v>
      </c>
      <c r="W30" s="64">
        <v>0.6</v>
      </c>
      <c r="X30" s="62" t="s">
        <v>24</v>
      </c>
      <c r="Y30" s="62" t="s">
        <v>24</v>
      </c>
      <c r="Z30" s="62" t="s">
        <v>74</v>
      </c>
      <c r="AA30" s="66">
        <v>1200</v>
      </c>
      <c r="AB30" s="67"/>
      <c r="AC30" s="66"/>
      <c r="AD30" s="75"/>
      <c r="AE30" s="62"/>
      <c r="AF30" s="62"/>
      <c r="AG30" s="64"/>
      <c r="AH30" s="67"/>
      <c r="AI30" s="65"/>
      <c r="AJ30" s="78"/>
      <c r="AK30" s="66"/>
      <c r="AL30" s="67"/>
      <c r="AM30" s="66"/>
      <c r="AN30" s="75"/>
    </row>
    <row r="31" spans="1:40" s="76" customFormat="1" ht="100.05" customHeight="1" x14ac:dyDescent="0.3">
      <c r="A31" s="99">
        <v>151025</v>
      </c>
      <c r="B31" s="99">
        <v>304</v>
      </c>
      <c r="C31" s="100">
        <v>0.7</v>
      </c>
      <c r="D31" s="99">
        <v>388</v>
      </c>
      <c r="E31" s="101" t="s">
        <v>302</v>
      </c>
      <c r="F31" s="99" t="s">
        <v>121</v>
      </c>
      <c r="G31" s="99">
        <v>430</v>
      </c>
      <c r="H31" s="100">
        <v>0.6</v>
      </c>
      <c r="I31" s="99" t="s">
        <v>24</v>
      </c>
      <c r="J31" s="99" t="s">
        <v>24</v>
      </c>
      <c r="K31" s="99" t="s">
        <v>86</v>
      </c>
      <c r="L31" s="89">
        <v>1000</v>
      </c>
      <c r="M31" s="102"/>
      <c r="N31" s="66">
        <f t="shared" si="7"/>
        <v>1000</v>
      </c>
      <c r="P31" s="62"/>
      <c r="Q31" s="62"/>
      <c r="R31" s="64"/>
      <c r="S31" s="62"/>
      <c r="T31" s="93"/>
      <c r="U31" s="62"/>
      <c r="V31" s="62"/>
      <c r="W31" s="64"/>
      <c r="X31" s="62"/>
      <c r="Y31" s="62"/>
      <c r="Z31" s="62"/>
      <c r="AA31" s="66"/>
      <c r="AB31" s="67"/>
      <c r="AC31" s="66">
        <f t="shared" si="6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99">
        <v>250081</v>
      </c>
      <c r="B32" s="99">
        <v>304</v>
      </c>
      <c r="C32" s="100">
        <v>0.6</v>
      </c>
      <c r="D32" s="99">
        <v>467</v>
      </c>
      <c r="E32" s="101" t="s">
        <v>310</v>
      </c>
      <c r="F32" s="99" t="s">
        <v>181</v>
      </c>
      <c r="G32" s="99">
        <v>430</v>
      </c>
      <c r="H32" s="100">
        <v>0.6</v>
      </c>
      <c r="I32" s="99" t="s">
        <v>24</v>
      </c>
      <c r="J32" s="99" t="s">
        <v>24</v>
      </c>
      <c r="K32" s="99" t="s">
        <v>86</v>
      </c>
      <c r="L32" s="89">
        <v>500</v>
      </c>
      <c r="M32" s="102"/>
      <c r="N32" s="66">
        <f t="shared" si="7"/>
        <v>500</v>
      </c>
      <c r="P32" s="62"/>
      <c r="Q32" s="62"/>
      <c r="R32" s="64"/>
      <c r="S32" s="62"/>
      <c r="T32" s="93"/>
      <c r="U32" s="62"/>
      <c r="V32" s="62"/>
      <c r="W32" s="64"/>
      <c r="X32" s="62"/>
      <c r="Y32" s="62"/>
      <c r="Z32" s="62"/>
      <c r="AA32" s="66"/>
      <c r="AB32" s="67"/>
      <c r="AC32" s="66"/>
      <c r="AD32" s="75"/>
      <c r="AE32" s="62"/>
      <c r="AF32" s="62"/>
      <c r="AG32" s="64"/>
      <c r="AH32" s="67"/>
      <c r="AI32" s="65"/>
      <c r="AJ32" s="78"/>
      <c r="AK32" s="66"/>
      <c r="AL32" s="67"/>
      <c r="AM32" s="66"/>
      <c r="AN32" s="75"/>
    </row>
    <row r="33" spans="1:40" s="76" customFormat="1" ht="100.05" customHeight="1" x14ac:dyDescent="0.3">
      <c r="A33" s="99" t="s">
        <v>300</v>
      </c>
      <c r="B33" s="99">
        <v>304</v>
      </c>
      <c r="C33" s="100">
        <v>0.7</v>
      </c>
      <c r="D33" s="99">
        <v>289</v>
      </c>
      <c r="E33" s="101" t="s">
        <v>303</v>
      </c>
      <c r="F33" s="99" t="s">
        <v>121</v>
      </c>
      <c r="G33" s="99">
        <v>430</v>
      </c>
      <c r="H33" s="100">
        <v>0.6</v>
      </c>
      <c r="I33" s="99" t="s">
        <v>24</v>
      </c>
      <c r="J33" s="99" t="s">
        <v>24</v>
      </c>
      <c r="K33" s="99" t="s">
        <v>86</v>
      </c>
      <c r="L33" s="89">
        <v>1000</v>
      </c>
      <c r="M33" s="102"/>
      <c r="N33" s="66">
        <f t="shared" si="7"/>
        <v>1000</v>
      </c>
      <c r="P33" s="62"/>
      <c r="Q33" s="62"/>
      <c r="R33" s="64"/>
      <c r="S33" s="62"/>
      <c r="T33" s="93"/>
      <c r="U33" s="62"/>
      <c r="V33" s="62"/>
      <c r="W33" s="64"/>
      <c r="X33" s="62"/>
      <c r="Y33" s="62"/>
      <c r="Z33" s="62"/>
      <c r="AA33" s="66"/>
      <c r="AB33" s="67"/>
      <c r="AC33" s="66"/>
      <c r="AD33" s="75"/>
      <c r="AE33" s="62"/>
      <c r="AF33" s="62"/>
      <c r="AG33" s="64"/>
      <c r="AH33" s="67"/>
      <c r="AI33" s="65"/>
      <c r="AJ33" s="78"/>
      <c r="AK33" s="66"/>
      <c r="AL33" s="67"/>
      <c r="AM33" s="66"/>
      <c r="AN33" s="75"/>
    </row>
    <row r="34" spans="1:40" s="76" customFormat="1" ht="100.05" customHeight="1" x14ac:dyDescent="0.3">
      <c r="A34" s="99" t="s">
        <v>300</v>
      </c>
      <c r="B34" s="99">
        <v>304</v>
      </c>
      <c r="C34" s="100">
        <v>0.7</v>
      </c>
      <c r="D34" s="99">
        <v>265</v>
      </c>
      <c r="E34" s="101" t="s">
        <v>304</v>
      </c>
      <c r="F34" s="99" t="s">
        <v>121</v>
      </c>
      <c r="G34" s="99">
        <v>430</v>
      </c>
      <c r="H34" s="100">
        <v>0.6</v>
      </c>
      <c r="I34" s="99" t="s">
        <v>24</v>
      </c>
      <c r="J34" s="99" t="s">
        <v>24</v>
      </c>
      <c r="K34" s="99" t="s">
        <v>86</v>
      </c>
      <c r="L34" s="89">
        <v>1000</v>
      </c>
      <c r="M34" s="102"/>
      <c r="N34" s="66">
        <f t="shared" si="7"/>
        <v>1000</v>
      </c>
      <c r="P34" s="62"/>
      <c r="Q34" s="62"/>
      <c r="R34" s="64"/>
      <c r="S34" s="62"/>
      <c r="T34" s="93"/>
      <c r="U34" s="62"/>
      <c r="V34" s="62"/>
      <c r="W34" s="64"/>
      <c r="X34" s="62"/>
      <c r="Y34" s="62"/>
      <c r="Z34" s="62"/>
      <c r="AA34" s="66"/>
      <c r="AB34" s="67"/>
      <c r="AC34" s="66"/>
      <c r="AD34" s="75"/>
      <c r="AE34" s="62"/>
      <c r="AF34" s="62"/>
      <c r="AG34" s="64"/>
      <c r="AH34" s="67"/>
      <c r="AI34" s="65"/>
      <c r="AJ34" s="78"/>
      <c r="AK34" s="66"/>
      <c r="AL34" s="67"/>
      <c r="AM34" s="66"/>
      <c r="AN34" s="75"/>
    </row>
    <row r="35" spans="1:40" s="76" customFormat="1" ht="100.05" customHeight="1" x14ac:dyDescent="0.3">
      <c r="A35" s="99">
        <v>250084</v>
      </c>
      <c r="B35" s="99">
        <v>304</v>
      </c>
      <c r="C35" s="100">
        <v>0.7</v>
      </c>
      <c r="D35" s="99">
        <v>375</v>
      </c>
      <c r="E35" s="101" t="s">
        <v>315</v>
      </c>
      <c r="F35" s="99" t="s">
        <v>23</v>
      </c>
      <c r="G35" s="99">
        <v>304</v>
      </c>
      <c r="H35" s="100">
        <v>0.6</v>
      </c>
      <c r="I35" s="99" t="s">
        <v>24</v>
      </c>
      <c r="J35" s="99" t="s">
        <v>24</v>
      </c>
      <c r="K35" s="99" t="s">
        <v>86</v>
      </c>
      <c r="L35" s="89">
        <v>715</v>
      </c>
      <c r="M35" s="102"/>
      <c r="N35" s="66">
        <f t="shared" si="7"/>
        <v>715</v>
      </c>
      <c r="P35" s="62"/>
      <c r="Q35" s="62"/>
      <c r="R35" s="64"/>
      <c r="S35" s="62"/>
      <c r="T35" s="93"/>
      <c r="U35" s="62"/>
      <c r="V35" s="62"/>
      <c r="W35" s="64"/>
      <c r="X35" s="62"/>
      <c r="Y35" s="62"/>
      <c r="Z35" s="62"/>
      <c r="AA35" s="66"/>
      <c r="AB35" s="67"/>
      <c r="AC35" s="66"/>
      <c r="AD35" s="75"/>
      <c r="AE35" s="62"/>
      <c r="AF35" s="62"/>
      <c r="AG35" s="64"/>
      <c r="AH35" s="67"/>
      <c r="AI35" s="65"/>
      <c r="AJ35" s="78"/>
      <c r="AK35" s="66"/>
      <c r="AL35" s="67"/>
      <c r="AM35" s="66"/>
      <c r="AN35" s="75"/>
    </row>
    <row r="36" spans="1:40" s="76" customFormat="1" ht="100.05" customHeight="1" x14ac:dyDescent="0.3">
      <c r="A36" s="99">
        <v>250084</v>
      </c>
      <c r="B36" s="99">
        <v>304</v>
      </c>
      <c r="C36" s="100">
        <v>1</v>
      </c>
      <c r="D36" s="99">
        <v>375</v>
      </c>
      <c r="E36" s="101" t="s">
        <v>316</v>
      </c>
      <c r="F36" s="99" t="s">
        <v>23</v>
      </c>
      <c r="G36" s="99">
        <v>304</v>
      </c>
      <c r="H36" s="100">
        <v>0.6</v>
      </c>
      <c r="I36" s="99" t="s">
        <v>24</v>
      </c>
      <c r="J36" s="99" t="s">
        <v>24</v>
      </c>
      <c r="K36" s="99" t="s">
        <v>86</v>
      </c>
      <c r="L36" s="89">
        <v>15</v>
      </c>
      <c r="M36" s="102"/>
      <c r="N36" s="66">
        <f t="shared" si="7"/>
        <v>15</v>
      </c>
      <c r="P36" s="62"/>
      <c r="Q36" s="62"/>
      <c r="R36" s="64"/>
      <c r="S36" s="62"/>
      <c r="T36" s="93"/>
      <c r="U36" s="62"/>
      <c r="V36" s="62"/>
      <c r="W36" s="64"/>
      <c r="X36" s="62"/>
      <c r="Y36" s="62"/>
      <c r="Z36" s="62"/>
      <c r="AA36" s="66"/>
      <c r="AB36" s="67"/>
      <c r="AC36" s="66"/>
      <c r="AD36" s="75"/>
      <c r="AE36" s="62"/>
      <c r="AF36" s="62"/>
      <c r="AG36" s="64"/>
      <c r="AH36" s="67"/>
      <c r="AI36" s="65"/>
      <c r="AJ36" s="78"/>
      <c r="AK36" s="66"/>
      <c r="AL36" s="67"/>
      <c r="AM36" s="66"/>
      <c r="AN36" s="75"/>
    </row>
    <row r="37" spans="1:40" s="76" customFormat="1" ht="100.05" customHeight="1" x14ac:dyDescent="0.3">
      <c r="A37" s="99">
        <v>250084</v>
      </c>
      <c r="B37" s="99">
        <v>304</v>
      </c>
      <c r="C37" s="100">
        <v>0.7</v>
      </c>
      <c r="D37" s="99">
        <v>350</v>
      </c>
      <c r="E37" s="101" t="s">
        <v>317</v>
      </c>
      <c r="F37" s="99" t="s">
        <v>23</v>
      </c>
      <c r="G37" s="99">
        <v>304</v>
      </c>
      <c r="H37" s="100">
        <v>0.6</v>
      </c>
      <c r="I37" s="99" t="s">
        <v>24</v>
      </c>
      <c r="J37" s="99" t="s">
        <v>24</v>
      </c>
      <c r="K37" s="99" t="s">
        <v>86</v>
      </c>
      <c r="L37" s="89">
        <v>715</v>
      </c>
      <c r="M37" s="102"/>
      <c r="N37" s="66">
        <f t="shared" si="7"/>
        <v>715</v>
      </c>
      <c r="P37" s="62"/>
      <c r="Q37" s="62"/>
      <c r="R37" s="64"/>
      <c r="S37" s="62"/>
      <c r="T37" s="93"/>
      <c r="U37" s="62"/>
      <c r="V37" s="62"/>
      <c r="W37" s="64"/>
      <c r="X37" s="62"/>
      <c r="Y37" s="62"/>
      <c r="Z37" s="62"/>
      <c r="AA37" s="66"/>
      <c r="AB37" s="67"/>
      <c r="AC37" s="66"/>
      <c r="AD37" s="75"/>
      <c r="AE37" s="62"/>
      <c r="AF37" s="62"/>
      <c r="AG37" s="64"/>
      <c r="AH37" s="67"/>
      <c r="AI37" s="65"/>
      <c r="AJ37" s="78"/>
      <c r="AK37" s="66"/>
      <c r="AL37" s="67"/>
      <c r="AM37" s="66"/>
      <c r="AN37" s="75"/>
    </row>
    <row r="38" spans="1:40" s="76" customFormat="1" ht="100.05" customHeight="1" x14ac:dyDescent="0.3">
      <c r="A38" s="99">
        <v>250084</v>
      </c>
      <c r="B38" s="99">
        <v>304</v>
      </c>
      <c r="C38" s="100">
        <v>1</v>
      </c>
      <c r="D38" s="99">
        <v>350</v>
      </c>
      <c r="E38" s="101" t="s">
        <v>318</v>
      </c>
      <c r="F38" s="99" t="s">
        <v>23</v>
      </c>
      <c r="G38" s="99">
        <v>304</v>
      </c>
      <c r="H38" s="100">
        <v>0.6</v>
      </c>
      <c r="I38" s="99" t="s">
        <v>24</v>
      </c>
      <c r="J38" s="99" t="s">
        <v>24</v>
      </c>
      <c r="K38" s="99" t="s">
        <v>86</v>
      </c>
      <c r="L38" s="89">
        <v>15</v>
      </c>
      <c r="M38" s="102"/>
      <c r="N38" s="66">
        <f t="shared" si="7"/>
        <v>15</v>
      </c>
      <c r="P38" s="62"/>
      <c r="Q38" s="62"/>
      <c r="R38" s="64"/>
      <c r="S38" s="62"/>
      <c r="T38" s="93"/>
      <c r="U38" s="62"/>
      <c r="V38" s="62"/>
      <c r="W38" s="64"/>
      <c r="X38" s="62"/>
      <c r="Y38" s="62"/>
      <c r="Z38" s="62"/>
      <c r="AA38" s="66"/>
      <c r="AB38" s="67"/>
      <c r="AC38" s="66"/>
      <c r="AD38" s="75"/>
      <c r="AE38" s="62"/>
      <c r="AF38" s="62"/>
      <c r="AG38" s="64"/>
      <c r="AH38" s="67"/>
      <c r="AI38" s="65"/>
      <c r="AJ38" s="78"/>
      <c r="AK38" s="66"/>
      <c r="AL38" s="67"/>
      <c r="AM38" s="66"/>
      <c r="AN38" s="75"/>
    </row>
    <row r="39" spans="1:40" s="76" customFormat="1" ht="100.05" customHeight="1" x14ac:dyDescent="0.3">
      <c r="A39" s="99">
        <v>250084</v>
      </c>
      <c r="B39" s="99">
        <v>304</v>
      </c>
      <c r="C39" s="100">
        <v>0.7</v>
      </c>
      <c r="D39" s="99">
        <v>315</v>
      </c>
      <c r="E39" s="101" t="s">
        <v>319</v>
      </c>
      <c r="F39" s="99" t="s">
        <v>23</v>
      </c>
      <c r="G39" s="99">
        <v>304</v>
      </c>
      <c r="H39" s="100">
        <v>0.6</v>
      </c>
      <c r="I39" s="99" t="s">
        <v>24</v>
      </c>
      <c r="J39" s="99" t="s">
        <v>24</v>
      </c>
      <c r="K39" s="99" t="s">
        <v>86</v>
      </c>
      <c r="L39" s="89">
        <v>715</v>
      </c>
      <c r="M39" s="102"/>
      <c r="N39" s="66">
        <f t="shared" si="7"/>
        <v>715</v>
      </c>
      <c r="P39" s="62"/>
      <c r="Q39" s="62"/>
      <c r="R39" s="64"/>
      <c r="S39" s="62"/>
      <c r="T39" s="93"/>
      <c r="U39" s="62"/>
      <c r="V39" s="62"/>
      <c r="W39" s="64"/>
      <c r="X39" s="62"/>
      <c r="Y39" s="62"/>
      <c r="Z39" s="62"/>
      <c r="AA39" s="66"/>
      <c r="AB39" s="67"/>
      <c r="AC39" s="66"/>
      <c r="AD39" s="75"/>
      <c r="AE39" s="62"/>
      <c r="AF39" s="62"/>
      <c r="AG39" s="64"/>
      <c r="AH39" s="67"/>
      <c r="AI39" s="65"/>
      <c r="AJ39" s="78"/>
      <c r="AK39" s="66"/>
      <c r="AL39" s="67"/>
      <c r="AM39" s="66"/>
      <c r="AN39" s="75"/>
    </row>
    <row r="40" spans="1:40" s="76" customFormat="1" ht="100.05" customHeight="1" x14ac:dyDescent="0.3">
      <c r="A40" s="99">
        <v>250084</v>
      </c>
      <c r="B40" s="99">
        <v>304</v>
      </c>
      <c r="C40" s="100">
        <v>1</v>
      </c>
      <c r="D40" s="99">
        <v>315</v>
      </c>
      <c r="E40" s="101" t="s">
        <v>320</v>
      </c>
      <c r="F40" s="99" t="s">
        <v>23</v>
      </c>
      <c r="G40" s="99">
        <v>304</v>
      </c>
      <c r="H40" s="100">
        <v>0.6</v>
      </c>
      <c r="I40" s="99" t="s">
        <v>24</v>
      </c>
      <c r="J40" s="99" t="s">
        <v>24</v>
      </c>
      <c r="K40" s="99" t="s">
        <v>86</v>
      </c>
      <c r="L40" s="89">
        <v>15</v>
      </c>
      <c r="M40" s="102"/>
      <c r="N40" s="66">
        <f t="shared" si="7"/>
        <v>15</v>
      </c>
      <c r="P40" s="62"/>
      <c r="Q40" s="62"/>
      <c r="R40" s="64"/>
      <c r="S40" s="62"/>
      <c r="T40" s="93"/>
      <c r="U40" s="62"/>
      <c r="V40" s="62"/>
      <c r="W40" s="64"/>
      <c r="X40" s="62"/>
      <c r="Y40" s="62"/>
      <c r="Z40" s="62"/>
      <c r="AA40" s="66"/>
      <c r="AB40" s="67"/>
      <c r="AC40" s="66"/>
      <c r="AD40" s="75"/>
      <c r="AE40" s="62"/>
      <c r="AF40" s="62"/>
      <c r="AG40" s="64"/>
      <c r="AH40" s="67"/>
      <c r="AI40" s="65"/>
      <c r="AJ40" s="78"/>
      <c r="AK40" s="66"/>
      <c r="AL40" s="67"/>
      <c r="AM40" s="66"/>
      <c r="AN40" s="75"/>
    </row>
    <row r="41" spans="1:40" s="76" customFormat="1" ht="100.05" customHeight="1" x14ac:dyDescent="0.3">
      <c r="A41" s="97"/>
      <c r="B41" s="97"/>
      <c r="C41" s="64"/>
      <c r="D41" s="62"/>
      <c r="E41" s="91"/>
      <c r="F41" s="62"/>
      <c r="G41" s="62"/>
      <c r="H41" s="64"/>
      <c r="I41" s="62"/>
      <c r="J41" s="62"/>
      <c r="K41" s="62"/>
      <c r="L41" s="66"/>
      <c r="M41" s="67"/>
      <c r="N41" s="66">
        <f t="shared" si="7"/>
        <v>0</v>
      </c>
      <c r="P41" s="62"/>
      <c r="Q41" s="62"/>
      <c r="R41" s="64"/>
      <c r="S41" s="62"/>
      <c r="T41" s="65"/>
      <c r="U41" s="62"/>
      <c r="V41" s="62"/>
      <c r="W41" s="64"/>
      <c r="X41" s="62"/>
      <c r="Y41" s="62"/>
      <c r="Z41" s="62"/>
      <c r="AA41" s="66"/>
      <c r="AB41" s="67"/>
      <c r="AC41" s="66">
        <f t="shared" si="6"/>
        <v>0</v>
      </c>
      <c r="AD41" s="75"/>
      <c r="AE41" s="62"/>
      <c r="AF41" s="62"/>
      <c r="AG41" s="64"/>
      <c r="AH41" s="67"/>
      <c r="AI41" s="65"/>
      <c r="AJ41" s="78"/>
      <c r="AK41" s="66"/>
      <c r="AL41" s="67"/>
      <c r="AM41" s="66"/>
      <c r="AN41" s="75"/>
    </row>
    <row r="42" spans="1:40" s="76" customFormat="1" ht="100.05" customHeight="1" x14ac:dyDescent="0.3">
      <c r="A42" s="98"/>
      <c r="B42" s="98"/>
      <c r="C42" s="69"/>
      <c r="D42" s="68"/>
      <c r="E42" s="70"/>
      <c r="F42" s="68"/>
      <c r="G42" s="68"/>
      <c r="H42" s="69"/>
      <c r="I42" s="68"/>
      <c r="J42" s="68"/>
      <c r="K42" s="68"/>
      <c r="L42" s="66">
        <f>SUM(L23:L41)</f>
        <v>11940</v>
      </c>
      <c r="M42" s="71">
        <f>SUM(M23:M41)</f>
        <v>1500</v>
      </c>
      <c r="N42" s="66">
        <f>SUM(N23:N41)</f>
        <v>10440</v>
      </c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68"/>
      <c r="AF42" s="68"/>
      <c r="AG42" s="69"/>
      <c r="AH42" s="68"/>
      <c r="AI42" s="70"/>
      <c r="AJ42" s="80"/>
      <c r="AK42" s="66">
        <f>SUM(AK4:AK41)</f>
        <v>3242</v>
      </c>
      <c r="AL42" s="71">
        <f>SUM(AL4:AL41)</f>
        <v>2560</v>
      </c>
      <c r="AM42" s="66">
        <f>SUM(AM4:AM41)</f>
        <v>682</v>
      </c>
      <c r="AN42" s="75"/>
    </row>
    <row r="43" spans="1:40" s="75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E43" s="79"/>
      <c r="AF43" s="79"/>
      <c r="AG43" s="79"/>
      <c r="AH43" s="79"/>
      <c r="AI43" s="79"/>
      <c r="AJ43" s="79"/>
      <c r="AK43" s="79"/>
      <c r="AL43" s="79"/>
      <c r="AM43" s="79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75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E56" s="79"/>
      <c r="AF56" s="79"/>
      <c r="AG56" s="79"/>
      <c r="AH56" s="79"/>
      <c r="AI56" s="79"/>
      <c r="AJ56" s="79"/>
      <c r="AK56" s="79"/>
      <c r="AL56" s="79"/>
      <c r="AM56" s="79"/>
    </row>
    <row r="57" spans="1:40" s="75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E57" s="79"/>
      <c r="AF57" s="79"/>
      <c r="AG57" s="79"/>
      <c r="AH57" s="79"/>
      <c r="AI57" s="79"/>
      <c r="AJ57" s="79"/>
      <c r="AK57" s="79"/>
      <c r="AL57" s="79"/>
      <c r="AM57" s="79"/>
    </row>
    <row r="58" spans="1:40" s="75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E58" s="79"/>
      <c r="AF58" s="79"/>
      <c r="AG58" s="79"/>
      <c r="AH58" s="79"/>
      <c r="AI58" s="79"/>
      <c r="AJ58" s="79"/>
      <c r="AK58" s="79"/>
      <c r="AL58" s="79"/>
      <c r="AM58" s="79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76" customFormat="1" ht="100.0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5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5"/>
      <c r="AE60" s="79"/>
      <c r="AF60" s="79"/>
      <c r="AG60" s="79"/>
      <c r="AH60" s="79"/>
      <c r="AI60" s="79"/>
      <c r="AJ60" s="79"/>
      <c r="AK60" s="79"/>
      <c r="AL60" s="79"/>
      <c r="AM60" s="79"/>
      <c r="AN60" s="75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  <row r="64" spans="1:40" s="56" customFormat="1" ht="100.0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3"/>
      <c r="AE64" s="2"/>
      <c r="AF64" s="2"/>
      <c r="AG64" s="2"/>
      <c r="AH64" s="2"/>
      <c r="AI64" s="2"/>
      <c r="AJ64" s="2"/>
      <c r="AK64" s="2"/>
      <c r="AL64" s="2"/>
      <c r="AM64" s="2"/>
      <c r="AN64" s="3"/>
    </row>
    <row r="65" spans="1:40" s="56" customFormat="1" ht="100.0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2"/>
      <c r="AN65" s="3"/>
    </row>
    <row r="66" spans="1:40" s="56" customFormat="1" ht="100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2"/>
      <c r="AN66" s="3"/>
    </row>
    <row r="67" spans="1:40" s="56" customFormat="1" ht="100.0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2"/>
      <c r="AN67" s="3"/>
    </row>
    <row r="68" spans="1:40" s="56" customFormat="1" ht="100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2"/>
      <c r="AK68" s="2"/>
      <c r="AL68" s="2"/>
      <c r="AM68" s="2"/>
      <c r="AN68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21:N21"/>
    <mergeCell ref="P21:AC2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1" orientation="landscape" horizontalDpi="1200" verticalDpi="120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3"/>
  <sheetViews>
    <sheetView zoomScale="25" zoomScaleNormal="25" workbookViewId="0">
      <selection activeCell="I15" sqref="I1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45958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45958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97" t="s">
        <v>267</v>
      </c>
      <c r="B4" s="62">
        <v>430</v>
      </c>
      <c r="C4" s="64">
        <v>0.5</v>
      </c>
      <c r="D4" s="62">
        <v>290</v>
      </c>
      <c r="E4" s="91" t="s">
        <v>269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1300</v>
      </c>
      <c r="M4" s="67"/>
      <c r="N4" s="66">
        <f>L4-M4</f>
        <v>1300</v>
      </c>
      <c r="P4" s="62"/>
      <c r="Q4" s="62"/>
      <c r="R4" s="64"/>
      <c r="S4" s="62"/>
      <c r="T4" s="65"/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>
        <v>250079</v>
      </c>
      <c r="AF4" s="62">
        <v>304</v>
      </c>
      <c r="AG4" s="64">
        <v>0.6</v>
      </c>
      <c r="AH4" s="67" t="s">
        <v>24</v>
      </c>
      <c r="AI4" s="65" t="s">
        <v>277</v>
      </c>
      <c r="AJ4" s="78" t="s">
        <v>241</v>
      </c>
      <c r="AK4" s="66">
        <v>964</v>
      </c>
      <c r="AL4" s="67"/>
      <c r="AM4" s="66">
        <f t="shared" ref="AM4:AM36" si="0">AK4-AL4</f>
        <v>964</v>
      </c>
    </row>
    <row r="5" spans="1:39" s="76" customFormat="1" ht="100.05" customHeight="1" x14ac:dyDescent="0.3">
      <c r="A5" s="97" t="s">
        <v>267</v>
      </c>
      <c r="B5" s="62">
        <v>430</v>
      </c>
      <c r="C5" s="64">
        <v>0.5</v>
      </c>
      <c r="D5" s="62">
        <v>315</v>
      </c>
      <c r="E5" s="91" t="s">
        <v>279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86</v>
      </c>
      <c r="L5" s="66">
        <v>1200</v>
      </c>
      <c r="M5" s="67">
        <v>930</v>
      </c>
      <c r="N5" s="66">
        <f t="shared" ref="N5:N7" si="1">L5-M5</f>
        <v>270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/>
      <c r="AF5" s="62"/>
      <c r="AG5" s="64"/>
      <c r="AH5" s="67"/>
      <c r="AI5" s="65"/>
      <c r="AJ5" s="78"/>
      <c r="AK5" s="66"/>
      <c r="AL5" s="67"/>
      <c r="AM5" s="66">
        <f t="shared" si="0"/>
        <v>0</v>
      </c>
    </row>
    <row r="6" spans="1:39" s="76" customFormat="1" ht="100.05" customHeight="1" x14ac:dyDescent="0.3">
      <c r="A6" s="97">
        <v>250082</v>
      </c>
      <c r="B6" s="62">
        <v>430</v>
      </c>
      <c r="C6" s="64">
        <v>0.6</v>
      </c>
      <c r="D6" s="62">
        <v>582</v>
      </c>
      <c r="E6" s="91" t="s">
        <v>305</v>
      </c>
      <c r="F6" s="62" t="s">
        <v>181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79</v>
      </c>
      <c r="L6" s="66">
        <v>1000</v>
      </c>
      <c r="M6" s="67">
        <f>960</f>
        <v>960</v>
      </c>
      <c r="N6" s="66">
        <f t="shared" si="1"/>
        <v>40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5" si="2">AA6-AB6</f>
        <v>0</v>
      </c>
      <c r="AE6" s="62"/>
      <c r="AF6" s="62"/>
      <c r="AG6" s="64"/>
      <c r="AH6" s="67"/>
      <c r="AI6" s="65"/>
      <c r="AJ6" s="78"/>
      <c r="AK6" s="66"/>
      <c r="AL6" s="67"/>
      <c r="AM6" s="66">
        <f t="shared" si="0"/>
        <v>0</v>
      </c>
    </row>
    <row r="7" spans="1:39" s="76" customFormat="1" ht="100.05" customHeight="1" x14ac:dyDescent="0.3">
      <c r="A7" s="97">
        <v>250081</v>
      </c>
      <c r="B7" s="62">
        <v>304</v>
      </c>
      <c r="C7" s="64">
        <v>0.6</v>
      </c>
      <c r="D7" s="62">
        <v>577</v>
      </c>
      <c r="E7" s="91" t="s">
        <v>309</v>
      </c>
      <c r="F7" s="62" t="s">
        <v>181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600</v>
      </c>
      <c r="M7" s="67"/>
      <c r="N7" s="66">
        <f t="shared" si="1"/>
        <v>600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/>
      <c r="AF7" s="62"/>
      <c r="AG7" s="64"/>
      <c r="AH7" s="67"/>
      <c r="AI7" s="65"/>
      <c r="AJ7" s="78"/>
      <c r="AK7" s="66"/>
      <c r="AL7" s="67"/>
      <c r="AM7" s="66">
        <f t="shared" si="0"/>
        <v>0</v>
      </c>
    </row>
    <row r="8" spans="1:39" s="76" customFormat="1" ht="100.05" customHeight="1" x14ac:dyDescent="0.3">
      <c r="A8" s="97">
        <v>250082</v>
      </c>
      <c r="B8" s="62">
        <v>430</v>
      </c>
      <c r="C8" s="64">
        <v>0.6</v>
      </c>
      <c r="D8" s="62">
        <v>719</v>
      </c>
      <c r="E8" s="91" t="s">
        <v>306</v>
      </c>
      <c r="F8" s="62" t="s">
        <v>181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1000</v>
      </c>
      <c r="M8" s="67"/>
      <c r="N8" s="66">
        <f>L8-M8</f>
        <v>1000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39" s="76" customFormat="1" ht="100.05" customHeight="1" x14ac:dyDescent="0.3">
      <c r="A9" s="97">
        <v>250082</v>
      </c>
      <c r="B9" s="62">
        <v>430</v>
      </c>
      <c r="C9" s="64">
        <v>0.6</v>
      </c>
      <c r="D9" s="62">
        <v>653</v>
      </c>
      <c r="E9" s="91" t="s">
        <v>307</v>
      </c>
      <c r="F9" s="62" t="s">
        <v>181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1000</v>
      </c>
      <c r="M9" s="67"/>
      <c r="N9" s="66">
        <f t="shared" ref="N9:N15" si="3">L9-M9</f>
        <v>1000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39" s="76" customFormat="1" ht="100.05" customHeight="1" x14ac:dyDescent="0.3">
      <c r="A10" s="97">
        <v>250081</v>
      </c>
      <c r="B10" s="62">
        <v>304</v>
      </c>
      <c r="C10" s="64">
        <v>0.6</v>
      </c>
      <c r="D10" s="62">
        <v>550</v>
      </c>
      <c r="E10" s="91" t="s">
        <v>308</v>
      </c>
      <c r="F10" s="62" t="s">
        <v>181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86</v>
      </c>
      <c r="L10" s="66">
        <v>400</v>
      </c>
      <c r="M10" s="67"/>
      <c r="N10" s="66">
        <f t="shared" si="3"/>
        <v>400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39" s="76" customFormat="1" ht="100.05" customHeight="1" x14ac:dyDescent="0.3">
      <c r="A11" s="97">
        <v>250084</v>
      </c>
      <c r="B11" s="62">
        <v>304</v>
      </c>
      <c r="C11" s="64">
        <v>0.7</v>
      </c>
      <c r="D11" s="62">
        <v>577</v>
      </c>
      <c r="E11" s="91" t="s">
        <v>312</v>
      </c>
      <c r="F11" s="62" t="s">
        <v>181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86</v>
      </c>
      <c r="L11" s="66">
        <v>715</v>
      </c>
      <c r="M11" s="67"/>
      <c r="N11" s="66">
        <f t="shared" si="3"/>
        <v>715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39" s="76" customFormat="1" ht="100.05" customHeight="1" x14ac:dyDescent="0.3">
      <c r="A12" s="97">
        <v>250084</v>
      </c>
      <c r="B12" s="62">
        <v>304</v>
      </c>
      <c r="C12" s="64">
        <v>1</v>
      </c>
      <c r="D12" s="62">
        <v>577</v>
      </c>
      <c r="E12" s="91" t="s">
        <v>313</v>
      </c>
      <c r="F12" s="62" t="s">
        <v>181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86</v>
      </c>
      <c r="L12" s="66">
        <v>15</v>
      </c>
      <c r="M12" s="67"/>
      <c r="N12" s="66">
        <f t="shared" si="3"/>
        <v>15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39" s="76" customFormat="1" ht="100.05" customHeight="1" x14ac:dyDescent="0.3">
      <c r="A13" s="97">
        <v>250084</v>
      </c>
      <c r="B13" s="62">
        <v>304</v>
      </c>
      <c r="C13" s="64">
        <v>0.7</v>
      </c>
      <c r="D13" s="62">
        <v>427</v>
      </c>
      <c r="E13" s="91" t="s">
        <v>314</v>
      </c>
      <c r="F13" s="62" t="s">
        <v>181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86</v>
      </c>
      <c r="L13" s="66">
        <v>715</v>
      </c>
      <c r="M13" s="67"/>
      <c r="N13" s="66">
        <f t="shared" si="3"/>
        <v>715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39" s="76" customFormat="1" ht="100.05" customHeight="1" x14ac:dyDescent="0.3">
      <c r="A14" s="97">
        <v>250084</v>
      </c>
      <c r="B14" s="62">
        <v>304</v>
      </c>
      <c r="C14" s="64">
        <v>1</v>
      </c>
      <c r="D14" s="62">
        <v>427</v>
      </c>
      <c r="E14" s="91" t="s">
        <v>314</v>
      </c>
      <c r="F14" s="62" t="s">
        <v>181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86</v>
      </c>
      <c r="L14" s="66">
        <v>15</v>
      </c>
      <c r="M14" s="67"/>
      <c r="N14" s="66">
        <f t="shared" si="3"/>
        <v>15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00.05" customHeight="1" x14ac:dyDescent="0.3">
      <c r="A15" s="97"/>
      <c r="B15" s="62"/>
      <c r="C15" s="64"/>
      <c r="D15" s="62"/>
      <c r="E15" s="65"/>
      <c r="F15" s="62"/>
      <c r="G15" s="62"/>
      <c r="H15" s="64"/>
      <c r="I15" s="62"/>
      <c r="J15" s="62"/>
      <c r="K15" s="62"/>
      <c r="L15" s="62"/>
      <c r="M15" s="67"/>
      <c r="N15" s="66">
        <f t="shared" si="3"/>
        <v>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2"/>
      <c r="AB15" s="67"/>
      <c r="AC15" s="66">
        <f t="shared" si="2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68"/>
      <c r="B16" s="68"/>
      <c r="C16" s="69"/>
      <c r="D16" s="68"/>
      <c r="E16" s="70"/>
      <c r="F16" s="68"/>
      <c r="G16" s="68"/>
      <c r="H16" s="69"/>
      <c r="I16" s="68"/>
      <c r="J16" s="68"/>
      <c r="K16" s="68"/>
      <c r="L16" s="66">
        <f>SUM(L4:L15)</f>
        <v>7960</v>
      </c>
      <c r="M16" s="71">
        <f>SUM(M4:M15)</f>
        <v>1890</v>
      </c>
      <c r="N16" s="66">
        <f>SUM(N4:N15)</f>
        <v>6070</v>
      </c>
      <c r="P16" s="68"/>
      <c r="Q16" s="68"/>
      <c r="R16" s="69"/>
      <c r="S16" s="68"/>
      <c r="T16" s="70"/>
      <c r="U16" s="68"/>
      <c r="V16" s="68"/>
      <c r="W16" s="69"/>
      <c r="X16" s="68"/>
      <c r="Y16" s="68"/>
      <c r="Z16" s="68"/>
      <c r="AA16" s="66">
        <f>AA4+AA6+AA7+AA8+AA15</f>
        <v>0</v>
      </c>
      <c r="AB16" s="71">
        <f>SUM(AB4:AB15)</f>
        <v>0</v>
      </c>
      <c r="AC16" s="66">
        <f>SUM(AC4:AC15)</f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5" customFormat="1" ht="100.05" customHeight="1" x14ac:dyDescent="0.3">
      <c r="A17" s="79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6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6"/>
    </row>
    <row r="18" spans="1:40" s="75" customFormat="1" ht="100.05" customHeight="1" x14ac:dyDescent="0.3">
      <c r="A18" s="109" t="s">
        <v>101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1"/>
      <c r="P18" s="109" t="s">
        <v>99</v>
      </c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1"/>
      <c r="AD18" s="76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6"/>
    </row>
    <row r="19" spans="1:40" s="75" customFormat="1" ht="145.80000000000001" x14ac:dyDescent="0.3">
      <c r="A19" s="81" t="s">
        <v>0</v>
      </c>
      <c r="B19" s="81" t="s">
        <v>9</v>
      </c>
      <c r="C19" s="82" t="s">
        <v>11</v>
      </c>
      <c r="D19" s="81" t="s">
        <v>2</v>
      </c>
      <c r="E19" s="81" t="s">
        <v>1</v>
      </c>
      <c r="F19" s="81" t="s">
        <v>14</v>
      </c>
      <c r="G19" s="81" t="s">
        <v>8</v>
      </c>
      <c r="H19" s="82" t="s">
        <v>10</v>
      </c>
      <c r="I19" s="82" t="s">
        <v>12</v>
      </c>
      <c r="J19" s="82" t="s">
        <v>13</v>
      </c>
      <c r="K19" s="81" t="s">
        <v>3</v>
      </c>
      <c r="L19" s="81" t="s">
        <v>7</v>
      </c>
      <c r="M19" s="81" t="s">
        <v>5</v>
      </c>
      <c r="N19" s="81" t="s">
        <v>6</v>
      </c>
      <c r="P19" s="81" t="s">
        <v>0</v>
      </c>
      <c r="Q19" s="81" t="s">
        <v>9</v>
      </c>
      <c r="R19" s="82" t="s">
        <v>11</v>
      </c>
      <c r="S19" s="81" t="s">
        <v>2</v>
      </c>
      <c r="T19" s="81" t="s">
        <v>1</v>
      </c>
      <c r="U19" s="81" t="s">
        <v>14</v>
      </c>
      <c r="V19" s="81" t="s">
        <v>8</v>
      </c>
      <c r="W19" s="82" t="s">
        <v>10</v>
      </c>
      <c r="X19" s="82" t="s">
        <v>12</v>
      </c>
      <c r="Y19" s="82" t="s">
        <v>13</v>
      </c>
      <c r="Z19" s="81" t="s">
        <v>3</v>
      </c>
      <c r="AA19" s="81" t="s">
        <v>7</v>
      </c>
      <c r="AB19" s="81" t="s">
        <v>5</v>
      </c>
      <c r="AC19" s="81" t="s">
        <v>6</v>
      </c>
      <c r="AD19" s="76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6"/>
    </row>
    <row r="20" spans="1:40" s="76" customFormat="1" ht="100.05" customHeight="1" x14ac:dyDescent="0.3">
      <c r="A20" s="97">
        <v>21025</v>
      </c>
      <c r="B20" s="97">
        <v>304</v>
      </c>
      <c r="C20" s="64">
        <v>0.6</v>
      </c>
      <c r="D20" s="62">
        <v>234</v>
      </c>
      <c r="E20" s="91" t="s">
        <v>249</v>
      </c>
      <c r="F20" s="62" t="s">
        <v>121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1000</v>
      </c>
      <c r="M20" s="67"/>
      <c r="N20" s="66">
        <f t="shared" ref="N20" si="4">L20-M20</f>
        <v>1000</v>
      </c>
      <c r="P20" s="62">
        <v>250079</v>
      </c>
      <c r="Q20" s="62">
        <v>304</v>
      </c>
      <c r="R20" s="64">
        <v>0.7</v>
      </c>
      <c r="S20" s="62">
        <v>324</v>
      </c>
      <c r="T20" s="65" t="s">
        <v>261</v>
      </c>
      <c r="U20" s="62" t="s">
        <v>23</v>
      </c>
      <c r="V20" s="62">
        <v>304</v>
      </c>
      <c r="W20" s="64">
        <v>0.6</v>
      </c>
      <c r="X20" s="62" t="s">
        <v>24</v>
      </c>
      <c r="Y20" s="62" t="s">
        <v>24</v>
      </c>
      <c r="Z20" s="62" t="s">
        <v>74</v>
      </c>
      <c r="AA20" s="66">
        <v>964</v>
      </c>
      <c r="AB20" s="67"/>
      <c r="AC20" s="66">
        <f t="shared" ref="AC20:AC36" si="5">AA20-AB20</f>
        <v>964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6" customFormat="1" ht="100.05" customHeight="1" x14ac:dyDescent="0.3">
      <c r="A21" s="97">
        <v>250080</v>
      </c>
      <c r="B21" s="97">
        <v>304</v>
      </c>
      <c r="C21" s="64">
        <v>0.6</v>
      </c>
      <c r="D21" s="62">
        <v>435</v>
      </c>
      <c r="E21" s="86" t="s">
        <v>287</v>
      </c>
      <c r="F21" s="62" t="s">
        <v>181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79</v>
      </c>
      <c r="L21" s="66">
        <v>300</v>
      </c>
      <c r="M21" s="67"/>
      <c r="N21" s="66">
        <f>L21-M21</f>
        <v>300</v>
      </c>
      <c r="P21" s="62">
        <v>250079</v>
      </c>
      <c r="Q21" s="62">
        <v>304</v>
      </c>
      <c r="R21" s="64">
        <v>0.7</v>
      </c>
      <c r="S21" s="62">
        <v>324</v>
      </c>
      <c r="T21" s="93" t="s">
        <v>262</v>
      </c>
      <c r="U21" s="62" t="s">
        <v>23</v>
      </c>
      <c r="V21" s="62">
        <v>304</v>
      </c>
      <c r="W21" s="64">
        <v>0.6</v>
      </c>
      <c r="X21" s="62" t="s">
        <v>24</v>
      </c>
      <c r="Y21" s="62" t="s">
        <v>24</v>
      </c>
      <c r="Z21" s="62" t="s">
        <v>74</v>
      </c>
      <c r="AA21" s="66">
        <v>36</v>
      </c>
      <c r="AB21" s="67"/>
      <c r="AC21" s="66">
        <f t="shared" si="5"/>
        <v>36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>
        <v>151025</v>
      </c>
      <c r="B22" s="97">
        <v>304</v>
      </c>
      <c r="C22" s="64">
        <v>0.7</v>
      </c>
      <c r="D22" s="62">
        <v>319</v>
      </c>
      <c r="E22" s="91" t="s">
        <v>299</v>
      </c>
      <c r="F22" s="62" t="s">
        <v>121</v>
      </c>
      <c r="G22" s="62">
        <v>430</v>
      </c>
      <c r="H22" s="64">
        <v>0.6</v>
      </c>
      <c r="I22" s="62" t="s">
        <v>24</v>
      </c>
      <c r="J22" s="62" t="s">
        <v>24</v>
      </c>
      <c r="K22" s="62" t="s">
        <v>86</v>
      </c>
      <c r="L22" s="66">
        <v>1000</v>
      </c>
      <c r="M22" s="67"/>
      <c r="N22" s="90">
        <f t="shared" ref="N22:N36" si="6">L22-M22</f>
        <v>1000</v>
      </c>
      <c r="P22" s="62">
        <v>250079</v>
      </c>
      <c r="Q22" s="62">
        <v>304</v>
      </c>
      <c r="R22" s="64">
        <v>0.7</v>
      </c>
      <c r="S22" s="62">
        <v>307</v>
      </c>
      <c r="T22" s="93" t="s">
        <v>264</v>
      </c>
      <c r="U22" s="62" t="s">
        <v>23</v>
      </c>
      <c r="V22" s="62">
        <v>304</v>
      </c>
      <c r="W22" s="64">
        <v>0.6</v>
      </c>
      <c r="X22" s="62" t="s">
        <v>24</v>
      </c>
      <c r="Y22" s="62" t="s">
        <v>24</v>
      </c>
      <c r="Z22" s="62" t="s">
        <v>74</v>
      </c>
      <c r="AA22" s="66">
        <v>1314</v>
      </c>
      <c r="AB22" s="67">
        <v>850</v>
      </c>
      <c r="AC22" s="66">
        <f t="shared" si="5"/>
        <v>464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 t="s">
        <v>300</v>
      </c>
      <c r="B23" s="97">
        <v>304</v>
      </c>
      <c r="C23" s="64">
        <v>0.7</v>
      </c>
      <c r="D23" s="62">
        <v>319</v>
      </c>
      <c r="E23" s="91" t="s">
        <v>299</v>
      </c>
      <c r="F23" s="62" t="s">
        <v>121</v>
      </c>
      <c r="G23" s="62">
        <v>430</v>
      </c>
      <c r="H23" s="64">
        <v>0.6</v>
      </c>
      <c r="I23" s="62" t="s">
        <v>24</v>
      </c>
      <c r="J23" s="62" t="s">
        <v>24</v>
      </c>
      <c r="K23" s="62" t="s">
        <v>86</v>
      </c>
      <c r="L23" s="66">
        <v>1000</v>
      </c>
      <c r="M23" s="67"/>
      <c r="N23" s="66">
        <f t="shared" si="6"/>
        <v>1000</v>
      </c>
      <c r="P23" s="62">
        <v>250079</v>
      </c>
      <c r="Q23" s="62">
        <v>304</v>
      </c>
      <c r="R23" s="64">
        <v>0.7</v>
      </c>
      <c r="S23" s="62">
        <v>307</v>
      </c>
      <c r="T23" s="93" t="s">
        <v>263</v>
      </c>
      <c r="U23" s="62" t="s">
        <v>23</v>
      </c>
      <c r="V23" s="62">
        <v>304</v>
      </c>
      <c r="W23" s="64">
        <v>0.6</v>
      </c>
      <c r="X23" s="62" t="s">
        <v>24</v>
      </c>
      <c r="Y23" s="62" t="s">
        <v>24</v>
      </c>
      <c r="Z23" s="62" t="s">
        <v>74</v>
      </c>
      <c r="AA23" s="66">
        <v>36</v>
      </c>
      <c r="AB23" s="67"/>
      <c r="AC23" s="66">
        <f t="shared" si="5"/>
        <v>36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>
        <v>151025</v>
      </c>
      <c r="B24" s="97">
        <v>304</v>
      </c>
      <c r="C24" s="64">
        <v>0.7</v>
      </c>
      <c r="D24" s="62">
        <v>433</v>
      </c>
      <c r="E24" s="91" t="s">
        <v>301</v>
      </c>
      <c r="F24" s="62" t="s">
        <v>121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1000</v>
      </c>
      <c r="M24" s="67"/>
      <c r="N24" s="66">
        <f t="shared" si="6"/>
        <v>1000</v>
      </c>
      <c r="P24" s="62">
        <v>250080</v>
      </c>
      <c r="Q24" s="62">
        <v>304</v>
      </c>
      <c r="R24" s="64">
        <v>0.7</v>
      </c>
      <c r="S24" s="62">
        <v>307</v>
      </c>
      <c r="T24" s="93" t="s">
        <v>270</v>
      </c>
      <c r="U24" s="62" t="s">
        <v>23</v>
      </c>
      <c r="V24" s="62">
        <v>430</v>
      </c>
      <c r="W24" s="64">
        <v>0.6</v>
      </c>
      <c r="X24" s="62" t="s">
        <v>24</v>
      </c>
      <c r="Y24" s="62" t="s">
        <v>24</v>
      </c>
      <c r="Z24" s="62" t="s">
        <v>74</v>
      </c>
      <c r="AA24" s="66">
        <v>1000</v>
      </c>
      <c r="AB24" s="67"/>
      <c r="AC24" s="66">
        <f t="shared" si="5"/>
        <v>1000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7">
        <v>2250081</v>
      </c>
      <c r="B25" s="97">
        <v>304</v>
      </c>
      <c r="C25" s="64">
        <v>0.6</v>
      </c>
      <c r="D25" s="62">
        <v>427</v>
      </c>
      <c r="E25" s="91" t="s">
        <v>311</v>
      </c>
      <c r="F25" s="62" t="s">
        <v>23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500</v>
      </c>
      <c r="M25" s="67"/>
      <c r="N25" s="66">
        <f t="shared" si="6"/>
        <v>500</v>
      </c>
      <c r="P25" s="62">
        <v>250079</v>
      </c>
      <c r="Q25" s="62">
        <v>304</v>
      </c>
      <c r="R25" s="64">
        <v>0.7</v>
      </c>
      <c r="S25" s="62">
        <v>265</v>
      </c>
      <c r="T25" s="93" t="s">
        <v>265</v>
      </c>
      <c r="U25" s="62" t="s">
        <v>23</v>
      </c>
      <c r="V25" s="62">
        <v>304</v>
      </c>
      <c r="W25" s="64">
        <v>0.6</v>
      </c>
      <c r="X25" s="62" t="s">
        <v>24</v>
      </c>
      <c r="Y25" s="62" t="s">
        <v>24</v>
      </c>
      <c r="Z25" s="62" t="s">
        <v>74</v>
      </c>
      <c r="AA25" s="66">
        <v>1314</v>
      </c>
      <c r="AB25" s="67"/>
      <c r="AC25" s="66">
        <f t="shared" si="5"/>
        <v>1314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7">
        <v>151025</v>
      </c>
      <c r="B26" s="97">
        <v>304</v>
      </c>
      <c r="C26" s="64">
        <v>0.7</v>
      </c>
      <c r="D26" s="62">
        <v>388</v>
      </c>
      <c r="E26" s="91" t="s">
        <v>302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1000</v>
      </c>
      <c r="M26" s="67"/>
      <c r="N26" s="66">
        <f t="shared" si="6"/>
        <v>1000</v>
      </c>
      <c r="P26" s="62">
        <v>250079</v>
      </c>
      <c r="Q26" s="62">
        <v>304</v>
      </c>
      <c r="R26" s="64">
        <v>0.7</v>
      </c>
      <c r="S26" s="62">
        <v>265</v>
      </c>
      <c r="T26" s="93" t="s">
        <v>266</v>
      </c>
      <c r="U26" s="62" t="s">
        <v>23</v>
      </c>
      <c r="V26" s="62">
        <v>304</v>
      </c>
      <c r="W26" s="64">
        <v>0.6</v>
      </c>
      <c r="X26" s="62" t="s">
        <v>24</v>
      </c>
      <c r="Y26" s="62" t="s">
        <v>24</v>
      </c>
      <c r="Z26" s="62" t="s">
        <v>74</v>
      </c>
      <c r="AA26" s="66">
        <v>36</v>
      </c>
      <c r="AB26" s="67"/>
      <c r="AC26" s="66">
        <f t="shared" si="5"/>
        <v>36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7">
        <v>250081</v>
      </c>
      <c r="B27" s="97">
        <v>304</v>
      </c>
      <c r="C27" s="64">
        <v>0.6</v>
      </c>
      <c r="D27" s="62">
        <v>467</v>
      </c>
      <c r="E27" s="91" t="s">
        <v>310</v>
      </c>
      <c r="F27" s="62" t="s">
        <v>181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500</v>
      </c>
      <c r="M27" s="67"/>
      <c r="N27" s="66">
        <f t="shared" si="6"/>
        <v>500</v>
      </c>
      <c r="P27" s="62">
        <v>250080</v>
      </c>
      <c r="Q27" s="62">
        <v>304</v>
      </c>
      <c r="R27" s="64">
        <v>0.7</v>
      </c>
      <c r="S27" s="62">
        <v>265</v>
      </c>
      <c r="T27" s="93" t="s">
        <v>271</v>
      </c>
      <c r="U27" s="62" t="s">
        <v>23</v>
      </c>
      <c r="V27" s="62">
        <v>430</v>
      </c>
      <c r="W27" s="64">
        <v>0.6</v>
      </c>
      <c r="X27" s="62" t="s">
        <v>24</v>
      </c>
      <c r="Y27" s="62" t="s">
        <v>24</v>
      </c>
      <c r="Z27" s="62" t="s">
        <v>74</v>
      </c>
      <c r="AA27" s="66">
        <v>1200</v>
      </c>
      <c r="AB27" s="67"/>
      <c r="AC27" s="66"/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7" t="s">
        <v>300</v>
      </c>
      <c r="B28" s="97">
        <v>304</v>
      </c>
      <c r="C28" s="64">
        <v>0.7</v>
      </c>
      <c r="D28" s="62">
        <v>289</v>
      </c>
      <c r="E28" s="91" t="s">
        <v>303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1000</v>
      </c>
      <c r="M28" s="67"/>
      <c r="N28" s="66">
        <f t="shared" si="6"/>
        <v>1000</v>
      </c>
      <c r="P28" s="62"/>
      <c r="Q28" s="62"/>
      <c r="R28" s="64"/>
      <c r="S28" s="62"/>
      <c r="T28" s="93"/>
      <c r="U28" s="62"/>
      <c r="V28" s="62"/>
      <c r="W28" s="64"/>
      <c r="X28" s="62"/>
      <c r="Y28" s="62"/>
      <c r="Z28" s="62"/>
      <c r="AA28" s="66"/>
      <c r="AB28" s="67"/>
      <c r="AC28" s="66">
        <f t="shared" si="5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7" t="s">
        <v>300</v>
      </c>
      <c r="B29" s="97">
        <v>304</v>
      </c>
      <c r="C29" s="64">
        <v>0.7</v>
      </c>
      <c r="D29" s="62">
        <v>265</v>
      </c>
      <c r="E29" s="91" t="s">
        <v>304</v>
      </c>
      <c r="F29" s="62" t="s">
        <v>121</v>
      </c>
      <c r="G29" s="62">
        <v>430</v>
      </c>
      <c r="H29" s="64">
        <v>0.6</v>
      </c>
      <c r="I29" s="62" t="s">
        <v>24</v>
      </c>
      <c r="J29" s="62" t="s">
        <v>24</v>
      </c>
      <c r="K29" s="62" t="s">
        <v>86</v>
      </c>
      <c r="L29" s="66">
        <v>1000</v>
      </c>
      <c r="M29" s="67"/>
      <c r="N29" s="66">
        <f t="shared" si="6"/>
        <v>1000</v>
      </c>
      <c r="P29" s="62"/>
      <c r="Q29" s="62"/>
      <c r="R29" s="64"/>
      <c r="S29" s="62"/>
      <c r="T29" s="93"/>
      <c r="U29" s="62"/>
      <c r="V29" s="62"/>
      <c r="W29" s="64"/>
      <c r="X29" s="62"/>
      <c r="Y29" s="62"/>
      <c r="Z29" s="62"/>
      <c r="AA29" s="66"/>
      <c r="AB29" s="67"/>
      <c r="AC29" s="66"/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7">
        <v>250084</v>
      </c>
      <c r="B30" s="97">
        <v>304</v>
      </c>
      <c r="C30" s="64">
        <v>0.7</v>
      </c>
      <c r="D30" s="62">
        <v>375</v>
      </c>
      <c r="E30" s="91" t="s">
        <v>315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715</v>
      </c>
      <c r="M30" s="67">
        <v>735</v>
      </c>
      <c r="N30" s="66">
        <f t="shared" si="6"/>
        <v>-20</v>
      </c>
      <c r="P30" s="62"/>
      <c r="Q30" s="62"/>
      <c r="R30" s="64"/>
      <c r="S30" s="62"/>
      <c r="T30" s="93"/>
      <c r="U30" s="62"/>
      <c r="V30" s="62"/>
      <c r="W30" s="64"/>
      <c r="X30" s="62"/>
      <c r="Y30" s="62"/>
      <c r="Z30" s="62"/>
      <c r="AA30" s="66"/>
      <c r="AB30" s="67"/>
      <c r="AC30" s="66"/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97">
        <v>250084</v>
      </c>
      <c r="B31" s="97">
        <v>304</v>
      </c>
      <c r="C31" s="64">
        <v>1</v>
      </c>
      <c r="D31" s="62">
        <v>375</v>
      </c>
      <c r="E31" s="91" t="s">
        <v>316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15</v>
      </c>
      <c r="M31" s="67">
        <v>15</v>
      </c>
      <c r="N31" s="66">
        <f t="shared" si="6"/>
        <v>0</v>
      </c>
      <c r="P31" s="62"/>
      <c r="Q31" s="62"/>
      <c r="R31" s="64"/>
      <c r="S31" s="62"/>
      <c r="T31" s="93"/>
      <c r="U31" s="62"/>
      <c r="V31" s="62"/>
      <c r="W31" s="64"/>
      <c r="X31" s="62"/>
      <c r="Y31" s="62"/>
      <c r="Z31" s="62"/>
      <c r="AA31" s="66"/>
      <c r="AB31" s="67"/>
      <c r="AC31" s="66"/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97">
        <v>250084</v>
      </c>
      <c r="B32" s="97">
        <v>304</v>
      </c>
      <c r="C32" s="64">
        <v>0.7</v>
      </c>
      <c r="D32" s="62">
        <v>350</v>
      </c>
      <c r="E32" s="91" t="s">
        <v>317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86</v>
      </c>
      <c r="L32" s="66">
        <v>715</v>
      </c>
      <c r="M32" s="67"/>
      <c r="N32" s="66">
        <f t="shared" si="6"/>
        <v>715</v>
      </c>
      <c r="P32" s="62"/>
      <c r="Q32" s="62"/>
      <c r="R32" s="64"/>
      <c r="S32" s="62"/>
      <c r="T32" s="93"/>
      <c r="U32" s="62"/>
      <c r="V32" s="62"/>
      <c r="W32" s="64"/>
      <c r="X32" s="62"/>
      <c r="Y32" s="62"/>
      <c r="Z32" s="62"/>
      <c r="AA32" s="66"/>
      <c r="AB32" s="67"/>
      <c r="AC32" s="66"/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97">
        <v>250084</v>
      </c>
      <c r="B33" s="97">
        <v>304</v>
      </c>
      <c r="C33" s="64">
        <v>1</v>
      </c>
      <c r="D33" s="62">
        <v>350</v>
      </c>
      <c r="E33" s="91" t="s">
        <v>318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15</v>
      </c>
      <c r="M33" s="67"/>
      <c r="N33" s="66">
        <f t="shared" si="6"/>
        <v>15</v>
      </c>
      <c r="P33" s="62"/>
      <c r="Q33" s="62"/>
      <c r="R33" s="64"/>
      <c r="S33" s="62"/>
      <c r="T33" s="93"/>
      <c r="U33" s="62"/>
      <c r="V33" s="62"/>
      <c r="W33" s="64"/>
      <c r="X33" s="62"/>
      <c r="Y33" s="62"/>
      <c r="Z33" s="62"/>
      <c r="AA33" s="66"/>
      <c r="AB33" s="67"/>
      <c r="AC33" s="66"/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97">
        <v>250084</v>
      </c>
      <c r="B34" s="97">
        <v>304</v>
      </c>
      <c r="C34" s="64">
        <v>0.7</v>
      </c>
      <c r="D34" s="62">
        <v>315</v>
      </c>
      <c r="E34" s="91" t="s">
        <v>319</v>
      </c>
      <c r="F34" s="62" t="s">
        <v>23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86</v>
      </c>
      <c r="L34" s="66">
        <v>715</v>
      </c>
      <c r="M34" s="67"/>
      <c r="N34" s="66">
        <f t="shared" si="6"/>
        <v>715</v>
      </c>
      <c r="P34" s="62"/>
      <c r="Q34" s="62"/>
      <c r="R34" s="64"/>
      <c r="S34" s="62"/>
      <c r="T34" s="93"/>
      <c r="U34" s="62"/>
      <c r="V34" s="62"/>
      <c r="W34" s="64"/>
      <c r="X34" s="62"/>
      <c r="Y34" s="62"/>
      <c r="Z34" s="62"/>
      <c r="AA34" s="66"/>
      <c r="AB34" s="67"/>
      <c r="AC34" s="66"/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97">
        <v>250084</v>
      </c>
      <c r="B35" s="97">
        <v>304</v>
      </c>
      <c r="C35" s="64">
        <v>1</v>
      </c>
      <c r="D35" s="62">
        <v>315</v>
      </c>
      <c r="E35" s="91" t="s">
        <v>320</v>
      </c>
      <c r="F35" s="62" t="s">
        <v>23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86</v>
      </c>
      <c r="L35" s="66">
        <v>15</v>
      </c>
      <c r="M35" s="67"/>
      <c r="N35" s="66">
        <f t="shared" si="6"/>
        <v>15</v>
      </c>
      <c r="P35" s="62"/>
      <c r="Q35" s="62"/>
      <c r="R35" s="64"/>
      <c r="S35" s="62"/>
      <c r="T35" s="93"/>
      <c r="U35" s="62"/>
      <c r="V35" s="62"/>
      <c r="W35" s="64"/>
      <c r="X35" s="62"/>
      <c r="Y35" s="62"/>
      <c r="Z35" s="62"/>
      <c r="AA35" s="66"/>
      <c r="AB35" s="67"/>
      <c r="AC35" s="66"/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97"/>
      <c r="B36" s="97"/>
      <c r="C36" s="64"/>
      <c r="D36" s="62"/>
      <c r="E36" s="91"/>
      <c r="F36" s="62"/>
      <c r="G36" s="62"/>
      <c r="H36" s="64"/>
      <c r="I36" s="62"/>
      <c r="J36" s="62"/>
      <c r="K36" s="62"/>
      <c r="L36" s="66"/>
      <c r="M36" s="67"/>
      <c r="N36" s="66">
        <f t="shared" si="6"/>
        <v>0</v>
      </c>
      <c r="P36" s="62"/>
      <c r="Q36" s="62"/>
      <c r="R36" s="64"/>
      <c r="S36" s="62"/>
      <c r="T36" s="65"/>
      <c r="U36" s="62"/>
      <c r="V36" s="62"/>
      <c r="W36" s="64"/>
      <c r="X36" s="62"/>
      <c r="Y36" s="62"/>
      <c r="Z36" s="62"/>
      <c r="AA36" s="66"/>
      <c r="AB36" s="67"/>
      <c r="AC36" s="66">
        <f t="shared" si="5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98"/>
      <c r="B37" s="98"/>
      <c r="C37" s="69"/>
      <c r="D37" s="68"/>
      <c r="E37" s="70"/>
      <c r="F37" s="68"/>
      <c r="G37" s="68"/>
      <c r="H37" s="69"/>
      <c r="I37" s="68"/>
      <c r="J37" s="68"/>
      <c r="K37" s="68"/>
      <c r="L37" s="66">
        <f>SUM(L20:L36)</f>
        <v>10490</v>
      </c>
      <c r="M37" s="71">
        <f>SUM(M20:M36)</f>
        <v>750</v>
      </c>
      <c r="N37" s="66">
        <f>SUM(N20:N36)</f>
        <v>9740</v>
      </c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66">
        <f>SUM(AA20:AA36)</f>
        <v>5900</v>
      </c>
      <c r="AB37" s="71">
        <f>SUM(AB20:AB36)</f>
        <v>850</v>
      </c>
      <c r="AC37" s="66">
        <f>SUM(AC20:AC36)</f>
        <v>3850</v>
      </c>
      <c r="AD37" s="75"/>
      <c r="AE37" s="68"/>
      <c r="AF37" s="68"/>
      <c r="AG37" s="69"/>
      <c r="AH37" s="68"/>
      <c r="AI37" s="70"/>
      <c r="AJ37" s="80"/>
      <c r="AK37" s="66">
        <f>SUM(AK4:AK36)</f>
        <v>964</v>
      </c>
      <c r="AL37" s="71">
        <f>SUM(AL4:AL36)</f>
        <v>0</v>
      </c>
      <c r="AM37" s="66">
        <f>SUM(AM4:AM36)</f>
        <v>964</v>
      </c>
      <c r="AN37" s="75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5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spans="1:40" s="75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E53" s="79"/>
      <c r="AF53" s="79"/>
      <c r="AG53" s="79"/>
      <c r="AH53" s="79"/>
      <c r="AI53" s="79"/>
      <c r="AJ53" s="79"/>
      <c r="AK53" s="79"/>
      <c r="AL53" s="79"/>
      <c r="AM53" s="79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  <row r="63" spans="1:40" s="56" customFormat="1" ht="100.0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3"/>
      <c r="AE63" s="2"/>
      <c r="AF63" s="2"/>
      <c r="AG63" s="2"/>
      <c r="AH63" s="2"/>
      <c r="AI63" s="2"/>
      <c r="AJ63" s="2"/>
      <c r="AK63" s="2"/>
      <c r="AL63" s="2"/>
      <c r="AM63" s="2"/>
      <c r="AN63" s="3"/>
    </row>
  </sheetData>
  <mergeCells count="11">
    <mergeCell ref="A2:N2"/>
    <mergeCell ref="P2:AC2"/>
    <mergeCell ref="AE2:AM2"/>
    <mergeCell ref="A18:N18"/>
    <mergeCell ref="P18:AC18"/>
    <mergeCell ref="AK1:AM1"/>
    <mergeCell ref="A1:C1"/>
    <mergeCell ref="K1:N1"/>
    <mergeCell ref="P1:R1"/>
    <mergeCell ref="Z1:AC1"/>
    <mergeCell ref="AE1:AG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1" orientation="landscape" horizontalDpi="1200" verticalDpi="120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62"/>
  <sheetViews>
    <sheetView topLeftCell="A19" zoomScale="25" zoomScaleNormal="25" workbookViewId="0">
      <selection activeCell="AB20" sqref="AB20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45960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45960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 t="s">
        <v>267</v>
      </c>
      <c r="B4" s="62">
        <v>430</v>
      </c>
      <c r="C4" s="64">
        <v>0.5</v>
      </c>
      <c r="D4" s="62">
        <v>290</v>
      </c>
      <c r="E4" s="91" t="s">
        <v>269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1300</v>
      </c>
      <c r="M4" s="67"/>
      <c r="N4" s="66">
        <f>L4-M4</f>
        <v>1300</v>
      </c>
      <c r="P4" s="62"/>
      <c r="Q4" s="62"/>
      <c r="R4" s="64"/>
      <c r="S4" s="62"/>
      <c r="T4" s="65"/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/>
      <c r="AF4" s="62"/>
      <c r="AG4" s="64"/>
      <c r="AH4" s="67"/>
      <c r="AI4" s="65"/>
      <c r="AJ4" s="78"/>
      <c r="AK4" s="66"/>
      <c r="AL4" s="67"/>
      <c r="AM4" s="66">
        <f t="shared" ref="AM4:AM35" si="0">AK4-AL4</f>
        <v>0</v>
      </c>
    </row>
    <row r="5" spans="1:40" s="76" customFormat="1" ht="100.05" customHeight="1" x14ac:dyDescent="0.3">
      <c r="A5" s="97" t="s">
        <v>267</v>
      </c>
      <c r="B5" s="62">
        <v>430</v>
      </c>
      <c r="C5" s="64">
        <v>0.5</v>
      </c>
      <c r="D5" s="62">
        <v>290</v>
      </c>
      <c r="E5" s="91" t="s">
        <v>269</v>
      </c>
      <c r="F5" s="62" t="s">
        <v>24</v>
      </c>
      <c r="G5" s="62" t="s">
        <v>24</v>
      </c>
      <c r="H5" s="64" t="s">
        <v>24</v>
      </c>
      <c r="I5" s="62" t="s">
        <v>24</v>
      </c>
      <c r="J5" s="62" t="s">
        <v>24</v>
      </c>
      <c r="K5" s="62" t="s">
        <v>86</v>
      </c>
      <c r="L5" s="66">
        <v>1300</v>
      </c>
      <c r="M5" s="67"/>
      <c r="N5" s="66">
        <f t="shared" ref="N5:N7" si="1">L5-M5</f>
        <v>1300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/>
      <c r="AF5" s="62"/>
      <c r="AG5" s="64"/>
      <c r="AH5" s="67"/>
      <c r="AI5" s="65"/>
      <c r="AJ5" s="78"/>
      <c r="AK5" s="66"/>
      <c r="AL5" s="67"/>
      <c r="AM5" s="66">
        <f t="shared" si="0"/>
        <v>0</v>
      </c>
    </row>
    <row r="6" spans="1:40" s="76" customFormat="1" ht="100.05" customHeight="1" x14ac:dyDescent="0.3">
      <c r="A6" s="97">
        <v>250082</v>
      </c>
      <c r="B6" s="62">
        <v>430</v>
      </c>
      <c r="C6" s="64">
        <v>0.6</v>
      </c>
      <c r="D6" s="62">
        <v>582</v>
      </c>
      <c r="E6" s="91" t="s">
        <v>305</v>
      </c>
      <c r="F6" s="62" t="s">
        <v>181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79</v>
      </c>
      <c r="L6" s="66">
        <v>1000</v>
      </c>
      <c r="M6" s="67">
        <f>960+45</f>
        <v>1005</v>
      </c>
      <c r="N6" s="66">
        <f t="shared" si="1"/>
        <v>-5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4" si="2">AA6-AB6</f>
        <v>0</v>
      </c>
      <c r="AE6" s="62"/>
      <c r="AF6" s="62"/>
      <c r="AG6" s="64"/>
      <c r="AH6" s="67"/>
      <c r="AI6" s="65"/>
      <c r="AJ6" s="78"/>
      <c r="AK6" s="66"/>
      <c r="AL6" s="67"/>
      <c r="AM6" s="66">
        <f t="shared" si="0"/>
        <v>0</v>
      </c>
    </row>
    <row r="7" spans="1:40" s="76" customFormat="1" ht="100.05" customHeight="1" x14ac:dyDescent="0.3">
      <c r="A7" s="97">
        <v>250081</v>
      </c>
      <c r="B7" s="62">
        <v>304</v>
      </c>
      <c r="C7" s="64">
        <v>0.6</v>
      </c>
      <c r="D7" s="62">
        <v>577</v>
      </c>
      <c r="E7" s="91" t="s">
        <v>309</v>
      </c>
      <c r="F7" s="62" t="s">
        <v>181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600</v>
      </c>
      <c r="M7" s="67">
        <v>605</v>
      </c>
      <c r="N7" s="66">
        <f t="shared" si="1"/>
        <v>-5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/>
      <c r="AF7" s="62"/>
      <c r="AG7" s="64"/>
      <c r="AH7" s="67"/>
      <c r="AI7" s="65"/>
      <c r="AJ7" s="78"/>
      <c r="AK7" s="66"/>
      <c r="AL7" s="67"/>
      <c r="AM7" s="66">
        <f t="shared" si="0"/>
        <v>0</v>
      </c>
    </row>
    <row r="8" spans="1:40" s="76" customFormat="1" ht="100.05" customHeight="1" x14ac:dyDescent="0.3">
      <c r="A8" s="97">
        <v>250082</v>
      </c>
      <c r="B8" s="62">
        <v>430</v>
      </c>
      <c r="C8" s="64">
        <v>0.6</v>
      </c>
      <c r="D8" s="62">
        <v>719</v>
      </c>
      <c r="E8" s="91" t="s">
        <v>306</v>
      </c>
      <c r="F8" s="62" t="s">
        <v>181</v>
      </c>
      <c r="G8" s="62">
        <v>430</v>
      </c>
      <c r="H8" s="64">
        <v>0.6</v>
      </c>
      <c r="I8" s="62" t="s">
        <v>24</v>
      </c>
      <c r="J8" s="62" t="s">
        <v>24</v>
      </c>
      <c r="K8" s="62" t="s">
        <v>79</v>
      </c>
      <c r="L8" s="66">
        <v>1000</v>
      </c>
      <c r="M8" s="67">
        <f>85</f>
        <v>85</v>
      </c>
      <c r="N8" s="66">
        <f>L8-M8</f>
        <v>915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40" s="76" customFormat="1" ht="100.05" customHeight="1" x14ac:dyDescent="0.3">
      <c r="A9" s="97">
        <v>250082</v>
      </c>
      <c r="B9" s="62">
        <v>430</v>
      </c>
      <c r="C9" s="64">
        <v>0.6</v>
      </c>
      <c r="D9" s="62">
        <v>653</v>
      </c>
      <c r="E9" s="91" t="s">
        <v>307</v>
      </c>
      <c r="F9" s="62" t="s">
        <v>181</v>
      </c>
      <c r="G9" s="62">
        <v>430</v>
      </c>
      <c r="H9" s="64">
        <v>0.6</v>
      </c>
      <c r="I9" s="62" t="s">
        <v>24</v>
      </c>
      <c r="J9" s="62" t="s">
        <v>24</v>
      </c>
      <c r="K9" s="62" t="s">
        <v>79</v>
      </c>
      <c r="L9" s="66">
        <v>1000</v>
      </c>
      <c r="M9" s="67"/>
      <c r="N9" s="66">
        <f t="shared" ref="N9:N14" si="3">L9-M9</f>
        <v>1000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97">
        <v>250081</v>
      </c>
      <c r="B10" s="62">
        <v>304</v>
      </c>
      <c r="C10" s="64">
        <v>0.6</v>
      </c>
      <c r="D10" s="62">
        <v>550</v>
      </c>
      <c r="E10" s="91" t="s">
        <v>308</v>
      </c>
      <c r="F10" s="62" t="s">
        <v>181</v>
      </c>
      <c r="G10" s="62">
        <v>430</v>
      </c>
      <c r="H10" s="64">
        <v>0.6</v>
      </c>
      <c r="I10" s="62" t="s">
        <v>24</v>
      </c>
      <c r="J10" s="62" t="s">
        <v>24</v>
      </c>
      <c r="K10" s="62" t="s">
        <v>86</v>
      </c>
      <c r="L10" s="66">
        <v>400</v>
      </c>
      <c r="M10" s="67"/>
      <c r="N10" s="66">
        <f t="shared" si="3"/>
        <v>400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97">
        <v>250084</v>
      </c>
      <c r="B11" s="62">
        <v>304</v>
      </c>
      <c r="C11" s="64">
        <v>0.7</v>
      </c>
      <c r="D11" s="62">
        <v>577</v>
      </c>
      <c r="E11" s="91" t="s">
        <v>312</v>
      </c>
      <c r="F11" s="62" t="s">
        <v>181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86</v>
      </c>
      <c r="L11" s="66">
        <v>715</v>
      </c>
      <c r="M11" s="67"/>
      <c r="N11" s="66">
        <f t="shared" si="3"/>
        <v>715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97">
        <v>250084</v>
      </c>
      <c r="B12" s="62">
        <v>304</v>
      </c>
      <c r="C12" s="64">
        <v>1</v>
      </c>
      <c r="D12" s="62">
        <v>577</v>
      </c>
      <c r="E12" s="91" t="s">
        <v>313</v>
      </c>
      <c r="F12" s="62" t="s">
        <v>181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86</v>
      </c>
      <c r="L12" s="66">
        <v>15</v>
      </c>
      <c r="M12" s="67"/>
      <c r="N12" s="66">
        <f t="shared" si="3"/>
        <v>15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6" customFormat="1" ht="100.05" customHeight="1" x14ac:dyDescent="0.3">
      <c r="A13" s="97">
        <v>250084</v>
      </c>
      <c r="B13" s="62">
        <v>304</v>
      </c>
      <c r="C13" s="64">
        <v>1</v>
      </c>
      <c r="D13" s="62">
        <v>427</v>
      </c>
      <c r="E13" s="91" t="s">
        <v>314</v>
      </c>
      <c r="F13" s="62" t="s">
        <v>181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86</v>
      </c>
      <c r="L13" s="66">
        <v>15</v>
      </c>
      <c r="M13" s="67">
        <v>20</v>
      </c>
      <c r="N13" s="66">
        <f t="shared" si="3"/>
        <v>-5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40" s="76" customFormat="1" ht="100.05" customHeight="1" x14ac:dyDescent="0.3">
      <c r="A14" s="97"/>
      <c r="B14" s="62"/>
      <c r="C14" s="64"/>
      <c r="D14" s="62"/>
      <c r="E14" s="65"/>
      <c r="F14" s="62"/>
      <c r="G14" s="62"/>
      <c r="H14" s="64"/>
      <c r="I14" s="62"/>
      <c r="J14" s="62"/>
      <c r="K14" s="62"/>
      <c r="L14" s="62"/>
      <c r="M14" s="67"/>
      <c r="N14" s="66">
        <f t="shared" si="3"/>
        <v>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2"/>
      <c r="AB14" s="67"/>
      <c r="AC14" s="66">
        <f t="shared" si="2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40" s="76" customFormat="1" ht="100.05" customHeight="1" x14ac:dyDescent="0.3">
      <c r="A15" s="68"/>
      <c r="B15" s="68"/>
      <c r="C15" s="69"/>
      <c r="D15" s="68"/>
      <c r="E15" s="70"/>
      <c r="F15" s="68"/>
      <c r="G15" s="68"/>
      <c r="H15" s="69"/>
      <c r="I15" s="68"/>
      <c r="J15" s="68"/>
      <c r="K15" s="68"/>
      <c r="L15" s="66">
        <f>SUM(L4:L14)</f>
        <v>7345</v>
      </c>
      <c r="M15" s="71">
        <f>SUM(M4:M14)</f>
        <v>1715</v>
      </c>
      <c r="N15" s="66">
        <f>SUM(N4:N14)</f>
        <v>5630</v>
      </c>
      <c r="P15" s="68"/>
      <c r="Q15" s="68"/>
      <c r="R15" s="69"/>
      <c r="S15" s="68"/>
      <c r="T15" s="70"/>
      <c r="U15" s="68"/>
      <c r="V15" s="68"/>
      <c r="W15" s="69"/>
      <c r="X15" s="68"/>
      <c r="Y15" s="68"/>
      <c r="Z15" s="68"/>
      <c r="AA15" s="66">
        <f>AA4+AA6+AA7+AA8+AA14</f>
        <v>0</v>
      </c>
      <c r="AB15" s="71">
        <f>SUM(AB4:AB14)</f>
        <v>0</v>
      </c>
      <c r="AC15" s="66">
        <f>SUM(AC4:AC14)</f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40" s="75" customFormat="1" ht="100.05" customHeight="1" x14ac:dyDescent="0.3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6"/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  <c r="AN16" s="76"/>
    </row>
    <row r="17" spans="1:40" s="75" customFormat="1" ht="100.05" customHeight="1" x14ac:dyDescent="0.3">
      <c r="A17" s="109" t="s">
        <v>101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1"/>
      <c r="P17" s="109" t="s">
        <v>99</v>
      </c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1"/>
      <c r="AD17" s="76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6"/>
    </row>
    <row r="18" spans="1:40" s="75" customFormat="1" ht="145.80000000000001" x14ac:dyDescent="0.3">
      <c r="A18" s="81" t="s">
        <v>0</v>
      </c>
      <c r="B18" s="81" t="s">
        <v>9</v>
      </c>
      <c r="C18" s="82" t="s">
        <v>11</v>
      </c>
      <c r="D18" s="81" t="s">
        <v>2</v>
      </c>
      <c r="E18" s="81" t="s">
        <v>1</v>
      </c>
      <c r="F18" s="81" t="s">
        <v>14</v>
      </c>
      <c r="G18" s="81" t="s">
        <v>8</v>
      </c>
      <c r="H18" s="82" t="s">
        <v>10</v>
      </c>
      <c r="I18" s="82" t="s">
        <v>12</v>
      </c>
      <c r="J18" s="82" t="s">
        <v>13</v>
      </c>
      <c r="K18" s="81" t="s">
        <v>3</v>
      </c>
      <c r="L18" s="81" t="s">
        <v>7</v>
      </c>
      <c r="M18" s="81" t="s">
        <v>5</v>
      </c>
      <c r="N18" s="81" t="s">
        <v>6</v>
      </c>
      <c r="P18" s="81" t="s">
        <v>0</v>
      </c>
      <c r="Q18" s="81" t="s">
        <v>9</v>
      </c>
      <c r="R18" s="82" t="s">
        <v>11</v>
      </c>
      <c r="S18" s="81" t="s">
        <v>2</v>
      </c>
      <c r="T18" s="81" t="s">
        <v>1</v>
      </c>
      <c r="U18" s="81" t="s">
        <v>14</v>
      </c>
      <c r="V18" s="81" t="s">
        <v>8</v>
      </c>
      <c r="W18" s="82" t="s">
        <v>10</v>
      </c>
      <c r="X18" s="82" t="s">
        <v>12</v>
      </c>
      <c r="Y18" s="82" t="s">
        <v>13</v>
      </c>
      <c r="Z18" s="81" t="s">
        <v>3</v>
      </c>
      <c r="AA18" s="81" t="s">
        <v>7</v>
      </c>
      <c r="AB18" s="81" t="s">
        <v>5</v>
      </c>
      <c r="AC18" s="81" t="s">
        <v>6</v>
      </c>
      <c r="AD18" s="76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6"/>
    </row>
    <row r="19" spans="1:40" s="76" customFormat="1" ht="100.05" customHeight="1" x14ac:dyDescent="0.3">
      <c r="A19" s="97">
        <v>21025</v>
      </c>
      <c r="B19" s="97">
        <v>304</v>
      </c>
      <c r="C19" s="64">
        <v>0.6</v>
      </c>
      <c r="D19" s="62">
        <v>234</v>
      </c>
      <c r="E19" s="91" t="s">
        <v>249</v>
      </c>
      <c r="F19" s="62" t="s">
        <v>121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1000</v>
      </c>
      <c r="M19" s="67"/>
      <c r="N19" s="66">
        <f t="shared" ref="N19" si="4">L19-M19</f>
        <v>1000</v>
      </c>
      <c r="P19" s="62">
        <v>250079</v>
      </c>
      <c r="Q19" s="62">
        <v>304</v>
      </c>
      <c r="R19" s="64">
        <v>0.7</v>
      </c>
      <c r="S19" s="62">
        <v>324</v>
      </c>
      <c r="T19" s="65" t="s">
        <v>261</v>
      </c>
      <c r="U19" s="62" t="s">
        <v>23</v>
      </c>
      <c r="V19" s="62">
        <v>304</v>
      </c>
      <c r="W19" s="64">
        <v>0.6</v>
      </c>
      <c r="X19" s="62" t="s">
        <v>24</v>
      </c>
      <c r="Y19" s="62" t="s">
        <v>24</v>
      </c>
      <c r="Z19" s="62" t="s">
        <v>74</v>
      </c>
      <c r="AA19" s="66">
        <v>964</v>
      </c>
      <c r="AB19" s="67">
        <f>250+850</f>
        <v>1100</v>
      </c>
      <c r="AC19" s="66">
        <f t="shared" ref="AC19:AC35" si="5">AA19-AB19</f>
        <v>-136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97">
        <v>250080</v>
      </c>
      <c r="B20" s="97">
        <v>304</v>
      </c>
      <c r="C20" s="64">
        <v>0.6</v>
      </c>
      <c r="D20" s="62">
        <v>435</v>
      </c>
      <c r="E20" s="86" t="s">
        <v>287</v>
      </c>
      <c r="F20" s="62" t="s">
        <v>181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79</v>
      </c>
      <c r="L20" s="66">
        <v>300</v>
      </c>
      <c r="M20" s="67"/>
      <c r="N20" s="66">
        <f>L20-M20</f>
        <v>300</v>
      </c>
      <c r="P20" s="62">
        <v>250079</v>
      </c>
      <c r="Q20" s="62">
        <v>304</v>
      </c>
      <c r="R20" s="64">
        <v>0.7</v>
      </c>
      <c r="S20" s="62">
        <v>324</v>
      </c>
      <c r="T20" s="93" t="s">
        <v>262</v>
      </c>
      <c r="U20" s="62" t="s">
        <v>23</v>
      </c>
      <c r="V20" s="62">
        <v>304</v>
      </c>
      <c r="W20" s="64">
        <v>0.6</v>
      </c>
      <c r="X20" s="62" t="s">
        <v>24</v>
      </c>
      <c r="Y20" s="62" t="s">
        <v>24</v>
      </c>
      <c r="Z20" s="62" t="s">
        <v>74</v>
      </c>
      <c r="AA20" s="66">
        <v>36</v>
      </c>
      <c r="AB20" s="67">
        <v>50</v>
      </c>
      <c r="AC20" s="66">
        <f t="shared" si="5"/>
        <v>-14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>
        <v>151025</v>
      </c>
      <c r="B21" s="97">
        <v>304</v>
      </c>
      <c r="C21" s="64">
        <v>0.7</v>
      </c>
      <c r="D21" s="62">
        <v>319</v>
      </c>
      <c r="E21" s="91" t="s">
        <v>299</v>
      </c>
      <c r="F21" s="62" t="s">
        <v>121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1000</v>
      </c>
      <c r="M21" s="67">
        <v>470</v>
      </c>
      <c r="N21" s="90">
        <f t="shared" ref="N21:N35" si="6">L21-M21</f>
        <v>530</v>
      </c>
      <c r="P21" s="62">
        <v>250079</v>
      </c>
      <c r="Q21" s="62">
        <v>304</v>
      </c>
      <c r="R21" s="64">
        <v>0.7</v>
      </c>
      <c r="S21" s="62">
        <v>265</v>
      </c>
      <c r="T21" s="93" t="s">
        <v>265</v>
      </c>
      <c r="U21" s="62" t="s">
        <v>23</v>
      </c>
      <c r="V21" s="62">
        <v>304</v>
      </c>
      <c r="W21" s="64">
        <v>0.6</v>
      </c>
      <c r="X21" s="62" t="s">
        <v>24</v>
      </c>
      <c r="Y21" s="62" t="s">
        <v>24</v>
      </c>
      <c r="Z21" s="62" t="s">
        <v>74</v>
      </c>
      <c r="AA21" s="66">
        <v>1314</v>
      </c>
      <c r="AB21" s="67"/>
      <c r="AC21" s="66">
        <f t="shared" si="5"/>
        <v>1314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 t="s">
        <v>300</v>
      </c>
      <c r="B22" s="97">
        <v>304</v>
      </c>
      <c r="C22" s="64">
        <v>0.7</v>
      </c>
      <c r="D22" s="62">
        <v>319</v>
      </c>
      <c r="E22" s="91" t="s">
        <v>299</v>
      </c>
      <c r="F22" s="62" t="s">
        <v>121</v>
      </c>
      <c r="G22" s="62">
        <v>430</v>
      </c>
      <c r="H22" s="64">
        <v>0.6</v>
      </c>
      <c r="I22" s="62" t="s">
        <v>24</v>
      </c>
      <c r="J22" s="62" t="s">
        <v>24</v>
      </c>
      <c r="K22" s="62" t="s">
        <v>86</v>
      </c>
      <c r="L22" s="66">
        <v>1000</v>
      </c>
      <c r="M22" s="67">
        <v>1000</v>
      </c>
      <c r="N22" s="66">
        <f t="shared" si="6"/>
        <v>0</v>
      </c>
      <c r="P22" s="62">
        <v>250079</v>
      </c>
      <c r="Q22" s="62">
        <v>304</v>
      </c>
      <c r="R22" s="64">
        <v>0.7</v>
      </c>
      <c r="S22" s="62">
        <v>265</v>
      </c>
      <c r="T22" s="93" t="s">
        <v>266</v>
      </c>
      <c r="U22" s="62" t="s">
        <v>23</v>
      </c>
      <c r="V22" s="62">
        <v>304</v>
      </c>
      <c r="W22" s="64">
        <v>0.6</v>
      </c>
      <c r="X22" s="62" t="s">
        <v>24</v>
      </c>
      <c r="Y22" s="62" t="s">
        <v>24</v>
      </c>
      <c r="Z22" s="62" t="s">
        <v>74</v>
      </c>
      <c r="AA22" s="66">
        <v>36</v>
      </c>
      <c r="AB22" s="67"/>
      <c r="AC22" s="66">
        <f t="shared" si="5"/>
        <v>36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99.6" customHeight="1" x14ac:dyDescent="0.3">
      <c r="A23" s="97">
        <v>151025</v>
      </c>
      <c r="B23" s="97">
        <v>304</v>
      </c>
      <c r="C23" s="64">
        <v>0.7</v>
      </c>
      <c r="D23" s="62">
        <v>433</v>
      </c>
      <c r="E23" s="91" t="s">
        <v>301</v>
      </c>
      <c r="F23" s="62" t="s">
        <v>121</v>
      </c>
      <c r="G23" s="62">
        <v>430</v>
      </c>
      <c r="H23" s="64">
        <v>0.6</v>
      </c>
      <c r="I23" s="62" t="s">
        <v>24</v>
      </c>
      <c r="J23" s="62" t="s">
        <v>24</v>
      </c>
      <c r="K23" s="62" t="s">
        <v>86</v>
      </c>
      <c r="L23" s="66">
        <v>1000</v>
      </c>
      <c r="M23" s="67">
        <v>1020</v>
      </c>
      <c r="N23" s="66">
        <f t="shared" si="6"/>
        <v>-20</v>
      </c>
      <c r="P23" s="62">
        <v>250080</v>
      </c>
      <c r="Q23" s="62">
        <v>304</v>
      </c>
      <c r="R23" s="64">
        <v>0.7</v>
      </c>
      <c r="S23" s="62">
        <v>265</v>
      </c>
      <c r="T23" s="93" t="s">
        <v>271</v>
      </c>
      <c r="U23" s="62" t="s">
        <v>23</v>
      </c>
      <c r="V23" s="62">
        <v>430</v>
      </c>
      <c r="W23" s="64">
        <v>0.6</v>
      </c>
      <c r="X23" s="62" t="s">
        <v>24</v>
      </c>
      <c r="Y23" s="62" t="s">
        <v>24</v>
      </c>
      <c r="Z23" s="62" t="s">
        <v>74</v>
      </c>
      <c r="AA23" s="66">
        <v>1200</v>
      </c>
      <c r="AB23" s="67"/>
      <c r="AC23" s="66">
        <f t="shared" si="5"/>
        <v>1200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>
        <v>250081</v>
      </c>
      <c r="B24" s="97">
        <v>304</v>
      </c>
      <c r="C24" s="64">
        <v>0.6</v>
      </c>
      <c r="D24" s="62">
        <v>427</v>
      </c>
      <c r="E24" s="91" t="s">
        <v>311</v>
      </c>
      <c r="F24" s="62" t="s">
        <v>23</v>
      </c>
      <c r="G24" s="62">
        <v>430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500</v>
      </c>
      <c r="M24" s="67">
        <v>530</v>
      </c>
      <c r="N24" s="66">
        <f t="shared" si="6"/>
        <v>-30</v>
      </c>
      <c r="P24" s="62"/>
      <c r="Q24" s="62"/>
      <c r="R24" s="64"/>
      <c r="S24" s="62"/>
      <c r="T24" s="93"/>
      <c r="U24" s="62"/>
      <c r="V24" s="62"/>
      <c r="W24" s="64"/>
      <c r="X24" s="62"/>
      <c r="Y24" s="62"/>
      <c r="Z24" s="62"/>
      <c r="AA24" s="66"/>
      <c r="AB24" s="67"/>
      <c r="AC24" s="66">
        <f t="shared" si="5"/>
        <v>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7">
        <v>151025</v>
      </c>
      <c r="B25" s="97">
        <v>304</v>
      </c>
      <c r="C25" s="64">
        <v>0.7</v>
      </c>
      <c r="D25" s="62">
        <v>388</v>
      </c>
      <c r="E25" s="91" t="s">
        <v>302</v>
      </c>
      <c r="F25" s="62" t="s">
        <v>121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1000</v>
      </c>
      <c r="M25" s="67"/>
      <c r="N25" s="66">
        <f t="shared" si="6"/>
        <v>1000</v>
      </c>
      <c r="P25" s="62"/>
      <c r="Q25" s="62"/>
      <c r="R25" s="64"/>
      <c r="S25" s="62"/>
      <c r="T25" s="93"/>
      <c r="U25" s="62"/>
      <c r="V25" s="62"/>
      <c r="W25" s="64"/>
      <c r="X25" s="62"/>
      <c r="Y25" s="62"/>
      <c r="Z25" s="62"/>
      <c r="AA25" s="66"/>
      <c r="AB25" s="67"/>
      <c r="AC25" s="66">
        <f t="shared" si="5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7">
        <v>250081</v>
      </c>
      <c r="B26" s="97">
        <v>304</v>
      </c>
      <c r="C26" s="64">
        <v>0.6</v>
      </c>
      <c r="D26" s="62">
        <v>467</v>
      </c>
      <c r="E26" s="91" t="s">
        <v>310</v>
      </c>
      <c r="F26" s="62" t="s">
        <v>181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500</v>
      </c>
      <c r="M26" s="67"/>
      <c r="N26" s="66">
        <f t="shared" si="6"/>
        <v>500</v>
      </c>
      <c r="P26" s="62"/>
      <c r="Q26" s="62"/>
      <c r="R26" s="64"/>
      <c r="S26" s="62"/>
      <c r="T26" s="93"/>
      <c r="U26" s="62"/>
      <c r="V26" s="62"/>
      <c r="W26" s="64"/>
      <c r="X26" s="62"/>
      <c r="Y26" s="62"/>
      <c r="Z26" s="62"/>
      <c r="AA26" s="66"/>
      <c r="AB26" s="67"/>
      <c r="AC26" s="66">
        <f t="shared" si="5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7" t="s">
        <v>300</v>
      </c>
      <c r="B27" s="97">
        <v>304</v>
      </c>
      <c r="C27" s="64">
        <v>0.7</v>
      </c>
      <c r="D27" s="62">
        <v>289</v>
      </c>
      <c r="E27" s="91" t="s">
        <v>303</v>
      </c>
      <c r="F27" s="62" t="s">
        <v>121</v>
      </c>
      <c r="G27" s="62">
        <v>430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1000</v>
      </c>
      <c r="M27" s="67"/>
      <c r="N27" s="66">
        <f t="shared" si="6"/>
        <v>1000</v>
      </c>
      <c r="P27" s="62"/>
      <c r="Q27" s="62"/>
      <c r="R27" s="64"/>
      <c r="S27" s="62"/>
      <c r="T27" s="93"/>
      <c r="U27" s="62"/>
      <c r="V27" s="62"/>
      <c r="W27" s="64"/>
      <c r="X27" s="62"/>
      <c r="Y27" s="62"/>
      <c r="Z27" s="62"/>
      <c r="AA27" s="66"/>
      <c r="AB27" s="67"/>
      <c r="AC27" s="66">
        <f t="shared" si="5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7" t="s">
        <v>300</v>
      </c>
      <c r="B28" s="97">
        <v>304</v>
      </c>
      <c r="C28" s="64">
        <v>0.7</v>
      </c>
      <c r="D28" s="62">
        <v>265</v>
      </c>
      <c r="E28" s="91" t="s">
        <v>304</v>
      </c>
      <c r="F28" s="62" t="s">
        <v>121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1000</v>
      </c>
      <c r="M28" s="67"/>
      <c r="N28" s="66">
        <f t="shared" si="6"/>
        <v>1000</v>
      </c>
      <c r="P28" s="62"/>
      <c r="Q28" s="62"/>
      <c r="R28" s="64"/>
      <c r="S28" s="62"/>
      <c r="T28" s="93"/>
      <c r="U28" s="62"/>
      <c r="V28" s="62"/>
      <c r="W28" s="64"/>
      <c r="X28" s="62"/>
      <c r="Y28" s="62"/>
      <c r="Z28" s="62"/>
      <c r="AA28" s="66"/>
      <c r="AB28" s="67"/>
      <c r="AC28" s="66">
        <f t="shared" si="5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7">
        <v>250084</v>
      </c>
      <c r="B29" s="97">
        <v>304</v>
      </c>
      <c r="C29" s="64">
        <v>0.7</v>
      </c>
      <c r="D29" s="62">
        <v>375</v>
      </c>
      <c r="E29" s="91" t="s">
        <v>315</v>
      </c>
      <c r="F29" s="62" t="s">
        <v>23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86</v>
      </c>
      <c r="L29" s="66">
        <v>715</v>
      </c>
      <c r="M29" s="67"/>
      <c r="N29" s="66">
        <f t="shared" si="6"/>
        <v>715</v>
      </c>
      <c r="P29" s="62"/>
      <c r="Q29" s="62"/>
      <c r="R29" s="64"/>
      <c r="S29" s="62"/>
      <c r="T29" s="93"/>
      <c r="U29" s="62"/>
      <c r="V29" s="62"/>
      <c r="W29" s="64"/>
      <c r="X29" s="62"/>
      <c r="Y29" s="62"/>
      <c r="Z29" s="62"/>
      <c r="AA29" s="66"/>
      <c r="AB29" s="67"/>
      <c r="AC29" s="66">
        <f t="shared" si="5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7">
        <v>250084</v>
      </c>
      <c r="B30" s="97">
        <v>304</v>
      </c>
      <c r="C30" s="64">
        <v>1</v>
      </c>
      <c r="D30" s="62">
        <v>375</v>
      </c>
      <c r="E30" s="91" t="s">
        <v>316</v>
      </c>
      <c r="F30" s="62" t="s">
        <v>23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15</v>
      </c>
      <c r="M30" s="67"/>
      <c r="N30" s="66">
        <f t="shared" si="6"/>
        <v>15</v>
      </c>
      <c r="P30" s="62"/>
      <c r="Q30" s="62"/>
      <c r="R30" s="64"/>
      <c r="S30" s="62"/>
      <c r="T30" s="93"/>
      <c r="U30" s="62"/>
      <c r="V30" s="62"/>
      <c r="W30" s="64"/>
      <c r="X30" s="62"/>
      <c r="Y30" s="62"/>
      <c r="Z30" s="62"/>
      <c r="AA30" s="66"/>
      <c r="AB30" s="67"/>
      <c r="AC30" s="66">
        <f t="shared" si="5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97">
        <v>250084</v>
      </c>
      <c r="B31" s="97">
        <v>304</v>
      </c>
      <c r="C31" s="64">
        <v>0.7</v>
      </c>
      <c r="D31" s="62">
        <v>350</v>
      </c>
      <c r="E31" s="91" t="s">
        <v>317</v>
      </c>
      <c r="F31" s="62" t="s">
        <v>23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715</v>
      </c>
      <c r="M31" s="67"/>
      <c r="N31" s="66">
        <f t="shared" si="6"/>
        <v>715</v>
      </c>
      <c r="P31" s="62"/>
      <c r="Q31" s="62"/>
      <c r="R31" s="64"/>
      <c r="S31" s="62"/>
      <c r="T31" s="93"/>
      <c r="U31" s="62"/>
      <c r="V31" s="62"/>
      <c r="W31" s="64"/>
      <c r="X31" s="62"/>
      <c r="Y31" s="62"/>
      <c r="Z31" s="62"/>
      <c r="AA31" s="66"/>
      <c r="AB31" s="67"/>
      <c r="AC31" s="66">
        <f t="shared" si="5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97">
        <v>250084</v>
      </c>
      <c r="B32" s="97">
        <v>304</v>
      </c>
      <c r="C32" s="64">
        <v>1</v>
      </c>
      <c r="D32" s="62">
        <v>350</v>
      </c>
      <c r="E32" s="91" t="s">
        <v>318</v>
      </c>
      <c r="F32" s="62" t="s">
        <v>23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86</v>
      </c>
      <c r="L32" s="66">
        <v>15</v>
      </c>
      <c r="M32" s="67"/>
      <c r="N32" s="66">
        <f t="shared" si="6"/>
        <v>15</v>
      </c>
      <c r="P32" s="62"/>
      <c r="Q32" s="62"/>
      <c r="R32" s="64"/>
      <c r="S32" s="62"/>
      <c r="T32" s="93"/>
      <c r="U32" s="62"/>
      <c r="V32" s="62"/>
      <c r="W32" s="64"/>
      <c r="X32" s="62"/>
      <c r="Y32" s="62"/>
      <c r="Z32" s="62"/>
      <c r="AA32" s="66"/>
      <c r="AB32" s="67"/>
      <c r="AC32" s="66">
        <f t="shared" si="5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97">
        <v>250084</v>
      </c>
      <c r="B33" s="97">
        <v>304</v>
      </c>
      <c r="C33" s="64">
        <v>0.7</v>
      </c>
      <c r="D33" s="62">
        <v>315</v>
      </c>
      <c r="E33" s="91" t="s">
        <v>319</v>
      </c>
      <c r="F33" s="62" t="s">
        <v>23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715</v>
      </c>
      <c r="M33" s="67"/>
      <c r="N33" s="66">
        <f t="shared" si="6"/>
        <v>715</v>
      </c>
      <c r="P33" s="62"/>
      <c r="Q33" s="62"/>
      <c r="R33" s="64"/>
      <c r="S33" s="62"/>
      <c r="T33" s="93"/>
      <c r="U33" s="62"/>
      <c r="V33" s="62"/>
      <c r="W33" s="64"/>
      <c r="X33" s="62"/>
      <c r="Y33" s="62"/>
      <c r="Z33" s="62"/>
      <c r="AA33" s="66"/>
      <c r="AB33" s="67"/>
      <c r="AC33" s="66">
        <f t="shared" si="5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99.6" customHeight="1" x14ac:dyDescent="0.3">
      <c r="A34" s="97">
        <v>250084</v>
      </c>
      <c r="B34" s="97">
        <v>304</v>
      </c>
      <c r="C34" s="64">
        <v>1</v>
      </c>
      <c r="D34" s="62">
        <v>315</v>
      </c>
      <c r="E34" s="91" t="s">
        <v>320</v>
      </c>
      <c r="F34" s="62" t="s">
        <v>23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86</v>
      </c>
      <c r="L34" s="66">
        <v>15</v>
      </c>
      <c r="M34" s="67"/>
      <c r="N34" s="66">
        <f t="shared" si="6"/>
        <v>15</v>
      </c>
      <c r="P34" s="62"/>
      <c r="Q34" s="62"/>
      <c r="R34" s="64"/>
      <c r="S34" s="62"/>
      <c r="T34" s="93"/>
      <c r="U34" s="62"/>
      <c r="V34" s="62"/>
      <c r="W34" s="64"/>
      <c r="X34" s="62"/>
      <c r="Y34" s="62"/>
      <c r="Z34" s="62"/>
      <c r="AA34" s="66"/>
      <c r="AB34" s="67"/>
      <c r="AC34" s="66">
        <f t="shared" si="5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97"/>
      <c r="B35" s="97"/>
      <c r="C35" s="64"/>
      <c r="D35" s="62"/>
      <c r="E35" s="91"/>
      <c r="F35" s="62"/>
      <c r="G35" s="62"/>
      <c r="H35" s="64"/>
      <c r="I35" s="62"/>
      <c r="J35" s="62"/>
      <c r="K35" s="62"/>
      <c r="L35" s="66"/>
      <c r="M35" s="67"/>
      <c r="N35" s="66">
        <f t="shared" si="6"/>
        <v>0</v>
      </c>
      <c r="P35" s="62"/>
      <c r="Q35" s="62"/>
      <c r="R35" s="64"/>
      <c r="S35" s="62"/>
      <c r="T35" s="65"/>
      <c r="U35" s="62"/>
      <c r="V35" s="62"/>
      <c r="W35" s="64"/>
      <c r="X35" s="62"/>
      <c r="Y35" s="62"/>
      <c r="Z35" s="62"/>
      <c r="AA35" s="66"/>
      <c r="AB35" s="67"/>
      <c r="AC35" s="66">
        <f t="shared" si="5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98"/>
      <c r="B36" s="98"/>
      <c r="C36" s="69"/>
      <c r="D36" s="68"/>
      <c r="E36" s="70"/>
      <c r="F36" s="68"/>
      <c r="G36" s="68"/>
      <c r="H36" s="69"/>
      <c r="I36" s="68"/>
      <c r="J36" s="68"/>
      <c r="K36" s="68"/>
      <c r="L36" s="66">
        <f>SUM(L19:L35)</f>
        <v>10490</v>
      </c>
      <c r="M36" s="71">
        <f>SUM(M19:M35)</f>
        <v>3020</v>
      </c>
      <c r="N36" s="66">
        <f>SUM(N19:N35)</f>
        <v>7470</v>
      </c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66">
        <f>SUM(AA19:AA35)</f>
        <v>3550</v>
      </c>
      <c r="AB36" s="71">
        <f>SUM(AB19:AB35)</f>
        <v>1150</v>
      </c>
      <c r="AC36" s="66">
        <f>SUM(AC19:AC35)</f>
        <v>2400</v>
      </c>
      <c r="AD36" s="75"/>
      <c r="AE36" s="68"/>
      <c r="AF36" s="68"/>
      <c r="AG36" s="69"/>
      <c r="AH36" s="68"/>
      <c r="AI36" s="70"/>
      <c r="AJ36" s="80"/>
      <c r="AK36" s="66">
        <f>SUM(AK4:AK35)</f>
        <v>0</v>
      </c>
      <c r="AL36" s="71">
        <f>SUM(AL4:AL35)</f>
        <v>0</v>
      </c>
      <c r="AM36" s="66">
        <f>SUM(AM4:AM35)</f>
        <v>0</v>
      </c>
      <c r="AN36" s="75"/>
    </row>
    <row r="37" spans="1:40" s="75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E37" s="79"/>
      <c r="AF37" s="79"/>
      <c r="AG37" s="79"/>
      <c r="AH37" s="79"/>
      <c r="AI37" s="79"/>
      <c r="AJ37" s="79"/>
      <c r="AK37" s="79"/>
      <c r="AL37" s="79"/>
      <c r="AM37" s="79"/>
    </row>
    <row r="38" spans="1:40" s="75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E38" s="79"/>
      <c r="AF38" s="79"/>
      <c r="AG38" s="79"/>
      <c r="AH38" s="79"/>
      <c r="AI38" s="79"/>
      <c r="AJ38" s="79"/>
      <c r="AK38" s="79"/>
      <c r="AL38" s="79"/>
      <c r="AM38" s="79"/>
    </row>
    <row r="39" spans="1:40" s="75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E39" s="79"/>
      <c r="AF39" s="79"/>
      <c r="AG39" s="79"/>
      <c r="AH39" s="79"/>
      <c r="AI39" s="79"/>
      <c r="AJ39" s="79"/>
      <c r="AK39" s="79"/>
      <c r="AL39" s="79"/>
      <c r="AM39" s="79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76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5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5"/>
      <c r="AE45" s="79"/>
      <c r="AF45" s="79"/>
      <c r="AG45" s="79"/>
      <c r="AH45" s="79"/>
      <c r="AI45" s="79"/>
      <c r="AJ45" s="79"/>
      <c r="AK45" s="79"/>
      <c r="AL45" s="79"/>
      <c r="AM45" s="79"/>
      <c r="AN45" s="75"/>
    </row>
    <row r="46" spans="1:40" s="76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5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5"/>
      <c r="AE46" s="79"/>
      <c r="AF46" s="79"/>
      <c r="AG46" s="79"/>
      <c r="AH46" s="79"/>
      <c r="AI46" s="79"/>
      <c r="AJ46" s="79"/>
      <c r="AK46" s="79"/>
      <c r="AL46" s="79"/>
      <c r="AM46" s="79"/>
      <c r="AN46" s="75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76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5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5"/>
      <c r="AE49" s="79"/>
      <c r="AF49" s="79"/>
      <c r="AG49" s="79"/>
      <c r="AH49" s="79"/>
      <c r="AI49" s="79"/>
      <c r="AJ49" s="79"/>
      <c r="AK49" s="79"/>
      <c r="AL49" s="79"/>
      <c r="AM49" s="79"/>
      <c r="AN49" s="75"/>
    </row>
    <row r="50" spans="1:40" s="75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E50" s="79"/>
      <c r="AF50" s="79"/>
      <c r="AG50" s="79"/>
      <c r="AH50" s="79"/>
      <c r="AI50" s="79"/>
      <c r="AJ50" s="79"/>
      <c r="AK50" s="79"/>
      <c r="AL50" s="79"/>
      <c r="AM50" s="79"/>
    </row>
    <row r="51" spans="1:40" s="75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E51" s="79"/>
      <c r="AF51" s="79"/>
      <c r="AG51" s="79"/>
      <c r="AH51" s="79"/>
      <c r="AI51" s="79"/>
      <c r="AJ51" s="79"/>
      <c r="AK51" s="79"/>
      <c r="AL51" s="79"/>
      <c r="AM51" s="79"/>
    </row>
    <row r="52" spans="1:40" s="75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E52" s="79"/>
      <c r="AF52" s="79"/>
      <c r="AG52" s="79"/>
      <c r="AH52" s="79"/>
      <c r="AI52" s="79"/>
      <c r="AJ52" s="79"/>
      <c r="AK52" s="79"/>
      <c r="AL52" s="79"/>
      <c r="AM52" s="79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  <row r="57" spans="1:40" s="56" customFormat="1" ht="100.0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3"/>
      <c r="AE57" s="2"/>
      <c r="AF57" s="2"/>
      <c r="AG57" s="2"/>
      <c r="AH57" s="2"/>
      <c r="AI57" s="2"/>
      <c r="AJ57" s="2"/>
      <c r="AK57" s="2"/>
      <c r="AL57" s="2"/>
      <c r="AM57" s="2"/>
      <c r="AN57" s="3"/>
    </row>
    <row r="58" spans="1:40" s="56" customFormat="1" ht="100.0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3"/>
      <c r="AE58" s="2"/>
      <c r="AF58" s="2"/>
      <c r="AG58" s="2"/>
      <c r="AH58" s="2"/>
      <c r="AI58" s="2"/>
      <c r="AJ58" s="2"/>
      <c r="AK58" s="2"/>
      <c r="AL58" s="2"/>
      <c r="AM58" s="2"/>
      <c r="AN58" s="3"/>
    </row>
    <row r="59" spans="1:40" s="56" customFormat="1" ht="100.0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2"/>
      <c r="AF59" s="2"/>
      <c r="AG59" s="2"/>
      <c r="AH59" s="2"/>
      <c r="AI59" s="2"/>
      <c r="AJ59" s="2"/>
      <c r="AK59" s="2"/>
      <c r="AL59" s="2"/>
      <c r="AM59" s="2"/>
      <c r="AN59" s="3"/>
    </row>
    <row r="60" spans="1:40" s="56" customFormat="1" ht="100.0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3"/>
      <c r="AE60" s="2"/>
      <c r="AF60" s="2"/>
      <c r="AG60" s="2"/>
      <c r="AH60" s="2"/>
      <c r="AI60" s="2"/>
      <c r="AJ60" s="2"/>
      <c r="AK60" s="2"/>
      <c r="AL60" s="2"/>
      <c r="AM60" s="2"/>
      <c r="AN60" s="3"/>
    </row>
    <row r="61" spans="1:40" s="56" customFormat="1" ht="100.0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3"/>
      <c r="AE61" s="2"/>
      <c r="AF61" s="2"/>
      <c r="AG61" s="2"/>
      <c r="AH61" s="2"/>
      <c r="AI61" s="2"/>
      <c r="AJ61" s="2"/>
      <c r="AK61" s="2"/>
      <c r="AL61" s="2"/>
      <c r="AM61" s="2"/>
      <c r="AN61" s="3"/>
    </row>
    <row r="62" spans="1:40" s="56" customFormat="1" ht="100.0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3"/>
      <c r="AE62" s="2"/>
      <c r="AF62" s="2"/>
      <c r="AG62" s="2"/>
      <c r="AH62" s="2"/>
      <c r="AI62" s="2"/>
      <c r="AJ62" s="2"/>
      <c r="AK62" s="2"/>
      <c r="AL62" s="2"/>
      <c r="AM62" s="2"/>
      <c r="AN62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17:N17"/>
    <mergeCell ref="P17:AC1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1" orientation="landscape" horizontalDpi="1200" verticalDpi="120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6"/>
  <sheetViews>
    <sheetView topLeftCell="A16" zoomScale="25" zoomScaleNormal="25" workbookViewId="0">
      <selection activeCell="M25" sqref="M2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45961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45961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 t="s">
        <v>267</v>
      </c>
      <c r="B4" s="62">
        <v>430</v>
      </c>
      <c r="C4" s="64">
        <v>0.5</v>
      </c>
      <c r="D4" s="62">
        <v>290</v>
      </c>
      <c r="E4" s="91" t="s">
        <v>269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1300</v>
      </c>
      <c r="M4" s="67"/>
      <c r="N4" s="66">
        <f>L4-M4</f>
        <v>1300</v>
      </c>
      <c r="P4" s="62"/>
      <c r="Q4" s="62"/>
      <c r="R4" s="64"/>
      <c r="S4" s="62"/>
      <c r="T4" s="65"/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/>
      <c r="AF4" s="62"/>
      <c r="AG4" s="64"/>
      <c r="AH4" s="67"/>
      <c r="AI4" s="65"/>
      <c r="AJ4" s="78"/>
      <c r="AK4" s="66"/>
      <c r="AL4" s="67"/>
      <c r="AM4" s="66">
        <f t="shared" ref="AM4:AM29" si="0">AK4-AL4</f>
        <v>0</v>
      </c>
    </row>
    <row r="5" spans="1:40" s="76" customFormat="1" ht="100.05" customHeight="1" x14ac:dyDescent="0.3">
      <c r="A5" s="97">
        <v>250082</v>
      </c>
      <c r="B5" s="62">
        <v>430</v>
      </c>
      <c r="C5" s="64">
        <v>0.6</v>
      </c>
      <c r="D5" s="62">
        <v>719</v>
      </c>
      <c r="E5" s="91" t="s">
        <v>306</v>
      </c>
      <c r="F5" s="62" t="s">
        <v>181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79</v>
      </c>
      <c r="L5" s="66">
        <v>1000</v>
      </c>
      <c r="M5" s="67">
        <f>85+600</f>
        <v>685</v>
      </c>
      <c r="N5" s="66">
        <f t="shared" ref="N5:N7" si="1">L5-M5</f>
        <v>315</v>
      </c>
      <c r="P5" s="62"/>
      <c r="Q5" s="62"/>
      <c r="R5" s="64"/>
      <c r="S5" s="62"/>
      <c r="T5" s="65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/>
      <c r="AF5" s="62"/>
      <c r="AG5" s="64"/>
      <c r="AH5" s="67"/>
      <c r="AI5" s="65"/>
      <c r="AJ5" s="78"/>
      <c r="AK5" s="66"/>
      <c r="AL5" s="67"/>
      <c r="AM5" s="66">
        <f t="shared" si="0"/>
        <v>0</v>
      </c>
    </row>
    <row r="6" spans="1:40" s="76" customFormat="1" ht="100.05" customHeight="1" x14ac:dyDescent="0.3">
      <c r="A6" s="97">
        <v>250082</v>
      </c>
      <c r="B6" s="62">
        <v>430</v>
      </c>
      <c r="C6" s="64">
        <v>0.6</v>
      </c>
      <c r="D6" s="62">
        <v>653</v>
      </c>
      <c r="E6" s="91" t="s">
        <v>307</v>
      </c>
      <c r="F6" s="62" t="s">
        <v>181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79</v>
      </c>
      <c r="L6" s="66">
        <v>1000</v>
      </c>
      <c r="M6" s="67"/>
      <c r="N6" s="66">
        <f t="shared" si="1"/>
        <v>1000</v>
      </c>
      <c r="P6" s="62"/>
      <c r="Q6" s="62"/>
      <c r="R6" s="64"/>
      <c r="S6" s="62"/>
      <c r="T6" s="65"/>
      <c r="U6" s="62"/>
      <c r="V6" s="62"/>
      <c r="W6" s="64"/>
      <c r="X6" s="62"/>
      <c r="Y6" s="62"/>
      <c r="Z6" s="62"/>
      <c r="AA6" s="66"/>
      <c r="AB6" s="67"/>
      <c r="AC6" s="66">
        <f t="shared" ref="AC6:AC11" si="2">AA6-AB6</f>
        <v>0</v>
      </c>
      <c r="AE6" s="62"/>
      <c r="AF6" s="62"/>
      <c r="AG6" s="64"/>
      <c r="AH6" s="67"/>
      <c r="AI6" s="65"/>
      <c r="AJ6" s="78"/>
      <c r="AK6" s="66"/>
      <c r="AL6" s="67"/>
      <c r="AM6" s="66">
        <f t="shared" si="0"/>
        <v>0</v>
      </c>
    </row>
    <row r="7" spans="1:40" s="76" customFormat="1" ht="100.05" customHeight="1" x14ac:dyDescent="0.3">
      <c r="A7" s="97">
        <v>250081</v>
      </c>
      <c r="B7" s="62">
        <v>304</v>
      </c>
      <c r="C7" s="64">
        <v>0.6</v>
      </c>
      <c r="D7" s="62">
        <v>550</v>
      </c>
      <c r="E7" s="91" t="s">
        <v>308</v>
      </c>
      <c r="F7" s="62" t="s">
        <v>181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400</v>
      </c>
      <c r="M7" s="67"/>
      <c r="N7" s="66">
        <f t="shared" si="1"/>
        <v>400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/>
      <c r="AF7" s="62"/>
      <c r="AG7" s="64"/>
      <c r="AH7" s="67"/>
      <c r="AI7" s="65"/>
      <c r="AJ7" s="78"/>
      <c r="AK7" s="66"/>
      <c r="AL7" s="67"/>
      <c r="AM7" s="66">
        <f t="shared" si="0"/>
        <v>0</v>
      </c>
    </row>
    <row r="8" spans="1:40" s="76" customFormat="1" ht="100.05" customHeight="1" x14ac:dyDescent="0.3">
      <c r="A8" s="97">
        <v>250084</v>
      </c>
      <c r="B8" s="62">
        <v>304</v>
      </c>
      <c r="C8" s="64">
        <v>0.7</v>
      </c>
      <c r="D8" s="62">
        <v>577</v>
      </c>
      <c r="E8" s="91" t="s">
        <v>312</v>
      </c>
      <c r="F8" s="62" t="s">
        <v>181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715</v>
      </c>
      <c r="M8" s="67"/>
      <c r="N8" s="66">
        <f>L8-M8</f>
        <v>715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40" s="76" customFormat="1" ht="100.05" customHeight="1" x14ac:dyDescent="0.3">
      <c r="A9" s="97">
        <v>250084</v>
      </c>
      <c r="B9" s="62">
        <v>304</v>
      </c>
      <c r="C9" s="64">
        <v>1</v>
      </c>
      <c r="D9" s="62">
        <v>577</v>
      </c>
      <c r="E9" s="91" t="s">
        <v>313</v>
      </c>
      <c r="F9" s="62" t="s">
        <v>181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86</v>
      </c>
      <c r="L9" s="66">
        <v>15</v>
      </c>
      <c r="M9" s="67"/>
      <c r="N9" s="66">
        <f t="shared" ref="N9:N11" si="3">L9-M9</f>
        <v>15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97">
        <v>250049</v>
      </c>
      <c r="B10" s="62">
        <v>304</v>
      </c>
      <c r="C10" s="64">
        <v>0.9</v>
      </c>
      <c r="D10" s="62" t="s">
        <v>24</v>
      </c>
      <c r="E10" s="86" t="s">
        <v>281</v>
      </c>
      <c r="F10" s="87" t="s">
        <v>121</v>
      </c>
      <c r="G10" s="87">
        <v>430</v>
      </c>
      <c r="H10" s="103">
        <v>0.6</v>
      </c>
      <c r="I10" s="87" t="s">
        <v>24</v>
      </c>
      <c r="J10" s="87" t="s">
        <v>24</v>
      </c>
      <c r="K10" s="87" t="s">
        <v>223</v>
      </c>
      <c r="L10" s="90">
        <v>450</v>
      </c>
      <c r="M10" s="67">
        <v>468</v>
      </c>
      <c r="N10" s="66">
        <f t="shared" si="3"/>
        <v>-18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97"/>
      <c r="B11" s="62"/>
      <c r="C11" s="64"/>
      <c r="D11" s="62"/>
      <c r="E11" s="65"/>
      <c r="F11" s="62"/>
      <c r="G11" s="62"/>
      <c r="H11" s="64"/>
      <c r="I11" s="62"/>
      <c r="J11" s="62"/>
      <c r="K11" s="62"/>
      <c r="L11" s="62"/>
      <c r="M11" s="67"/>
      <c r="N11" s="66">
        <f t="shared" si="3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2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68"/>
      <c r="B12" s="68"/>
      <c r="C12" s="69"/>
      <c r="D12" s="68"/>
      <c r="E12" s="70"/>
      <c r="F12" s="68"/>
      <c r="G12" s="68"/>
      <c r="H12" s="69"/>
      <c r="I12" s="68"/>
      <c r="J12" s="68"/>
      <c r="K12" s="68"/>
      <c r="L12" s="66">
        <f>SUM(L4:L11)</f>
        <v>4880</v>
      </c>
      <c r="M12" s="71">
        <f>SUM(M4:M11)</f>
        <v>1153</v>
      </c>
      <c r="N12" s="66">
        <f>SUM(N4:N11)</f>
        <v>3727</v>
      </c>
      <c r="P12" s="68"/>
      <c r="Q12" s="68"/>
      <c r="R12" s="69"/>
      <c r="S12" s="68"/>
      <c r="T12" s="70"/>
      <c r="U12" s="68"/>
      <c r="V12" s="68"/>
      <c r="W12" s="69"/>
      <c r="X12" s="68"/>
      <c r="Y12" s="68"/>
      <c r="Z12" s="68"/>
      <c r="AA12" s="66">
        <f>AA4+AA6+AA7+AA8+AA11</f>
        <v>0</v>
      </c>
      <c r="AB12" s="71">
        <f>SUM(AB4:AB11)</f>
        <v>0</v>
      </c>
      <c r="AC12" s="66">
        <f>SUM(AC4:AC11)</f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5" customFormat="1" ht="100.05" customHeight="1" x14ac:dyDescent="0.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6"/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  <c r="AN13" s="76"/>
    </row>
    <row r="14" spans="1:40" s="75" customFormat="1" ht="100.05" customHeight="1" x14ac:dyDescent="0.3">
      <c r="A14" s="109" t="s">
        <v>101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  <c r="P14" s="109" t="s">
        <v>99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1"/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5" customFormat="1" ht="145.80000000000001" x14ac:dyDescent="0.3">
      <c r="A15" s="81" t="s">
        <v>0</v>
      </c>
      <c r="B15" s="81" t="s">
        <v>9</v>
      </c>
      <c r="C15" s="82" t="s">
        <v>11</v>
      </c>
      <c r="D15" s="81" t="s">
        <v>2</v>
      </c>
      <c r="E15" s="81" t="s">
        <v>1</v>
      </c>
      <c r="F15" s="81" t="s">
        <v>14</v>
      </c>
      <c r="G15" s="81" t="s">
        <v>8</v>
      </c>
      <c r="H15" s="82" t="s">
        <v>10</v>
      </c>
      <c r="I15" s="82" t="s">
        <v>12</v>
      </c>
      <c r="J15" s="82" t="s">
        <v>13</v>
      </c>
      <c r="K15" s="81" t="s">
        <v>3</v>
      </c>
      <c r="L15" s="81" t="s">
        <v>7</v>
      </c>
      <c r="M15" s="81" t="s">
        <v>5</v>
      </c>
      <c r="N15" s="81" t="s">
        <v>6</v>
      </c>
      <c r="P15" s="81" t="s">
        <v>0</v>
      </c>
      <c r="Q15" s="81" t="s">
        <v>9</v>
      </c>
      <c r="R15" s="82" t="s">
        <v>11</v>
      </c>
      <c r="S15" s="81" t="s">
        <v>2</v>
      </c>
      <c r="T15" s="81" t="s">
        <v>1</v>
      </c>
      <c r="U15" s="81" t="s">
        <v>14</v>
      </c>
      <c r="V15" s="81" t="s">
        <v>8</v>
      </c>
      <c r="W15" s="82" t="s">
        <v>10</v>
      </c>
      <c r="X15" s="82" t="s">
        <v>12</v>
      </c>
      <c r="Y15" s="82" t="s">
        <v>13</v>
      </c>
      <c r="Z15" s="81" t="s">
        <v>3</v>
      </c>
      <c r="AA15" s="81" t="s">
        <v>7</v>
      </c>
      <c r="AB15" s="81" t="s">
        <v>5</v>
      </c>
      <c r="AC15" s="81" t="s">
        <v>6</v>
      </c>
      <c r="AD15" s="76"/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  <c r="AN15" s="76"/>
    </row>
    <row r="16" spans="1:40" s="76" customFormat="1" ht="100.05" customHeight="1" x14ac:dyDescent="0.3">
      <c r="A16" s="97">
        <v>21025</v>
      </c>
      <c r="B16" s="97">
        <v>304</v>
      </c>
      <c r="C16" s="64">
        <v>0.6</v>
      </c>
      <c r="D16" s="62">
        <v>234</v>
      </c>
      <c r="E16" s="91" t="s">
        <v>249</v>
      </c>
      <c r="F16" s="62" t="s">
        <v>121</v>
      </c>
      <c r="G16" s="62">
        <v>430</v>
      </c>
      <c r="H16" s="64">
        <v>0.6</v>
      </c>
      <c r="I16" s="62" t="s">
        <v>24</v>
      </c>
      <c r="J16" s="62" t="s">
        <v>24</v>
      </c>
      <c r="K16" s="62" t="s">
        <v>86</v>
      </c>
      <c r="L16" s="66">
        <v>1000</v>
      </c>
      <c r="M16" s="67"/>
      <c r="N16" s="66">
        <f t="shared" ref="N16" si="4">L16-M16</f>
        <v>1000</v>
      </c>
      <c r="P16" s="62">
        <v>250079</v>
      </c>
      <c r="Q16" s="62">
        <v>304</v>
      </c>
      <c r="R16" s="64">
        <v>0.7</v>
      </c>
      <c r="S16" s="62">
        <v>324</v>
      </c>
      <c r="T16" s="65" t="s">
        <v>261</v>
      </c>
      <c r="U16" s="62" t="s">
        <v>23</v>
      </c>
      <c r="V16" s="62">
        <v>304</v>
      </c>
      <c r="W16" s="64">
        <v>0.6</v>
      </c>
      <c r="X16" s="62" t="s">
        <v>24</v>
      </c>
      <c r="Y16" s="62" t="s">
        <v>24</v>
      </c>
      <c r="Z16" s="62" t="s">
        <v>74</v>
      </c>
      <c r="AA16" s="66">
        <v>964</v>
      </c>
      <c r="AB16" s="67">
        <f>250+850</f>
        <v>1100</v>
      </c>
      <c r="AC16" s="66">
        <f t="shared" ref="AC16:AC29" si="5">AA16-AB16</f>
        <v>-136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97">
        <v>250080</v>
      </c>
      <c r="B17" s="97">
        <v>304</v>
      </c>
      <c r="C17" s="64">
        <v>0.6</v>
      </c>
      <c r="D17" s="62">
        <v>435</v>
      </c>
      <c r="E17" s="86" t="s">
        <v>287</v>
      </c>
      <c r="F17" s="62" t="s">
        <v>181</v>
      </c>
      <c r="G17" s="62">
        <v>430</v>
      </c>
      <c r="H17" s="64">
        <v>0.6</v>
      </c>
      <c r="I17" s="62" t="s">
        <v>24</v>
      </c>
      <c r="J17" s="62" t="s">
        <v>24</v>
      </c>
      <c r="K17" s="62" t="s">
        <v>79</v>
      </c>
      <c r="L17" s="66">
        <v>300</v>
      </c>
      <c r="M17" s="67">
        <v>300</v>
      </c>
      <c r="N17" s="66">
        <f>L17-M17</f>
        <v>0</v>
      </c>
      <c r="P17" s="62">
        <v>250079</v>
      </c>
      <c r="Q17" s="62">
        <v>304</v>
      </c>
      <c r="R17" s="64">
        <v>0.7</v>
      </c>
      <c r="S17" s="62">
        <v>324</v>
      </c>
      <c r="T17" s="93" t="s">
        <v>262</v>
      </c>
      <c r="U17" s="62" t="s">
        <v>23</v>
      </c>
      <c r="V17" s="62">
        <v>304</v>
      </c>
      <c r="W17" s="64">
        <v>0.6</v>
      </c>
      <c r="X17" s="62" t="s">
        <v>24</v>
      </c>
      <c r="Y17" s="62" t="s">
        <v>24</v>
      </c>
      <c r="Z17" s="62" t="s">
        <v>74</v>
      </c>
      <c r="AA17" s="66">
        <v>36</v>
      </c>
      <c r="AB17" s="67">
        <v>50</v>
      </c>
      <c r="AC17" s="66">
        <f t="shared" si="5"/>
        <v>-14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5"/>
    </row>
    <row r="18" spans="1:40" s="76" customFormat="1" ht="100.05" customHeight="1" x14ac:dyDescent="0.3">
      <c r="A18" s="97">
        <v>151025</v>
      </c>
      <c r="B18" s="97">
        <v>304</v>
      </c>
      <c r="C18" s="64">
        <v>0.7</v>
      </c>
      <c r="D18" s="62">
        <v>319</v>
      </c>
      <c r="E18" s="91" t="s">
        <v>299</v>
      </c>
      <c r="F18" s="62" t="s">
        <v>121</v>
      </c>
      <c r="G18" s="62">
        <v>430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1000</v>
      </c>
      <c r="M18" s="67">
        <f>470+600</f>
        <v>1070</v>
      </c>
      <c r="N18" s="90">
        <f t="shared" ref="N18:N29" si="6">L18-M18</f>
        <v>-70</v>
      </c>
      <c r="P18" s="62">
        <v>250079</v>
      </c>
      <c r="Q18" s="62">
        <v>304</v>
      </c>
      <c r="R18" s="64">
        <v>0.7</v>
      </c>
      <c r="S18" s="62">
        <v>265</v>
      </c>
      <c r="T18" s="93" t="s">
        <v>265</v>
      </c>
      <c r="U18" s="62" t="s">
        <v>23</v>
      </c>
      <c r="V18" s="62">
        <v>304</v>
      </c>
      <c r="W18" s="64">
        <v>0.6</v>
      </c>
      <c r="X18" s="62" t="s">
        <v>24</v>
      </c>
      <c r="Y18" s="62" t="s">
        <v>24</v>
      </c>
      <c r="Z18" s="62" t="s">
        <v>74</v>
      </c>
      <c r="AA18" s="66">
        <v>1314</v>
      </c>
      <c r="AB18" s="67">
        <v>1314</v>
      </c>
      <c r="AC18" s="66">
        <f t="shared" si="5"/>
        <v>0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97">
        <v>151025</v>
      </c>
      <c r="B19" s="97">
        <v>304</v>
      </c>
      <c r="C19" s="64">
        <v>0.7</v>
      </c>
      <c r="D19" s="62">
        <v>388</v>
      </c>
      <c r="E19" s="91" t="s">
        <v>302</v>
      </c>
      <c r="F19" s="62" t="s">
        <v>121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1000</v>
      </c>
      <c r="M19" s="67"/>
      <c r="N19" s="66">
        <f t="shared" si="6"/>
        <v>1000</v>
      </c>
      <c r="P19" s="62">
        <v>250079</v>
      </c>
      <c r="Q19" s="62">
        <v>304</v>
      </c>
      <c r="R19" s="64">
        <v>0.7</v>
      </c>
      <c r="S19" s="62">
        <v>265</v>
      </c>
      <c r="T19" s="93" t="s">
        <v>266</v>
      </c>
      <c r="U19" s="62" t="s">
        <v>23</v>
      </c>
      <c r="V19" s="62">
        <v>304</v>
      </c>
      <c r="W19" s="64">
        <v>0.6</v>
      </c>
      <c r="X19" s="62" t="s">
        <v>24</v>
      </c>
      <c r="Y19" s="62" t="s">
        <v>24</v>
      </c>
      <c r="Z19" s="62" t="s">
        <v>74</v>
      </c>
      <c r="AA19" s="66">
        <v>36</v>
      </c>
      <c r="AB19" s="67"/>
      <c r="AC19" s="66">
        <f t="shared" si="5"/>
        <v>36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99.6" customHeight="1" x14ac:dyDescent="0.3">
      <c r="A20" s="97">
        <v>250081</v>
      </c>
      <c r="B20" s="97">
        <v>304</v>
      </c>
      <c r="C20" s="64">
        <v>0.6</v>
      </c>
      <c r="D20" s="62">
        <v>467</v>
      </c>
      <c r="E20" s="91" t="s">
        <v>310</v>
      </c>
      <c r="F20" s="62" t="s">
        <v>181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500</v>
      </c>
      <c r="M20" s="67"/>
      <c r="N20" s="66">
        <f t="shared" si="6"/>
        <v>500</v>
      </c>
      <c r="P20" s="62">
        <v>250080</v>
      </c>
      <c r="Q20" s="62">
        <v>304</v>
      </c>
      <c r="R20" s="64">
        <v>0.7</v>
      </c>
      <c r="S20" s="62">
        <v>265</v>
      </c>
      <c r="T20" s="93" t="s">
        <v>271</v>
      </c>
      <c r="U20" s="62" t="s">
        <v>23</v>
      </c>
      <c r="V20" s="62">
        <v>430</v>
      </c>
      <c r="W20" s="64">
        <v>0.6</v>
      </c>
      <c r="X20" s="62" t="s">
        <v>24</v>
      </c>
      <c r="Y20" s="62" t="s">
        <v>24</v>
      </c>
      <c r="Z20" s="62" t="s">
        <v>74</v>
      </c>
      <c r="AA20" s="66">
        <v>1200</v>
      </c>
      <c r="AB20" s="67">
        <v>686</v>
      </c>
      <c r="AC20" s="66">
        <f t="shared" si="5"/>
        <v>514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 t="s">
        <v>300</v>
      </c>
      <c r="B21" s="97">
        <v>304</v>
      </c>
      <c r="C21" s="64">
        <v>0.7</v>
      </c>
      <c r="D21" s="62">
        <v>289</v>
      </c>
      <c r="E21" s="91" t="s">
        <v>303</v>
      </c>
      <c r="F21" s="62" t="s">
        <v>121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1000</v>
      </c>
      <c r="M21" s="67"/>
      <c r="N21" s="66">
        <f t="shared" si="6"/>
        <v>1000</v>
      </c>
      <c r="P21" s="62"/>
      <c r="Q21" s="62"/>
      <c r="R21" s="64"/>
      <c r="S21" s="62"/>
      <c r="T21" s="93"/>
      <c r="U21" s="62"/>
      <c r="V21" s="62"/>
      <c r="W21" s="64"/>
      <c r="X21" s="62"/>
      <c r="Y21" s="62"/>
      <c r="Z21" s="62"/>
      <c r="AA21" s="66"/>
      <c r="AB21" s="67"/>
      <c r="AC21" s="66">
        <f t="shared" si="5"/>
        <v>0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 t="s">
        <v>300</v>
      </c>
      <c r="B22" s="97">
        <v>304</v>
      </c>
      <c r="C22" s="64">
        <v>0.7</v>
      </c>
      <c r="D22" s="62">
        <v>265</v>
      </c>
      <c r="E22" s="91" t="s">
        <v>304</v>
      </c>
      <c r="F22" s="62" t="s">
        <v>121</v>
      </c>
      <c r="G22" s="62">
        <v>430</v>
      </c>
      <c r="H22" s="64">
        <v>0.6</v>
      </c>
      <c r="I22" s="62" t="s">
        <v>24</v>
      </c>
      <c r="J22" s="62" t="s">
        <v>24</v>
      </c>
      <c r="K22" s="62" t="s">
        <v>86</v>
      </c>
      <c r="L22" s="66">
        <v>1000</v>
      </c>
      <c r="M22" s="67"/>
      <c r="N22" s="66">
        <f t="shared" si="6"/>
        <v>1000</v>
      </c>
      <c r="P22" s="62"/>
      <c r="Q22" s="62"/>
      <c r="R22" s="64"/>
      <c r="S22" s="62"/>
      <c r="T22" s="93"/>
      <c r="U22" s="62"/>
      <c r="V22" s="62"/>
      <c r="W22" s="64"/>
      <c r="X22" s="62"/>
      <c r="Y22" s="62"/>
      <c r="Z22" s="62"/>
      <c r="AA22" s="66"/>
      <c r="AB22" s="67"/>
      <c r="AC22" s="66">
        <f t="shared" si="5"/>
        <v>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>
        <v>250084</v>
      </c>
      <c r="B23" s="97">
        <v>304</v>
      </c>
      <c r="C23" s="64">
        <v>0.7</v>
      </c>
      <c r="D23" s="62">
        <v>375</v>
      </c>
      <c r="E23" s="91" t="s">
        <v>315</v>
      </c>
      <c r="F23" s="62" t="s">
        <v>23</v>
      </c>
      <c r="G23" s="62">
        <v>304</v>
      </c>
      <c r="H23" s="64">
        <v>0.6</v>
      </c>
      <c r="I23" s="62" t="s">
        <v>24</v>
      </c>
      <c r="J23" s="62" t="s">
        <v>24</v>
      </c>
      <c r="K23" s="62" t="s">
        <v>86</v>
      </c>
      <c r="L23" s="66">
        <v>715</v>
      </c>
      <c r="M23" s="67">
        <v>715</v>
      </c>
      <c r="N23" s="66">
        <f t="shared" si="6"/>
        <v>0</v>
      </c>
      <c r="P23" s="62"/>
      <c r="Q23" s="62"/>
      <c r="R23" s="64"/>
      <c r="S23" s="62"/>
      <c r="T23" s="93"/>
      <c r="U23" s="62"/>
      <c r="V23" s="62"/>
      <c r="W23" s="64"/>
      <c r="X23" s="62"/>
      <c r="Y23" s="62"/>
      <c r="Z23" s="62"/>
      <c r="AA23" s="66"/>
      <c r="AB23" s="67"/>
      <c r="AC23" s="66">
        <f t="shared" si="5"/>
        <v>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>
        <v>250084</v>
      </c>
      <c r="B24" s="97">
        <v>304</v>
      </c>
      <c r="C24" s="64">
        <v>1</v>
      </c>
      <c r="D24" s="62">
        <v>375</v>
      </c>
      <c r="E24" s="91" t="s">
        <v>316</v>
      </c>
      <c r="F24" s="62" t="s">
        <v>23</v>
      </c>
      <c r="G24" s="62">
        <v>304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15</v>
      </c>
      <c r="M24" s="67">
        <v>15</v>
      </c>
      <c r="N24" s="66">
        <f t="shared" si="6"/>
        <v>0</v>
      </c>
      <c r="P24" s="62"/>
      <c r="Q24" s="62"/>
      <c r="R24" s="64"/>
      <c r="S24" s="62"/>
      <c r="T24" s="93"/>
      <c r="U24" s="62"/>
      <c r="V24" s="62"/>
      <c r="W24" s="64"/>
      <c r="X24" s="62"/>
      <c r="Y24" s="62"/>
      <c r="Z24" s="62"/>
      <c r="AA24" s="66"/>
      <c r="AB24" s="67"/>
      <c r="AC24" s="66">
        <f t="shared" si="5"/>
        <v>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7">
        <v>250084</v>
      </c>
      <c r="B25" s="97">
        <v>304</v>
      </c>
      <c r="C25" s="64">
        <v>0.7</v>
      </c>
      <c r="D25" s="62">
        <v>350</v>
      </c>
      <c r="E25" s="91" t="s">
        <v>317</v>
      </c>
      <c r="F25" s="62" t="s">
        <v>23</v>
      </c>
      <c r="G25" s="62">
        <v>304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715</v>
      </c>
      <c r="M25" s="67">
        <v>730</v>
      </c>
      <c r="N25" s="66">
        <f t="shared" si="6"/>
        <v>-15</v>
      </c>
      <c r="P25" s="62"/>
      <c r="Q25" s="62"/>
      <c r="R25" s="64"/>
      <c r="S25" s="62"/>
      <c r="T25" s="93"/>
      <c r="U25" s="62"/>
      <c r="V25" s="62"/>
      <c r="W25" s="64"/>
      <c r="X25" s="62"/>
      <c r="Y25" s="62"/>
      <c r="Z25" s="62"/>
      <c r="AA25" s="66"/>
      <c r="AB25" s="67"/>
      <c r="AC25" s="66">
        <f t="shared" si="5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7">
        <v>250084</v>
      </c>
      <c r="B26" s="97">
        <v>304</v>
      </c>
      <c r="C26" s="64">
        <v>1</v>
      </c>
      <c r="D26" s="62">
        <v>350</v>
      </c>
      <c r="E26" s="91" t="s">
        <v>318</v>
      </c>
      <c r="F26" s="62" t="s">
        <v>23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15</v>
      </c>
      <c r="M26" s="67">
        <v>20</v>
      </c>
      <c r="N26" s="66">
        <f t="shared" si="6"/>
        <v>-5</v>
      </c>
      <c r="P26" s="62"/>
      <c r="Q26" s="62"/>
      <c r="R26" s="64"/>
      <c r="S26" s="62"/>
      <c r="T26" s="93"/>
      <c r="U26" s="62"/>
      <c r="V26" s="62"/>
      <c r="W26" s="64"/>
      <c r="X26" s="62"/>
      <c r="Y26" s="62"/>
      <c r="Z26" s="62"/>
      <c r="AA26" s="66"/>
      <c r="AB26" s="67"/>
      <c r="AC26" s="66">
        <f t="shared" si="5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7">
        <v>250084</v>
      </c>
      <c r="B27" s="97">
        <v>304</v>
      </c>
      <c r="C27" s="64">
        <v>0.7</v>
      </c>
      <c r="D27" s="62">
        <v>315</v>
      </c>
      <c r="E27" s="91" t="s">
        <v>319</v>
      </c>
      <c r="F27" s="62" t="s">
        <v>23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715</v>
      </c>
      <c r="M27" s="67">
        <f>400</f>
        <v>400</v>
      </c>
      <c r="N27" s="66">
        <f t="shared" si="6"/>
        <v>315</v>
      </c>
      <c r="P27" s="62"/>
      <c r="Q27" s="62"/>
      <c r="R27" s="64"/>
      <c r="S27" s="62"/>
      <c r="T27" s="93"/>
      <c r="U27" s="62"/>
      <c r="V27" s="62"/>
      <c r="W27" s="64"/>
      <c r="X27" s="62"/>
      <c r="Y27" s="62"/>
      <c r="Z27" s="62"/>
      <c r="AA27" s="66"/>
      <c r="AB27" s="67"/>
      <c r="AC27" s="66">
        <f t="shared" si="5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7">
        <v>250084</v>
      </c>
      <c r="B28" s="97">
        <v>304</v>
      </c>
      <c r="C28" s="64">
        <v>1</v>
      </c>
      <c r="D28" s="62">
        <v>315</v>
      </c>
      <c r="E28" s="91" t="s">
        <v>320</v>
      </c>
      <c r="F28" s="62" t="s">
        <v>23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15</v>
      </c>
      <c r="M28" s="67"/>
      <c r="N28" s="66">
        <f t="shared" si="6"/>
        <v>15</v>
      </c>
      <c r="P28" s="62"/>
      <c r="Q28" s="62"/>
      <c r="R28" s="64"/>
      <c r="S28" s="62"/>
      <c r="T28" s="93"/>
      <c r="U28" s="62"/>
      <c r="V28" s="62"/>
      <c r="W28" s="64"/>
      <c r="X28" s="62"/>
      <c r="Y28" s="62"/>
      <c r="Z28" s="62"/>
      <c r="AA28" s="66"/>
      <c r="AB28" s="67"/>
      <c r="AC28" s="66">
        <f t="shared" si="5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7"/>
      <c r="B29" s="97"/>
      <c r="C29" s="64"/>
      <c r="D29" s="62"/>
      <c r="E29" s="91"/>
      <c r="F29" s="62"/>
      <c r="G29" s="62"/>
      <c r="H29" s="64"/>
      <c r="I29" s="62"/>
      <c r="J29" s="62"/>
      <c r="K29" s="62"/>
      <c r="L29" s="66"/>
      <c r="M29" s="67"/>
      <c r="N29" s="66">
        <f t="shared" si="6"/>
        <v>0</v>
      </c>
      <c r="P29" s="62"/>
      <c r="Q29" s="62"/>
      <c r="R29" s="64"/>
      <c r="S29" s="62"/>
      <c r="T29" s="65"/>
      <c r="U29" s="62"/>
      <c r="V29" s="62"/>
      <c r="W29" s="64"/>
      <c r="X29" s="62"/>
      <c r="Y29" s="62"/>
      <c r="Z29" s="62"/>
      <c r="AA29" s="66"/>
      <c r="AB29" s="67"/>
      <c r="AC29" s="66">
        <f t="shared" si="5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8"/>
      <c r="B30" s="98"/>
      <c r="C30" s="69"/>
      <c r="D30" s="68"/>
      <c r="E30" s="70"/>
      <c r="F30" s="68"/>
      <c r="G30" s="68"/>
      <c r="H30" s="69"/>
      <c r="I30" s="68"/>
      <c r="J30" s="68"/>
      <c r="K30" s="68"/>
      <c r="L30" s="66">
        <f>SUM(L16:L29)</f>
        <v>7990</v>
      </c>
      <c r="M30" s="71">
        <f>SUM(M16:M29)</f>
        <v>3250</v>
      </c>
      <c r="N30" s="66">
        <f>SUM(N16:N29)</f>
        <v>4740</v>
      </c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66">
        <f>SUM(AA16:AA29)</f>
        <v>3550</v>
      </c>
      <c r="AB30" s="71">
        <f>SUM(AB16:AB29)</f>
        <v>3150</v>
      </c>
      <c r="AC30" s="66">
        <f>SUM(AC16:AC29)</f>
        <v>400</v>
      </c>
      <c r="AD30" s="75"/>
      <c r="AE30" s="68"/>
      <c r="AF30" s="68"/>
      <c r="AG30" s="69"/>
      <c r="AH30" s="68"/>
      <c r="AI30" s="70"/>
      <c r="AJ30" s="80"/>
      <c r="AK30" s="66">
        <f>SUM(AK4:AK29)</f>
        <v>0</v>
      </c>
      <c r="AL30" s="71">
        <f>SUM(AL4:AL29)</f>
        <v>0</v>
      </c>
      <c r="AM30" s="66">
        <f>SUM(AM4:AM29)</f>
        <v>0</v>
      </c>
      <c r="AN30" s="75"/>
    </row>
    <row r="31" spans="1:40" s="75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E31" s="79"/>
      <c r="AF31" s="79"/>
      <c r="AG31" s="79"/>
      <c r="AH31" s="79"/>
      <c r="AI31" s="79"/>
      <c r="AJ31" s="79"/>
      <c r="AK31" s="79"/>
      <c r="AL31" s="79"/>
      <c r="AM31" s="79"/>
    </row>
    <row r="32" spans="1:40" s="75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E32" s="79"/>
      <c r="AF32" s="79"/>
      <c r="AG32" s="79"/>
      <c r="AH32" s="79"/>
      <c r="AI32" s="79"/>
      <c r="AJ32" s="79"/>
      <c r="AK32" s="79"/>
      <c r="AL32" s="79"/>
      <c r="AM32" s="79"/>
    </row>
    <row r="33" spans="1:40" s="75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E33" s="79"/>
      <c r="AF33" s="79"/>
      <c r="AG33" s="79"/>
      <c r="AH33" s="79"/>
      <c r="AI33" s="79"/>
      <c r="AJ33" s="79"/>
      <c r="AK33" s="79"/>
      <c r="AL33" s="79"/>
      <c r="AM33" s="79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6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5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5"/>
      <c r="AE40" s="79"/>
      <c r="AF40" s="79"/>
      <c r="AG40" s="79"/>
      <c r="AH40" s="79"/>
      <c r="AI40" s="79"/>
      <c r="AJ40" s="79"/>
      <c r="AK40" s="79"/>
      <c r="AL40" s="79"/>
      <c r="AM40" s="79"/>
      <c r="AN40" s="75"/>
    </row>
    <row r="41" spans="1:40" s="76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5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5"/>
      <c r="AE41" s="79"/>
      <c r="AF41" s="79"/>
      <c r="AG41" s="79"/>
      <c r="AH41" s="79"/>
      <c r="AI41" s="79"/>
      <c r="AJ41" s="79"/>
      <c r="AK41" s="79"/>
      <c r="AL41" s="79"/>
      <c r="AM41" s="79"/>
      <c r="AN41" s="75"/>
    </row>
    <row r="42" spans="1:40" s="76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O42" s="75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5"/>
      <c r="AE42" s="79"/>
      <c r="AF42" s="79"/>
      <c r="AG42" s="79"/>
      <c r="AH42" s="79"/>
      <c r="AI42" s="79"/>
      <c r="AJ42" s="79"/>
      <c r="AK42" s="79"/>
      <c r="AL42" s="79"/>
      <c r="AM42" s="79"/>
      <c r="AN42" s="75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5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E44" s="79"/>
      <c r="AF44" s="79"/>
      <c r="AG44" s="79"/>
      <c r="AH44" s="79"/>
      <c r="AI44" s="79"/>
      <c r="AJ44" s="79"/>
      <c r="AK44" s="79"/>
      <c r="AL44" s="79"/>
      <c r="AM44" s="79"/>
    </row>
    <row r="45" spans="1:40" s="75" customFormat="1" ht="100.05" customHeight="1" x14ac:dyDescent="0.3">
      <c r="A45" s="79"/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E45" s="79"/>
      <c r="AF45" s="79"/>
      <c r="AG45" s="79"/>
      <c r="AH45" s="79"/>
      <c r="AI45" s="79"/>
      <c r="AJ45" s="79"/>
      <c r="AK45" s="79"/>
      <c r="AL45" s="79"/>
      <c r="AM45" s="79"/>
    </row>
    <row r="46" spans="1:40" s="75" customFormat="1" ht="100.05" customHeight="1" x14ac:dyDescent="0.3">
      <c r="A46" s="79"/>
      <c r="B46" s="79"/>
      <c r="C46" s="79"/>
      <c r="D46" s="79"/>
      <c r="E46" s="79"/>
      <c r="F46" s="79"/>
      <c r="G46" s="79"/>
      <c r="H46" s="79"/>
      <c r="I46" s="79"/>
      <c r="J46" s="79"/>
      <c r="K46" s="79"/>
      <c r="L46" s="79"/>
      <c r="M46" s="79"/>
      <c r="N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E46" s="79"/>
      <c r="AF46" s="79"/>
      <c r="AG46" s="79"/>
      <c r="AH46" s="79"/>
      <c r="AI46" s="79"/>
      <c r="AJ46" s="79"/>
      <c r="AK46" s="79"/>
      <c r="AL46" s="79"/>
      <c r="AM46" s="79"/>
    </row>
    <row r="47" spans="1:40" s="76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5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5"/>
      <c r="AE47" s="79"/>
      <c r="AF47" s="79"/>
      <c r="AG47" s="79"/>
      <c r="AH47" s="79"/>
      <c r="AI47" s="79"/>
      <c r="AJ47" s="79"/>
      <c r="AK47" s="79"/>
      <c r="AL47" s="79"/>
      <c r="AM47" s="79"/>
      <c r="AN47" s="75"/>
    </row>
    <row r="48" spans="1:40" s="76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5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5"/>
      <c r="AE48" s="79"/>
      <c r="AF48" s="79"/>
      <c r="AG48" s="79"/>
      <c r="AH48" s="79"/>
      <c r="AI48" s="79"/>
      <c r="AJ48" s="79"/>
      <c r="AK48" s="79"/>
      <c r="AL48" s="79"/>
      <c r="AM48" s="79"/>
      <c r="AN48" s="75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  <row r="53" spans="1:40" s="56" customFormat="1" ht="100.0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2"/>
      <c r="AF53" s="2"/>
      <c r="AG53" s="2"/>
      <c r="AH53" s="2"/>
      <c r="AI53" s="2"/>
      <c r="AJ53" s="2"/>
      <c r="AK53" s="2"/>
      <c r="AL53" s="2"/>
      <c r="AM53" s="2"/>
      <c r="AN53" s="3"/>
    </row>
    <row r="54" spans="1:40" s="56" customFormat="1" ht="100.0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3"/>
      <c r="AE54" s="2"/>
      <c r="AF54" s="2"/>
      <c r="AG54" s="2"/>
      <c r="AH54" s="2"/>
      <c r="AI54" s="2"/>
      <c r="AJ54" s="2"/>
      <c r="AK54" s="2"/>
      <c r="AL54" s="2"/>
      <c r="AM54" s="2"/>
      <c r="AN54" s="3"/>
    </row>
    <row r="55" spans="1:40" s="56" customFormat="1" ht="100.0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3"/>
      <c r="AE55" s="2"/>
      <c r="AF55" s="2"/>
      <c r="AG55" s="2"/>
      <c r="AH55" s="2"/>
      <c r="AI55" s="2"/>
      <c r="AJ55" s="2"/>
      <c r="AK55" s="2"/>
      <c r="AL55" s="2"/>
      <c r="AM55" s="2"/>
      <c r="AN55" s="3"/>
    </row>
    <row r="56" spans="1:40" s="56" customFormat="1" ht="100.0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3"/>
      <c r="AE56" s="2"/>
      <c r="AF56" s="2"/>
      <c r="AG56" s="2"/>
      <c r="AH56" s="2"/>
      <c r="AI56" s="2"/>
      <c r="AJ56" s="2"/>
      <c r="AK56" s="2"/>
      <c r="AL56" s="2"/>
      <c r="AM56" s="2"/>
      <c r="AN56" s="3"/>
    </row>
  </sheetData>
  <mergeCells count="11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14:N14"/>
    <mergeCell ref="P14:AC1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1" orientation="landscape" horizontalDpi="1200" verticalDpi="120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2"/>
  <sheetViews>
    <sheetView topLeftCell="J10" zoomScale="25" zoomScaleNormal="25" workbookViewId="0">
      <selection activeCell="AB19" sqref="AB19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45962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45962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 t="s">
        <v>267</v>
      </c>
      <c r="B4" s="62">
        <v>430</v>
      </c>
      <c r="C4" s="64">
        <v>0.5</v>
      </c>
      <c r="D4" s="62">
        <v>290</v>
      </c>
      <c r="E4" s="91" t="s">
        <v>269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1300</v>
      </c>
      <c r="M4" s="67"/>
      <c r="N4" s="66">
        <f>L4-M4</f>
        <v>1300</v>
      </c>
      <c r="P4" s="62"/>
      <c r="Q4" s="62"/>
      <c r="R4" s="64"/>
      <c r="S4" s="62"/>
      <c r="T4" s="128" t="s">
        <v>327</v>
      </c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>
        <v>311025</v>
      </c>
      <c r="AF4" s="62">
        <v>304</v>
      </c>
      <c r="AG4" s="64"/>
      <c r="AH4" s="67"/>
      <c r="AI4" s="65" t="s">
        <v>331</v>
      </c>
      <c r="AJ4" s="78" t="s">
        <v>328</v>
      </c>
      <c r="AK4" s="66">
        <v>3200</v>
      </c>
      <c r="AL4" s="67"/>
      <c r="AM4" s="66">
        <f t="shared" ref="AM4:AM25" si="0">AK4-AL4</f>
        <v>3200</v>
      </c>
    </row>
    <row r="5" spans="1:40" s="76" customFormat="1" ht="100.05" customHeight="1" x14ac:dyDescent="0.3">
      <c r="A5" s="97">
        <v>250082</v>
      </c>
      <c r="B5" s="62">
        <v>430</v>
      </c>
      <c r="C5" s="64">
        <v>0.6</v>
      </c>
      <c r="D5" s="62">
        <v>719</v>
      </c>
      <c r="E5" s="91" t="s">
        <v>306</v>
      </c>
      <c r="F5" s="62" t="s">
        <v>181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79</v>
      </c>
      <c r="L5" s="66">
        <v>1000</v>
      </c>
      <c r="M5" s="67">
        <f>85+600+325</f>
        <v>1010</v>
      </c>
      <c r="N5" s="66">
        <f t="shared" ref="N5:N7" si="1">L5-M5</f>
        <v>-10</v>
      </c>
      <c r="P5" s="62"/>
      <c r="Q5" s="62"/>
      <c r="R5" s="64"/>
      <c r="S5" s="62"/>
      <c r="T5" s="129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241025</v>
      </c>
      <c r="AF5" s="62">
        <v>304</v>
      </c>
      <c r="AG5" s="64"/>
      <c r="AH5" s="62"/>
      <c r="AI5" s="93" t="s">
        <v>329</v>
      </c>
      <c r="AJ5" s="78" t="s">
        <v>328</v>
      </c>
      <c r="AK5" s="66">
        <v>2000</v>
      </c>
      <c r="AL5" s="67"/>
      <c r="AM5" s="66">
        <f t="shared" si="0"/>
        <v>2000</v>
      </c>
    </row>
    <row r="6" spans="1:40" s="76" customFormat="1" ht="100.05" customHeight="1" x14ac:dyDescent="0.3">
      <c r="A6" s="97">
        <v>250082</v>
      </c>
      <c r="B6" s="62">
        <v>430</v>
      </c>
      <c r="C6" s="64">
        <v>0.6</v>
      </c>
      <c r="D6" s="62">
        <v>653</v>
      </c>
      <c r="E6" s="91" t="s">
        <v>307</v>
      </c>
      <c r="F6" s="62" t="s">
        <v>181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79</v>
      </c>
      <c r="L6" s="66">
        <v>1000</v>
      </c>
      <c r="M6" s="67"/>
      <c r="N6" s="66">
        <f t="shared" si="1"/>
        <v>1000</v>
      </c>
      <c r="P6" s="62"/>
      <c r="Q6" s="62"/>
      <c r="R6" s="64"/>
      <c r="S6" s="62"/>
      <c r="T6" s="130"/>
      <c r="U6" s="62"/>
      <c r="V6" s="62"/>
      <c r="W6" s="64"/>
      <c r="X6" s="62"/>
      <c r="Y6" s="62"/>
      <c r="Z6" s="62"/>
      <c r="AA6" s="66"/>
      <c r="AB6" s="67"/>
      <c r="AC6" s="66">
        <f t="shared" ref="AC6:AC11" si="2">AA6-AB6</f>
        <v>0</v>
      </c>
      <c r="AE6" s="62">
        <v>241025</v>
      </c>
      <c r="AF6" s="62">
        <v>304</v>
      </c>
      <c r="AG6" s="64"/>
      <c r="AH6" s="62"/>
      <c r="AI6" s="93" t="s">
        <v>330</v>
      </c>
      <c r="AJ6" s="78" t="s">
        <v>328</v>
      </c>
      <c r="AK6" s="66">
        <v>2000</v>
      </c>
      <c r="AL6" s="67"/>
      <c r="AM6" s="66">
        <f t="shared" si="0"/>
        <v>2000</v>
      </c>
    </row>
    <row r="7" spans="1:40" s="76" customFormat="1" ht="100.05" customHeight="1" x14ac:dyDescent="0.3">
      <c r="A7" s="97">
        <v>250081</v>
      </c>
      <c r="B7" s="62">
        <v>304</v>
      </c>
      <c r="C7" s="64">
        <v>0.6</v>
      </c>
      <c r="D7" s="62">
        <v>550</v>
      </c>
      <c r="E7" s="91" t="s">
        <v>308</v>
      </c>
      <c r="F7" s="62" t="s">
        <v>181</v>
      </c>
      <c r="G7" s="62">
        <v>430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400</v>
      </c>
      <c r="M7" s="67"/>
      <c r="N7" s="66">
        <f t="shared" si="1"/>
        <v>400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311025</v>
      </c>
      <c r="AF7" s="62">
        <v>304</v>
      </c>
      <c r="AG7" s="64"/>
      <c r="AH7" s="67"/>
      <c r="AI7" s="65" t="s">
        <v>332</v>
      </c>
      <c r="AJ7" s="78" t="s">
        <v>328</v>
      </c>
      <c r="AK7" s="66">
        <v>3200</v>
      </c>
      <c r="AL7" s="67"/>
      <c r="AM7" s="66">
        <f t="shared" si="0"/>
        <v>3200</v>
      </c>
    </row>
    <row r="8" spans="1:40" s="76" customFormat="1" ht="100.05" customHeight="1" x14ac:dyDescent="0.3">
      <c r="A8" s="97">
        <v>250084</v>
      </c>
      <c r="B8" s="62">
        <v>304</v>
      </c>
      <c r="C8" s="64">
        <v>0.7</v>
      </c>
      <c r="D8" s="62">
        <v>577</v>
      </c>
      <c r="E8" s="91" t="s">
        <v>312</v>
      </c>
      <c r="F8" s="62" t="s">
        <v>181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715</v>
      </c>
      <c r="M8" s="67"/>
      <c r="N8" s="66">
        <f>L8-M8</f>
        <v>715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40" s="76" customFormat="1" ht="100.05" customHeight="1" x14ac:dyDescent="0.3">
      <c r="A9" s="97">
        <v>250084</v>
      </c>
      <c r="B9" s="62">
        <v>304</v>
      </c>
      <c r="C9" s="64">
        <v>1</v>
      </c>
      <c r="D9" s="62">
        <v>577</v>
      </c>
      <c r="E9" s="91" t="s">
        <v>313</v>
      </c>
      <c r="F9" s="62" t="s">
        <v>181</v>
      </c>
      <c r="G9" s="62">
        <v>304</v>
      </c>
      <c r="H9" s="64">
        <v>0.6</v>
      </c>
      <c r="I9" s="62" t="s">
        <v>24</v>
      </c>
      <c r="J9" s="62" t="s">
        <v>24</v>
      </c>
      <c r="K9" s="62" t="s">
        <v>86</v>
      </c>
      <c r="L9" s="66">
        <v>15</v>
      </c>
      <c r="M9" s="67"/>
      <c r="N9" s="66">
        <f t="shared" ref="N9:N11" si="3">L9-M9</f>
        <v>15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2"/>
      <c r="AI9" s="93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97"/>
      <c r="B10" s="62"/>
      <c r="C10" s="64"/>
      <c r="D10" s="62"/>
      <c r="E10" s="86"/>
      <c r="F10" s="87"/>
      <c r="G10" s="87"/>
      <c r="H10" s="103"/>
      <c r="I10" s="87"/>
      <c r="J10" s="87"/>
      <c r="K10" s="87"/>
      <c r="L10" s="90"/>
      <c r="M10" s="67"/>
      <c r="N10" s="66">
        <f t="shared" si="3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97"/>
      <c r="B11" s="62"/>
      <c r="C11" s="64"/>
      <c r="D11" s="62"/>
      <c r="E11" s="65"/>
      <c r="F11" s="62"/>
      <c r="G11" s="62"/>
      <c r="H11" s="64"/>
      <c r="I11" s="62"/>
      <c r="J11" s="62"/>
      <c r="K11" s="62"/>
      <c r="L11" s="62"/>
      <c r="M11" s="67"/>
      <c r="N11" s="66">
        <f t="shared" si="3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2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68"/>
      <c r="B12" s="68"/>
      <c r="C12" s="69"/>
      <c r="D12" s="68"/>
      <c r="E12" s="70"/>
      <c r="F12" s="68"/>
      <c r="G12" s="68"/>
      <c r="H12" s="69"/>
      <c r="I12" s="68"/>
      <c r="J12" s="68"/>
      <c r="K12" s="68"/>
      <c r="L12" s="66">
        <f>SUM(L4:L11)</f>
        <v>4430</v>
      </c>
      <c r="M12" s="71">
        <f>SUM(M4:M11)</f>
        <v>1010</v>
      </c>
      <c r="N12" s="66">
        <f>SUM(N4:N11)</f>
        <v>3420</v>
      </c>
      <c r="P12" s="68"/>
      <c r="Q12" s="68"/>
      <c r="R12" s="69"/>
      <c r="S12" s="68"/>
      <c r="T12" s="70"/>
      <c r="U12" s="68"/>
      <c r="V12" s="68"/>
      <c r="W12" s="69"/>
      <c r="X12" s="68"/>
      <c r="Y12" s="68"/>
      <c r="Z12" s="68"/>
      <c r="AA12" s="66">
        <f>AA4+AA6+AA7+AA8+AA11</f>
        <v>0</v>
      </c>
      <c r="AB12" s="71">
        <f>SUM(AB4:AB11)</f>
        <v>0</v>
      </c>
      <c r="AC12" s="66">
        <f>SUM(AC4:AC11)</f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5" customFormat="1" ht="100.05" customHeight="1" x14ac:dyDescent="0.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6"/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  <c r="AN13" s="76"/>
    </row>
    <row r="14" spans="1:40" s="75" customFormat="1" ht="100.05" customHeight="1" x14ac:dyDescent="0.3">
      <c r="A14" s="109" t="s">
        <v>101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  <c r="P14" s="109" t="s">
        <v>99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1"/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5" customFormat="1" ht="145.80000000000001" x14ac:dyDescent="0.3">
      <c r="A15" s="81" t="s">
        <v>0</v>
      </c>
      <c r="B15" s="81" t="s">
        <v>9</v>
      </c>
      <c r="C15" s="82" t="s">
        <v>11</v>
      </c>
      <c r="D15" s="81" t="s">
        <v>2</v>
      </c>
      <c r="E15" s="81" t="s">
        <v>1</v>
      </c>
      <c r="F15" s="81" t="s">
        <v>14</v>
      </c>
      <c r="G15" s="81" t="s">
        <v>8</v>
      </c>
      <c r="H15" s="82" t="s">
        <v>10</v>
      </c>
      <c r="I15" s="82" t="s">
        <v>12</v>
      </c>
      <c r="J15" s="82" t="s">
        <v>13</v>
      </c>
      <c r="K15" s="81" t="s">
        <v>3</v>
      </c>
      <c r="L15" s="81" t="s">
        <v>7</v>
      </c>
      <c r="M15" s="81" t="s">
        <v>5</v>
      </c>
      <c r="N15" s="81" t="s">
        <v>6</v>
      </c>
      <c r="P15" s="81" t="s">
        <v>0</v>
      </c>
      <c r="Q15" s="81" t="s">
        <v>9</v>
      </c>
      <c r="R15" s="82" t="s">
        <v>11</v>
      </c>
      <c r="S15" s="81" t="s">
        <v>2</v>
      </c>
      <c r="T15" s="81" t="s">
        <v>1</v>
      </c>
      <c r="U15" s="81" t="s">
        <v>14</v>
      </c>
      <c r="V15" s="81" t="s">
        <v>8</v>
      </c>
      <c r="W15" s="82" t="s">
        <v>10</v>
      </c>
      <c r="X15" s="82" t="s">
        <v>12</v>
      </c>
      <c r="Y15" s="82" t="s">
        <v>13</v>
      </c>
      <c r="Z15" s="81" t="s">
        <v>3</v>
      </c>
      <c r="AA15" s="81" t="s">
        <v>7</v>
      </c>
      <c r="AB15" s="81" t="s">
        <v>5</v>
      </c>
      <c r="AC15" s="81" t="s">
        <v>6</v>
      </c>
      <c r="AD15" s="76"/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  <c r="AN15" s="76"/>
    </row>
    <row r="16" spans="1:40" s="76" customFormat="1" ht="100.05" customHeight="1" x14ac:dyDescent="0.3">
      <c r="A16" s="97">
        <v>21025</v>
      </c>
      <c r="B16" s="97">
        <v>304</v>
      </c>
      <c r="C16" s="64">
        <v>0.6</v>
      </c>
      <c r="D16" s="62">
        <v>234</v>
      </c>
      <c r="E16" s="91" t="s">
        <v>249</v>
      </c>
      <c r="F16" s="62" t="s">
        <v>121</v>
      </c>
      <c r="G16" s="62">
        <v>430</v>
      </c>
      <c r="H16" s="64">
        <v>0.6</v>
      </c>
      <c r="I16" s="62" t="s">
        <v>24</v>
      </c>
      <c r="J16" s="62" t="s">
        <v>24</v>
      </c>
      <c r="K16" s="62" t="s">
        <v>86</v>
      </c>
      <c r="L16" s="66">
        <v>1000</v>
      </c>
      <c r="M16" s="67"/>
      <c r="N16" s="66">
        <f t="shared" ref="N16" si="4">L16-M16</f>
        <v>1000</v>
      </c>
      <c r="P16" s="62">
        <v>250079</v>
      </c>
      <c r="Q16" s="62">
        <v>304</v>
      </c>
      <c r="R16" s="64">
        <v>0.7</v>
      </c>
      <c r="S16" s="62">
        <v>265</v>
      </c>
      <c r="T16" s="93" t="s">
        <v>266</v>
      </c>
      <c r="U16" s="62" t="s">
        <v>23</v>
      </c>
      <c r="V16" s="62">
        <v>304</v>
      </c>
      <c r="W16" s="64">
        <v>0.5</v>
      </c>
      <c r="X16" s="62" t="s">
        <v>24</v>
      </c>
      <c r="Y16" s="62" t="s">
        <v>24</v>
      </c>
      <c r="Z16" s="62" t="s">
        <v>74</v>
      </c>
      <c r="AA16" s="66">
        <v>36</v>
      </c>
      <c r="AB16" s="67">
        <v>36</v>
      </c>
      <c r="AC16" s="66">
        <f t="shared" ref="AC16:AC25" si="5">AA16-AB16</f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97">
        <v>250084</v>
      </c>
      <c r="B17" s="97">
        <v>304</v>
      </c>
      <c r="C17" s="64">
        <v>0.7</v>
      </c>
      <c r="D17" s="62">
        <v>315</v>
      </c>
      <c r="E17" s="91" t="s">
        <v>319</v>
      </c>
      <c r="F17" s="62" t="s">
        <v>23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86</v>
      </c>
      <c r="L17" s="66">
        <v>715</v>
      </c>
      <c r="M17" s="67">
        <f>400+265</f>
        <v>665</v>
      </c>
      <c r="N17" s="66">
        <f>L17-M17</f>
        <v>50</v>
      </c>
      <c r="P17" s="62">
        <v>250080</v>
      </c>
      <c r="Q17" s="62">
        <v>304</v>
      </c>
      <c r="R17" s="64">
        <v>0.7</v>
      </c>
      <c r="S17" s="62">
        <v>265</v>
      </c>
      <c r="T17" s="93" t="s">
        <v>271</v>
      </c>
      <c r="U17" s="62" t="s">
        <v>23</v>
      </c>
      <c r="V17" s="62">
        <v>430</v>
      </c>
      <c r="W17" s="64">
        <v>0.5</v>
      </c>
      <c r="X17" s="62" t="s">
        <v>24</v>
      </c>
      <c r="Y17" s="62" t="s">
        <v>24</v>
      </c>
      <c r="Z17" s="62" t="s">
        <v>74</v>
      </c>
      <c r="AA17" s="66">
        <v>1200</v>
      </c>
      <c r="AB17" s="67">
        <f>686+584</f>
        <v>1270</v>
      </c>
      <c r="AC17" s="66">
        <f t="shared" si="5"/>
        <v>-70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5"/>
    </row>
    <row r="18" spans="1:40" s="76" customFormat="1" ht="100.05" customHeight="1" x14ac:dyDescent="0.3">
      <c r="A18" s="97">
        <v>250084</v>
      </c>
      <c r="B18" s="97">
        <v>304</v>
      </c>
      <c r="C18" s="64">
        <v>1</v>
      </c>
      <c r="D18" s="62">
        <v>315</v>
      </c>
      <c r="E18" s="91" t="s">
        <v>320</v>
      </c>
      <c r="F18" s="62" t="s">
        <v>23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15</v>
      </c>
      <c r="M18" s="67"/>
      <c r="N18" s="90">
        <f t="shared" ref="N18:N25" si="6">L18-M18</f>
        <v>15</v>
      </c>
      <c r="P18" s="62">
        <v>241025</v>
      </c>
      <c r="Q18" s="62">
        <v>304</v>
      </c>
      <c r="R18" s="64">
        <v>0.8</v>
      </c>
      <c r="S18" s="62">
        <v>276</v>
      </c>
      <c r="T18" s="93" t="s">
        <v>324</v>
      </c>
      <c r="U18" s="62" t="s">
        <v>42</v>
      </c>
      <c r="V18" s="62">
        <v>430</v>
      </c>
      <c r="W18" s="64">
        <v>0.5</v>
      </c>
      <c r="X18" s="62" t="s">
        <v>24</v>
      </c>
      <c r="Y18" s="62" t="s">
        <v>24</v>
      </c>
      <c r="Z18" s="62" t="s">
        <v>74</v>
      </c>
      <c r="AA18" s="66">
        <v>2000</v>
      </c>
      <c r="AB18" s="67">
        <v>1000</v>
      </c>
      <c r="AC18" s="66">
        <f t="shared" si="5"/>
        <v>1000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97">
        <v>151025</v>
      </c>
      <c r="B19" s="97">
        <v>304</v>
      </c>
      <c r="C19" s="64">
        <v>0.7</v>
      </c>
      <c r="D19" s="62">
        <v>388</v>
      </c>
      <c r="E19" s="91" t="s">
        <v>302</v>
      </c>
      <c r="F19" s="62" t="s">
        <v>121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1000</v>
      </c>
      <c r="M19" s="67"/>
      <c r="N19" s="66">
        <f t="shared" si="6"/>
        <v>1000</v>
      </c>
      <c r="P19" s="62">
        <v>311025</v>
      </c>
      <c r="Q19" s="62">
        <v>304</v>
      </c>
      <c r="R19" s="64">
        <v>0.9</v>
      </c>
      <c r="S19" s="62">
        <v>327</v>
      </c>
      <c r="T19" s="93" t="s">
        <v>325</v>
      </c>
      <c r="U19" s="62" t="s">
        <v>42</v>
      </c>
      <c r="V19" s="62">
        <v>430</v>
      </c>
      <c r="W19" s="64">
        <v>0.5</v>
      </c>
      <c r="X19" s="62" t="s">
        <v>24</v>
      </c>
      <c r="Y19" s="62" t="s">
        <v>24</v>
      </c>
      <c r="Z19" s="62" t="s">
        <v>74</v>
      </c>
      <c r="AA19" s="66">
        <v>3200</v>
      </c>
      <c r="AB19" s="67"/>
      <c r="AC19" s="66">
        <f t="shared" si="5"/>
        <v>3200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99.6" customHeight="1" x14ac:dyDescent="0.3">
      <c r="A20" s="97">
        <v>250081</v>
      </c>
      <c r="B20" s="97">
        <v>304</v>
      </c>
      <c r="C20" s="64">
        <v>0.6</v>
      </c>
      <c r="D20" s="62">
        <v>467</v>
      </c>
      <c r="E20" s="91" t="s">
        <v>310</v>
      </c>
      <c r="F20" s="62" t="s">
        <v>181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500</v>
      </c>
      <c r="M20" s="67"/>
      <c r="N20" s="66">
        <f t="shared" si="6"/>
        <v>500</v>
      </c>
      <c r="P20" s="62">
        <v>311025</v>
      </c>
      <c r="Q20" s="62">
        <v>304</v>
      </c>
      <c r="R20" s="64">
        <v>0.9</v>
      </c>
      <c r="S20" s="62">
        <v>369</v>
      </c>
      <c r="T20" s="93" t="s">
        <v>326</v>
      </c>
      <c r="U20" s="62" t="s">
        <v>42</v>
      </c>
      <c r="V20" s="62">
        <v>430</v>
      </c>
      <c r="W20" s="64">
        <v>0.5</v>
      </c>
      <c r="X20" s="62" t="s">
        <v>24</v>
      </c>
      <c r="Y20" s="62" t="s">
        <v>24</v>
      </c>
      <c r="Z20" s="62" t="s">
        <v>74</v>
      </c>
      <c r="AA20" s="66">
        <v>500</v>
      </c>
      <c r="AB20" s="67"/>
      <c r="AC20" s="66">
        <f t="shared" si="5"/>
        <v>500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 t="s">
        <v>300</v>
      </c>
      <c r="B21" s="97">
        <v>304</v>
      </c>
      <c r="C21" s="64">
        <v>0.7</v>
      </c>
      <c r="D21" s="62">
        <v>289</v>
      </c>
      <c r="E21" s="91" t="s">
        <v>303</v>
      </c>
      <c r="F21" s="62" t="s">
        <v>121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1000</v>
      </c>
      <c r="M21" s="67"/>
      <c r="N21" s="66">
        <f t="shared" si="6"/>
        <v>1000</v>
      </c>
      <c r="P21" s="62"/>
      <c r="Q21" s="62"/>
      <c r="R21" s="64"/>
      <c r="S21" s="62"/>
      <c r="T21" s="93"/>
      <c r="U21" s="62"/>
      <c r="V21" s="62"/>
      <c r="W21" s="64"/>
      <c r="X21" s="62"/>
      <c r="Y21" s="62"/>
      <c r="Z21" s="62"/>
      <c r="AA21" s="66"/>
      <c r="AB21" s="67"/>
      <c r="AC21" s="66">
        <f t="shared" si="5"/>
        <v>0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 t="s">
        <v>300</v>
      </c>
      <c r="B22" s="97">
        <v>304</v>
      </c>
      <c r="C22" s="64">
        <v>0.7</v>
      </c>
      <c r="D22" s="62">
        <v>265</v>
      </c>
      <c r="E22" s="91" t="s">
        <v>304</v>
      </c>
      <c r="F22" s="62" t="s">
        <v>121</v>
      </c>
      <c r="G22" s="62">
        <v>430</v>
      </c>
      <c r="H22" s="64">
        <v>0.6</v>
      </c>
      <c r="I22" s="62" t="s">
        <v>24</v>
      </c>
      <c r="J22" s="62" t="s">
        <v>24</v>
      </c>
      <c r="K22" s="62" t="s">
        <v>86</v>
      </c>
      <c r="L22" s="66">
        <v>1000</v>
      </c>
      <c r="M22" s="67"/>
      <c r="N22" s="66">
        <f t="shared" si="6"/>
        <v>1000</v>
      </c>
      <c r="P22" s="62"/>
      <c r="Q22" s="62"/>
      <c r="R22" s="64"/>
      <c r="S22" s="62"/>
      <c r="T22" s="93"/>
      <c r="U22" s="62"/>
      <c r="V22" s="62"/>
      <c r="W22" s="64"/>
      <c r="X22" s="62"/>
      <c r="Y22" s="62"/>
      <c r="Z22" s="62"/>
      <c r="AA22" s="66"/>
      <c r="AB22" s="67"/>
      <c r="AC22" s="66">
        <f t="shared" si="5"/>
        <v>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/>
      <c r="B23" s="97"/>
      <c r="C23" s="64"/>
      <c r="D23" s="62"/>
      <c r="E23" s="91"/>
      <c r="F23" s="62"/>
      <c r="G23" s="62"/>
      <c r="H23" s="64"/>
      <c r="I23" s="62"/>
      <c r="J23" s="62"/>
      <c r="K23" s="62"/>
      <c r="L23" s="66"/>
      <c r="M23" s="67"/>
      <c r="N23" s="66">
        <f t="shared" si="6"/>
        <v>0</v>
      </c>
      <c r="P23" s="62"/>
      <c r="Q23" s="62"/>
      <c r="R23" s="64"/>
      <c r="S23" s="62"/>
      <c r="T23" s="93"/>
      <c r="U23" s="62"/>
      <c r="V23" s="62"/>
      <c r="W23" s="64"/>
      <c r="X23" s="62"/>
      <c r="Y23" s="62"/>
      <c r="Z23" s="62"/>
      <c r="AA23" s="66"/>
      <c r="AB23" s="67"/>
      <c r="AC23" s="66">
        <f t="shared" si="5"/>
        <v>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/>
      <c r="B24" s="97"/>
      <c r="C24" s="64"/>
      <c r="D24" s="62"/>
      <c r="E24" s="91"/>
      <c r="F24" s="62"/>
      <c r="G24" s="62"/>
      <c r="H24" s="64"/>
      <c r="I24" s="62"/>
      <c r="J24" s="62"/>
      <c r="K24" s="62"/>
      <c r="L24" s="66"/>
      <c r="M24" s="67"/>
      <c r="N24" s="66">
        <f t="shared" si="6"/>
        <v>0</v>
      </c>
      <c r="P24" s="62"/>
      <c r="Q24" s="62"/>
      <c r="R24" s="64"/>
      <c r="S24" s="62"/>
      <c r="T24" s="93"/>
      <c r="U24" s="62"/>
      <c r="V24" s="62"/>
      <c r="W24" s="64"/>
      <c r="X24" s="62"/>
      <c r="Y24" s="62"/>
      <c r="Z24" s="62"/>
      <c r="AA24" s="66"/>
      <c r="AB24" s="67"/>
      <c r="AC24" s="66">
        <f t="shared" si="5"/>
        <v>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7"/>
      <c r="B25" s="97"/>
      <c r="C25" s="64"/>
      <c r="D25" s="62"/>
      <c r="E25" s="91"/>
      <c r="F25" s="62"/>
      <c r="G25" s="62"/>
      <c r="H25" s="64"/>
      <c r="I25" s="62"/>
      <c r="J25" s="62"/>
      <c r="K25" s="62"/>
      <c r="L25" s="66"/>
      <c r="M25" s="67"/>
      <c r="N25" s="66">
        <f t="shared" si="6"/>
        <v>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5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8"/>
      <c r="B26" s="98"/>
      <c r="C26" s="69"/>
      <c r="D26" s="68"/>
      <c r="E26" s="70"/>
      <c r="F26" s="68"/>
      <c r="G26" s="68"/>
      <c r="H26" s="69"/>
      <c r="I26" s="68"/>
      <c r="J26" s="68"/>
      <c r="K26" s="68"/>
      <c r="L26" s="66">
        <f>SUM(L16:L25)</f>
        <v>5230</v>
      </c>
      <c r="M26" s="71">
        <f>SUM(M16:M25)</f>
        <v>665</v>
      </c>
      <c r="N26" s="66">
        <f>SUM(N16:N25)</f>
        <v>4565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66">
        <f>SUM(AA16:AA25)</f>
        <v>6936</v>
      </c>
      <c r="AB26" s="71">
        <f>SUM(AB16:AB25)</f>
        <v>2306</v>
      </c>
      <c r="AC26" s="66">
        <f>SUM(AC16:AC25)</f>
        <v>4630</v>
      </c>
      <c r="AD26" s="75"/>
      <c r="AE26" s="68"/>
      <c r="AF26" s="68"/>
      <c r="AG26" s="69"/>
      <c r="AH26" s="68"/>
      <c r="AI26" s="70"/>
      <c r="AJ26" s="80"/>
      <c r="AK26" s="66">
        <f>SUM(AK4:AK25)</f>
        <v>10400</v>
      </c>
      <c r="AL26" s="71">
        <f>SUM(AL4:AL25)</f>
        <v>0</v>
      </c>
      <c r="AM26" s="66">
        <f>SUM(AM4:AM25)</f>
        <v>10400</v>
      </c>
      <c r="AN26" s="75"/>
    </row>
    <row r="27" spans="1:40" s="75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 spans="1:40" s="75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spans="1:40" s="75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6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5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5"/>
      <c r="AE32" s="79"/>
      <c r="AF32" s="79"/>
      <c r="AG32" s="79"/>
      <c r="AH32" s="79"/>
      <c r="AI32" s="79"/>
      <c r="AJ32" s="79"/>
      <c r="AK32" s="79"/>
      <c r="AL32" s="79"/>
      <c r="AM32" s="79"/>
      <c r="AN32" s="75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5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56" customFormat="1" ht="100.0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0" s="56" customFormat="1" ht="100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1:40" s="56" customFormat="1" ht="100.0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</sheetData>
  <mergeCells count="12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A14:N14"/>
    <mergeCell ref="P14:AC14"/>
    <mergeCell ref="T4:T6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1" orientation="landscape" horizontalDpi="1200" verticalDpi="120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52"/>
  <sheetViews>
    <sheetView zoomScale="25" zoomScaleNormal="25" workbookViewId="0">
      <selection activeCell="M5" sqref="M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40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45964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45964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40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40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40" s="76" customFormat="1" ht="100.05" customHeight="1" x14ac:dyDescent="0.3">
      <c r="A4" s="97" t="s">
        <v>267</v>
      </c>
      <c r="B4" s="62">
        <v>430</v>
      </c>
      <c r="C4" s="64">
        <v>0.5</v>
      </c>
      <c r="D4" s="62">
        <v>290</v>
      </c>
      <c r="E4" s="91" t="s">
        <v>269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1300</v>
      </c>
      <c r="M4" s="67">
        <v>1200</v>
      </c>
      <c r="N4" s="66">
        <f>L4-M4</f>
        <v>100</v>
      </c>
      <c r="P4" s="62"/>
      <c r="Q4" s="62"/>
      <c r="R4" s="64"/>
      <c r="S4" s="62"/>
      <c r="T4" s="128" t="s">
        <v>327</v>
      </c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>
        <v>311025</v>
      </c>
      <c r="AF4" s="62">
        <v>304</v>
      </c>
      <c r="AG4" s="64"/>
      <c r="AH4" s="67"/>
      <c r="AI4" s="65" t="s">
        <v>331</v>
      </c>
      <c r="AJ4" s="78" t="s">
        <v>328</v>
      </c>
      <c r="AK4" s="66">
        <v>3200</v>
      </c>
      <c r="AL4" s="67"/>
      <c r="AM4" s="66">
        <f t="shared" ref="AM4:AM25" si="0">AK4-AL4</f>
        <v>3200</v>
      </c>
    </row>
    <row r="5" spans="1:40" s="76" customFormat="1" ht="100.05" customHeight="1" x14ac:dyDescent="0.3">
      <c r="A5" s="97">
        <v>250082</v>
      </c>
      <c r="B5" s="62">
        <v>430</v>
      </c>
      <c r="C5" s="64">
        <v>0.6</v>
      </c>
      <c r="D5" s="62">
        <v>653</v>
      </c>
      <c r="E5" s="91" t="s">
        <v>307</v>
      </c>
      <c r="F5" s="62" t="s">
        <v>181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79</v>
      </c>
      <c r="L5" s="66">
        <v>1000</v>
      </c>
      <c r="M5" s="67"/>
      <c r="N5" s="66">
        <f t="shared" ref="N5:N7" si="1">L5-M5</f>
        <v>1000</v>
      </c>
      <c r="P5" s="62"/>
      <c r="Q5" s="62"/>
      <c r="R5" s="64"/>
      <c r="S5" s="62"/>
      <c r="T5" s="129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241025</v>
      </c>
      <c r="AF5" s="62">
        <v>304</v>
      </c>
      <c r="AG5" s="64"/>
      <c r="AH5" s="62"/>
      <c r="AI5" s="93" t="s">
        <v>329</v>
      </c>
      <c r="AJ5" s="78" t="s">
        <v>328</v>
      </c>
      <c r="AK5" s="66">
        <v>2000</v>
      </c>
      <c r="AL5" s="67"/>
      <c r="AM5" s="66">
        <f t="shared" si="0"/>
        <v>2000</v>
      </c>
    </row>
    <row r="6" spans="1:40" s="76" customFormat="1" ht="100.05" customHeight="1" x14ac:dyDescent="0.3">
      <c r="A6" s="97">
        <v>250081</v>
      </c>
      <c r="B6" s="62">
        <v>304</v>
      </c>
      <c r="C6" s="64">
        <v>0.6</v>
      </c>
      <c r="D6" s="62">
        <v>550</v>
      </c>
      <c r="E6" s="91" t="s">
        <v>308</v>
      </c>
      <c r="F6" s="62" t="s">
        <v>181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86</v>
      </c>
      <c r="L6" s="66">
        <v>400</v>
      </c>
      <c r="M6" s="67"/>
      <c r="N6" s="66">
        <f t="shared" si="1"/>
        <v>400</v>
      </c>
      <c r="P6" s="62"/>
      <c r="Q6" s="62"/>
      <c r="R6" s="64"/>
      <c r="S6" s="62"/>
      <c r="T6" s="130"/>
      <c r="U6" s="62"/>
      <c r="V6" s="62"/>
      <c r="W6" s="64"/>
      <c r="X6" s="62"/>
      <c r="Y6" s="62"/>
      <c r="Z6" s="62"/>
      <c r="AA6" s="66"/>
      <c r="AB6" s="67"/>
      <c r="AC6" s="66">
        <f t="shared" ref="AC6:AC11" si="2">AA6-AB6</f>
        <v>0</v>
      </c>
      <c r="AE6" s="62">
        <v>241025</v>
      </c>
      <c r="AF6" s="62">
        <v>304</v>
      </c>
      <c r="AG6" s="64"/>
      <c r="AH6" s="62"/>
      <c r="AI6" s="93" t="s">
        <v>330</v>
      </c>
      <c r="AJ6" s="78" t="s">
        <v>328</v>
      </c>
      <c r="AK6" s="66">
        <v>2000</v>
      </c>
      <c r="AL6" s="67"/>
      <c r="AM6" s="66">
        <f t="shared" si="0"/>
        <v>2000</v>
      </c>
    </row>
    <row r="7" spans="1:40" s="76" customFormat="1" ht="100.05" customHeight="1" x14ac:dyDescent="0.3">
      <c r="A7" s="97">
        <v>250084</v>
      </c>
      <c r="B7" s="62">
        <v>304</v>
      </c>
      <c r="C7" s="64">
        <v>0.7</v>
      </c>
      <c r="D7" s="62">
        <v>577</v>
      </c>
      <c r="E7" s="91" t="s">
        <v>312</v>
      </c>
      <c r="F7" s="62" t="s">
        <v>181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715</v>
      </c>
      <c r="M7" s="67">
        <v>560</v>
      </c>
      <c r="N7" s="66">
        <f t="shared" si="1"/>
        <v>155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311025</v>
      </c>
      <c r="AF7" s="62">
        <v>304</v>
      </c>
      <c r="AG7" s="64"/>
      <c r="AH7" s="67"/>
      <c r="AI7" s="65" t="s">
        <v>332</v>
      </c>
      <c r="AJ7" s="78" t="s">
        <v>328</v>
      </c>
      <c r="AK7" s="66">
        <v>3200</v>
      </c>
      <c r="AL7" s="67"/>
      <c r="AM7" s="66">
        <f t="shared" si="0"/>
        <v>3200</v>
      </c>
    </row>
    <row r="8" spans="1:40" s="76" customFormat="1" ht="100.05" customHeight="1" x14ac:dyDescent="0.3">
      <c r="A8" s="97">
        <v>250084</v>
      </c>
      <c r="B8" s="62">
        <v>304</v>
      </c>
      <c r="C8" s="64">
        <v>1</v>
      </c>
      <c r="D8" s="62">
        <v>577</v>
      </c>
      <c r="E8" s="91" t="s">
        <v>313</v>
      </c>
      <c r="F8" s="62" t="s">
        <v>181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15</v>
      </c>
      <c r="M8" s="67"/>
      <c r="N8" s="66">
        <f>L8-M8</f>
        <v>15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/>
      <c r="AF8" s="62"/>
      <c r="AG8" s="64"/>
      <c r="AH8" s="67"/>
      <c r="AI8" s="65"/>
      <c r="AJ8" s="78"/>
      <c r="AK8" s="66"/>
      <c r="AL8" s="67"/>
      <c r="AM8" s="66">
        <f t="shared" si="0"/>
        <v>0</v>
      </c>
    </row>
    <row r="9" spans="1:40" s="76" customFormat="1" ht="100.05" customHeight="1" x14ac:dyDescent="0.3">
      <c r="A9" s="97"/>
      <c r="B9" s="62"/>
      <c r="C9" s="64"/>
      <c r="D9" s="62"/>
      <c r="E9" s="91"/>
      <c r="F9" s="62"/>
      <c r="G9" s="62"/>
      <c r="H9" s="64"/>
      <c r="I9" s="62"/>
      <c r="J9" s="62"/>
      <c r="K9" s="62"/>
      <c r="L9" s="66"/>
      <c r="M9" s="67"/>
      <c r="N9" s="66">
        <f t="shared" ref="N9:N11" si="3">L9-M9</f>
        <v>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2"/>
      <c r="AI9" s="93"/>
      <c r="AJ9" s="78"/>
      <c r="AK9" s="66"/>
      <c r="AL9" s="67"/>
      <c r="AM9" s="66">
        <f t="shared" si="0"/>
        <v>0</v>
      </c>
    </row>
    <row r="10" spans="1:40" s="76" customFormat="1" ht="100.05" customHeight="1" x14ac:dyDescent="0.3">
      <c r="A10" s="97"/>
      <c r="B10" s="62"/>
      <c r="C10" s="64"/>
      <c r="D10" s="62"/>
      <c r="E10" s="86"/>
      <c r="F10" s="87"/>
      <c r="G10" s="87"/>
      <c r="H10" s="103"/>
      <c r="I10" s="87"/>
      <c r="J10" s="87"/>
      <c r="K10" s="87"/>
      <c r="L10" s="90"/>
      <c r="M10" s="67"/>
      <c r="N10" s="66">
        <f t="shared" si="3"/>
        <v>0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40" s="76" customFormat="1" ht="100.05" customHeight="1" x14ac:dyDescent="0.3">
      <c r="A11" s="97"/>
      <c r="B11" s="62"/>
      <c r="C11" s="64"/>
      <c r="D11" s="62"/>
      <c r="E11" s="65"/>
      <c r="F11" s="62"/>
      <c r="G11" s="62"/>
      <c r="H11" s="64"/>
      <c r="I11" s="62"/>
      <c r="J11" s="62"/>
      <c r="K11" s="62"/>
      <c r="L11" s="62"/>
      <c r="M11" s="67"/>
      <c r="N11" s="66">
        <f t="shared" si="3"/>
        <v>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2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40" s="76" customFormat="1" ht="100.05" customHeight="1" x14ac:dyDescent="0.3">
      <c r="A12" s="68"/>
      <c r="B12" s="68"/>
      <c r="C12" s="69"/>
      <c r="D12" s="68"/>
      <c r="E12" s="70"/>
      <c r="F12" s="68"/>
      <c r="G12" s="68"/>
      <c r="H12" s="69"/>
      <c r="I12" s="68"/>
      <c r="J12" s="68"/>
      <c r="K12" s="68"/>
      <c r="L12" s="66">
        <f>SUM(L4:L11)</f>
        <v>3430</v>
      </c>
      <c r="M12" s="71">
        <f>SUM(M4:M11)</f>
        <v>1760</v>
      </c>
      <c r="N12" s="66">
        <f>SUM(N4:N11)</f>
        <v>1670</v>
      </c>
      <c r="P12" s="68"/>
      <c r="Q12" s="68"/>
      <c r="R12" s="69"/>
      <c r="S12" s="68"/>
      <c r="T12" s="70"/>
      <c r="U12" s="68"/>
      <c r="V12" s="68"/>
      <c r="W12" s="69"/>
      <c r="X12" s="68"/>
      <c r="Y12" s="68"/>
      <c r="Z12" s="68"/>
      <c r="AA12" s="66">
        <f>AA4+AA6+AA7+AA8+AA11</f>
        <v>0</v>
      </c>
      <c r="AB12" s="71">
        <f>SUM(AB4:AB11)</f>
        <v>0</v>
      </c>
      <c r="AC12" s="66">
        <f>SUM(AC4:AC11)</f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40" s="75" customFormat="1" ht="100.05" customHeight="1" x14ac:dyDescent="0.3">
      <c r="A13" s="79"/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6"/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  <c r="AN13" s="76"/>
    </row>
    <row r="14" spans="1:40" s="75" customFormat="1" ht="100.05" customHeight="1" x14ac:dyDescent="0.3">
      <c r="A14" s="109" t="s">
        <v>101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1"/>
      <c r="P14" s="109" t="s">
        <v>99</v>
      </c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1"/>
      <c r="AD14" s="76"/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  <c r="AN14" s="76"/>
    </row>
    <row r="15" spans="1:40" s="75" customFormat="1" ht="145.80000000000001" x14ac:dyDescent="0.3">
      <c r="A15" s="81" t="s">
        <v>0</v>
      </c>
      <c r="B15" s="81" t="s">
        <v>9</v>
      </c>
      <c r="C15" s="82" t="s">
        <v>11</v>
      </c>
      <c r="D15" s="81" t="s">
        <v>2</v>
      </c>
      <c r="E15" s="81" t="s">
        <v>1</v>
      </c>
      <c r="F15" s="81" t="s">
        <v>14</v>
      </c>
      <c r="G15" s="81" t="s">
        <v>8</v>
      </c>
      <c r="H15" s="82" t="s">
        <v>10</v>
      </c>
      <c r="I15" s="82" t="s">
        <v>12</v>
      </c>
      <c r="J15" s="82" t="s">
        <v>13</v>
      </c>
      <c r="K15" s="81" t="s">
        <v>3</v>
      </c>
      <c r="L15" s="81" t="s">
        <v>7</v>
      </c>
      <c r="M15" s="81" t="s">
        <v>5</v>
      </c>
      <c r="N15" s="81" t="s">
        <v>6</v>
      </c>
      <c r="P15" s="81" t="s">
        <v>0</v>
      </c>
      <c r="Q15" s="81" t="s">
        <v>9</v>
      </c>
      <c r="R15" s="82" t="s">
        <v>11</v>
      </c>
      <c r="S15" s="81" t="s">
        <v>2</v>
      </c>
      <c r="T15" s="81" t="s">
        <v>1</v>
      </c>
      <c r="U15" s="81" t="s">
        <v>14</v>
      </c>
      <c r="V15" s="81" t="s">
        <v>8</v>
      </c>
      <c r="W15" s="82" t="s">
        <v>10</v>
      </c>
      <c r="X15" s="82" t="s">
        <v>12</v>
      </c>
      <c r="Y15" s="82" t="s">
        <v>13</v>
      </c>
      <c r="Z15" s="81" t="s">
        <v>3</v>
      </c>
      <c r="AA15" s="81" t="s">
        <v>7</v>
      </c>
      <c r="AB15" s="81" t="s">
        <v>5</v>
      </c>
      <c r="AC15" s="81" t="s">
        <v>6</v>
      </c>
      <c r="AD15" s="76"/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  <c r="AN15" s="76"/>
    </row>
    <row r="16" spans="1:40" s="76" customFormat="1" ht="100.05" customHeight="1" x14ac:dyDescent="0.3">
      <c r="A16" s="97">
        <v>21025</v>
      </c>
      <c r="B16" s="97">
        <v>304</v>
      </c>
      <c r="C16" s="64">
        <v>0.6</v>
      </c>
      <c r="D16" s="62">
        <v>234</v>
      </c>
      <c r="E16" s="91" t="s">
        <v>249</v>
      </c>
      <c r="F16" s="62" t="s">
        <v>121</v>
      </c>
      <c r="G16" s="62">
        <v>430</v>
      </c>
      <c r="H16" s="64">
        <v>0.6</v>
      </c>
      <c r="I16" s="62" t="s">
        <v>24</v>
      </c>
      <c r="J16" s="62" t="s">
        <v>24</v>
      </c>
      <c r="K16" s="62" t="s">
        <v>86</v>
      </c>
      <c r="L16" s="66">
        <v>1000</v>
      </c>
      <c r="M16" s="67">
        <v>1000</v>
      </c>
      <c r="N16" s="66">
        <f t="shared" ref="N16" si="4">L16-M16</f>
        <v>0</v>
      </c>
      <c r="P16" s="62">
        <v>241025</v>
      </c>
      <c r="Q16" s="62">
        <v>304</v>
      </c>
      <c r="R16" s="64">
        <v>0.8</v>
      </c>
      <c r="S16" s="62">
        <v>276</v>
      </c>
      <c r="T16" s="93" t="s">
        <v>324</v>
      </c>
      <c r="U16" s="62" t="s">
        <v>42</v>
      </c>
      <c r="V16" s="62">
        <v>430</v>
      </c>
      <c r="W16" s="64">
        <v>0.5</v>
      </c>
      <c r="X16" s="62" t="s">
        <v>24</v>
      </c>
      <c r="Y16" s="62" t="s">
        <v>24</v>
      </c>
      <c r="Z16" s="62" t="s">
        <v>74</v>
      </c>
      <c r="AA16" s="66">
        <v>2000</v>
      </c>
      <c r="AB16" s="67">
        <f>1000+1150</f>
        <v>2150</v>
      </c>
      <c r="AC16" s="66">
        <f t="shared" ref="AC16:AC25" si="5">AA16-AB16</f>
        <v>-150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97">
        <v>250084</v>
      </c>
      <c r="B17" s="97">
        <v>304</v>
      </c>
      <c r="C17" s="64">
        <v>0.7</v>
      </c>
      <c r="D17" s="62">
        <v>315</v>
      </c>
      <c r="E17" s="91" t="s">
        <v>319</v>
      </c>
      <c r="F17" s="62" t="s">
        <v>23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86</v>
      </c>
      <c r="L17" s="66">
        <v>715</v>
      </c>
      <c r="M17" s="67">
        <f>400+265</f>
        <v>665</v>
      </c>
      <c r="N17" s="66">
        <f>L17-M17</f>
        <v>50</v>
      </c>
      <c r="P17" s="62">
        <v>311025</v>
      </c>
      <c r="Q17" s="62">
        <v>304</v>
      </c>
      <c r="R17" s="64">
        <v>0.9</v>
      </c>
      <c r="S17" s="62">
        <v>327</v>
      </c>
      <c r="T17" s="93" t="s">
        <v>325</v>
      </c>
      <c r="U17" s="62" t="s">
        <v>42</v>
      </c>
      <c r="V17" s="62">
        <v>430</v>
      </c>
      <c r="W17" s="64">
        <v>0.5</v>
      </c>
      <c r="X17" s="62" t="s">
        <v>24</v>
      </c>
      <c r="Y17" s="62" t="s">
        <v>24</v>
      </c>
      <c r="Z17" s="62" t="s">
        <v>74</v>
      </c>
      <c r="AA17" s="66">
        <v>3200</v>
      </c>
      <c r="AB17" s="67">
        <v>700</v>
      </c>
      <c r="AC17" s="66">
        <f t="shared" si="5"/>
        <v>2500</v>
      </c>
      <c r="AD17" s="75"/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  <c r="AN17" s="75"/>
    </row>
    <row r="18" spans="1:40" s="76" customFormat="1" ht="100.05" customHeight="1" x14ac:dyDescent="0.3">
      <c r="A18" s="97">
        <v>250084</v>
      </c>
      <c r="B18" s="97">
        <v>304</v>
      </c>
      <c r="C18" s="64">
        <v>1</v>
      </c>
      <c r="D18" s="62">
        <v>315</v>
      </c>
      <c r="E18" s="91" t="s">
        <v>320</v>
      </c>
      <c r="F18" s="62" t="s">
        <v>23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15</v>
      </c>
      <c r="M18" s="67"/>
      <c r="N18" s="90">
        <f t="shared" ref="N18:N25" si="6">L18-M18</f>
        <v>15</v>
      </c>
      <c r="P18" s="62">
        <v>311025</v>
      </c>
      <c r="Q18" s="62">
        <v>304</v>
      </c>
      <c r="R18" s="64">
        <v>0.9</v>
      </c>
      <c r="S18" s="62">
        <v>369</v>
      </c>
      <c r="T18" s="93" t="s">
        <v>326</v>
      </c>
      <c r="U18" s="62" t="s">
        <v>42</v>
      </c>
      <c r="V18" s="62">
        <v>430</v>
      </c>
      <c r="W18" s="64">
        <v>0.5</v>
      </c>
      <c r="X18" s="62" t="s">
        <v>24</v>
      </c>
      <c r="Y18" s="62" t="s">
        <v>24</v>
      </c>
      <c r="Z18" s="62" t="s">
        <v>74</v>
      </c>
      <c r="AA18" s="66">
        <v>500</v>
      </c>
      <c r="AB18" s="67"/>
      <c r="AC18" s="66">
        <f t="shared" si="5"/>
        <v>500</v>
      </c>
      <c r="AD18" s="75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5"/>
    </row>
    <row r="19" spans="1:40" s="76" customFormat="1" ht="100.05" customHeight="1" x14ac:dyDescent="0.3">
      <c r="A19" s="97">
        <v>151025</v>
      </c>
      <c r="B19" s="97">
        <v>304</v>
      </c>
      <c r="C19" s="64">
        <v>0.7</v>
      </c>
      <c r="D19" s="62">
        <v>388</v>
      </c>
      <c r="E19" s="91" t="s">
        <v>302</v>
      </c>
      <c r="F19" s="62" t="s">
        <v>121</v>
      </c>
      <c r="G19" s="62">
        <v>430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1000</v>
      </c>
      <c r="M19" s="67">
        <v>1000</v>
      </c>
      <c r="N19" s="66">
        <f t="shared" si="6"/>
        <v>0</v>
      </c>
      <c r="P19" s="62"/>
      <c r="Q19" s="62"/>
      <c r="R19" s="64"/>
      <c r="S19" s="62"/>
      <c r="T19" s="93"/>
      <c r="U19" s="62"/>
      <c r="V19" s="62"/>
      <c r="W19" s="64"/>
      <c r="X19" s="62"/>
      <c r="Y19" s="62"/>
      <c r="Z19" s="62"/>
      <c r="AA19" s="66"/>
      <c r="AB19" s="67"/>
      <c r="AC19" s="66">
        <f t="shared" si="5"/>
        <v>0</v>
      </c>
      <c r="AD19" s="75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5"/>
    </row>
    <row r="20" spans="1:40" s="76" customFormat="1" ht="99.6" customHeight="1" x14ac:dyDescent="0.3">
      <c r="A20" s="97">
        <v>250081</v>
      </c>
      <c r="B20" s="97">
        <v>304</v>
      </c>
      <c r="C20" s="64">
        <v>0.6</v>
      </c>
      <c r="D20" s="62">
        <v>467</v>
      </c>
      <c r="E20" s="91" t="s">
        <v>310</v>
      </c>
      <c r="F20" s="62" t="s">
        <v>181</v>
      </c>
      <c r="G20" s="62">
        <v>430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500</v>
      </c>
      <c r="M20" s="67"/>
      <c r="N20" s="66">
        <f t="shared" si="6"/>
        <v>500</v>
      </c>
      <c r="P20" s="62"/>
      <c r="Q20" s="62"/>
      <c r="R20" s="64"/>
      <c r="S20" s="62"/>
      <c r="T20" s="93"/>
      <c r="U20" s="62"/>
      <c r="V20" s="62"/>
      <c r="W20" s="64"/>
      <c r="X20" s="62"/>
      <c r="Y20" s="62"/>
      <c r="Z20" s="62"/>
      <c r="AA20" s="66"/>
      <c r="AB20" s="67"/>
      <c r="AC20" s="66">
        <f t="shared" si="5"/>
        <v>0</v>
      </c>
      <c r="AD20" s="75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5"/>
    </row>
    <row r="21" spans="1:40" s="76" customFormat="1" ht="100.05" customHeight="1" x14ac:dyDescent="0.3">
      <c r="A21" s="97" t="s">
        <v>300</v>
      </c>
      <c r="B21" s="97">
        <v>304</v>
      </c>
      <c r="C21" s="64">
        <v>0.7</v>
      </c>
      <c r="D21" s="62">
        <v>289</v>
      </c>
      <c r="E21" s="91" t="s">
        <v>303</v>
      </c>
      <c r="F21" s="62" t="s">
        <v>121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1000</v>
      </c>
      <c r="M21" s="67"/>
      <c r="N21" s="66">
        <f t="shared" si="6"/>
        <v>1000</v>
      </c>
      <c r="P21" s="62"/>
      <c r="Q21" s="62"/>
      <c r="R21" s="64"/>
      <c r="S21" s="62"/>
      <c r="T21" s="93"/>
      <c r="U21" s="62"/>
      <c r="V21" s="62"/>
      <c r="W21" s="64"/>
      <c r="X21" s="62"/>
      <c r="Y21" s="62"/>
      <c r="Z21" s="62"/>
      <c r="AA21" s="66"/>
      <c r="AB21" s="67"/>
      <c r="AC21" s="66">
        <f t="shared" si="5"/>
        <v>0</v>
      </c>
      <c r="AD21" s="75"/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  <c r="AN21" s="75"/>
    </row>
    <row r="22" spans="1:40" s="76" customFormat="1" ht="100.05" customHeight="1" x14ac:dyDescent="0.3">
      <c r="A22" s="97" t="s">
        <v>300</v>
      </c>
      <c r="B22" s="97">
        <v>304</v>
      </c>
      <c r="C22" s="64">
        <v>0.7</v>
      </c>
      <c r="D22" s="62">
        <v>265</v>
      </c>
      <c r="E22" s="91" t="s">
        <v>304</v>
      </c>
      <c r="F22" s="62" t="s">
        <v>121</v>
      </c>
      <c r="G22" s="62">
        <v>430</v>
      </c>
      <c r="H22" s="64">
        <v>0.6</v>
      </c>
      <c r="I22" s="62" t="s">
        <v>24</v>
      </c>
      <c r="J22" s="62" t="s">
        <v>24</v>
      </c>
      <c r="K22" s="62" t="s">
        <v>86</v>
      </c>
      <c r="L22" s="66">
        <v>1000</v>
      </c>
      <c r="M22" s="67">
        <v>200</v>
      </c>
      <c r="N22" s="66">
        <f t="shared" si="6"/>
        <v>800</v>
      </c>
      <c r="P22" s="62"/>
      <c r="Q22" s="62"/>
      <c r="R22" s="64"/>
      <c r="S22" s="62"/>
      <c r="T22" s="93"/>
      <c r="U22" s="62"/>
      <c r="V22" s="62"/>
      <c r="W22" s="64"/>
      <c r="X22" s="62"/>
      <c r="Y22" s="62"/>
      <c r="Z22" s="62"/>
      <c r="AA22" s="66"/>
      <c r="AB22" s="67"/>
      <c r="AC22" s="66">
        <f t="shared" si="5"/>
        <v>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/>
      <c r="B23" s="97"/>
      <c r="C23" s="64"/>
      <c r="D23" s="62"/>
      <c r="E23" s="91"/>
      <c r="F23" s="62"/>
      <c r="G23" s="62"/>
      <c r="H23" s="64"/>
      <c r="I23" s="62"/>
      <c r="J23" s="62"/>
      <c r="K23" s="62"/>
      <c r="L23" s="66"/>
      <c r="M23" s="67"/>
      <c r="N23" s="66">
        <f t="shared" si="6"/>
        <v>0</v>
      </c>
      <c r="P23" s="62"/>
      <c r="Q23" s="62"/>
      <c r="R23" s="64"/>
      <c r="S23" s="62"/>
      <c r="T23" s="93"/>
      <c r="U23" s="62"/>
      <c r="V23" s="62"/>
      <c r="W23" s="64"/>
      <c r="X23" s="62"/>
      <c r="Y23" s="62"/>
      <c r="Z23" s="62"/>
      <c r="AA23" s="66"/>
      <c r="AB23" s="67"/>
      <c r="AC23" s="66">
        <f t="shared" si="5"/>
        <v>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/>
      <c r="B24" s="97"/>
      <c r="C24" s="64"/>
      <c r="D24" s="62"/>
      <c r="E24" s="91"/>
      <c r="F24" s="62"/>
      <c r="G24" s="62"/>
      <c r="H24" s="64"/>
      <c r="I24" s="62"/>
      <c r="J24" s="62"/>
      <c r="K24" s="62"/>
      <c r="L24" s="66"/>
      <c r="M24" s="67"/>
      <c r="N24" s="66">
        <f t="shared" si="6"/>
        <v>0</v>
      </c>
      <c r="P24" s="62"/>
      <c r="Q24" s="62"/>
      <c r="R24" s="64"/>
      <c r="S24" s="62"/>
      <c r="T24" s="93"/>
      <c r="U24" s="62"/>
      <c r="V24" s="62"/>
      <c r="W24" s="64"/>
      <c r="X24" s="62"/>
      <c r="Y24" s="62"/>
      <c r="Z24" s="62"/>
      <c r="AA24" s="66"/>
      <c r="AB24" s="67"/>
      <c r="AC24" s="66">
        <f t="shared" si="5"/>
        <v>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100.05" customHeight="1" x14ac:dyDescent="0.3">
      <c r="A25" s="97"/>
      <c r="B25" s="97"/>
      <c r="C25" s="64"/>
      <c r="D25" s="62"/>
      <c r="E25" s="91"/>
      <c r="F25" s="62"/>
      <c r="G25" s="62"/>
      <c r="H25" s="64"/>
      <c r="I25" s="62"/>
      <c r="J25" s="62"/>
      <c r="K25" s="62"/>
      <c r="L25" s="66"/>
      <c r="M25" s="67"/>
      <c r="N25" s="66">
        <f t="shared" si="6"/>
        <v>0</v>
      </c>
      <c r="P25" s="62"/>
      <c r="Q25" s="62"/>
      <c r="R25" s="64"/>
      <c r="S25" s="62"/>
      <c r="T25" s="65"/>
      <c r="U25" s="62"/>
      <c r="V25" s="62"/>
      <c r="W25" s="64"/>
      <c r="X25" s="62"/>
      <c r="Y25" s="62"/>
      <c r="Z25" s="62"/>
      <c r="AA25" s="66"/>
      <c r="AB25" s="67"/>
      <c r="AC25" s="66">
        <f t="shared" si="5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8"/>
      <c r="B26" s="98"/>
      <c r="C26" s="69"/>
      <c r="D26" s="68"/>
      <c r="E26" s="70"/>
      <c r="F26" s="68"/>
      <c r="G26" s="68"/>
      <c r="H26" s="69"/>
      <c r="I26" s="68"/>
      <c r="J26" s="68"/>
      <c r="K26" s="68"/>
      <c r="L26" s="66">
        <f>SUM(L16:L25)</f>
        <v>5230</v>
      </c>
      <c r="M26" s="71">
        <f>SUM(M16:M25)</f>
        <v>2865</v>
      </c>
      <c r="N26" s="66">
        <f>SUM(N16:N25)</f>
        <v>2365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66">
        <f>SUM(AA16:AA25)</f>
        <v>5700</v>
      </c>
      <c r="AB26" s="71">
        <f>SUM(AB16:AB25)</f>
        <v>2850</v>
      </c>
      <c r="AC26" s="66">
        <f>SUM(AC16:AC25)</f>
        <v>2850</v>
      </c>
      <c r="AD26" s="75"/>
      <c r="AE26" s="68"/>
      <c r="AF26" s="68"/>
      <c r="AG26" s="69"/>
      <c r="AH26" s="68"/>
      <c r="AI26" s="70"/>
      <c r="AJ26" s="80"/>
      <c r="AK26" s="66">
        <f>SUM(AK4:AK25)</f>
        <v>10400</v>
      </c>
      <c r="AL26" s="71">
        <f>SUM(AL4:AL25)</f>
        <v>0</v>
      </c>
      <c r="AM26" s="66">
        <f>SUM(AM4:AM25)</f>
        <v>10400</v>
      </c>
      <c r="AN26" s="75"/>
    </row>
    <row r="27" spans="1:40" s="75" customFormat="1" ht="100.05" customHeight="1" x14ac:dyDescent="0.3">
      <c r="A27" s="79"/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E27" s="79"/>
      <c r="AF27" s="79"/>
      <c r="AG27" s="79"/>
      <c r="AH27" s="79"/>
      <c r="AI27" s="79"/>
      <c r="AJ27" s="79"/>
      <c r="AK27" s="79"/>
      <c r="AL27" s="79"/>
      <c r="AM27" s="79"/>
    </row>
    <row r="28" spans="1:40" s="75" customFormat="1" ht="100.05" customHeight="1" x14ac:dyDescent="0.3">
      <c r="A28" s="79"/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E28" s="79"/>
      <c r="AF28" s="79"/>
      <c r="AG28" s="79"/>
      <c r="AH28" s="79"/>
      <c r="AI28" s="79"/>
      <c r="AJ28" s="79"/>
      <c r="AK28" s="79"/>
      <c r="AL28" s="79"/>
      <c r="AM28" s="79"/>
    </row>
    <row r="29" spans="1:40" s="75" customFormat="1" ht="100.05" customHeight="1" x14ac:dyDescent="0.3">
      <c r="A29" s="79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E29" s="79"/>
      <c r="AF29" s="79"/>
      <c r="AG29" s="79"/>
      <c r="AH29" s="79"/>
      <c r="AI29" s="79"/>
      <c r="AJ29" s="79"/>
      <c r="AK29" s="79"/>
      <c r="AL29" s="79"/>
      <c r="AM29" s="79"/>
    </row>
    <row r="30" spans="1:40" s="76" customFormat="1" ht="100.05" customHeight="1" x14ac:dyDescent="0.3">
      <c r="A30" s="79"/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5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5"/>
      <c r="AE30" s="79"/>
      <c r="AF30" s="79"/>
      <c r="AG30" s="79"/>
      <c r="AH30" s="79"/>
      <c r="AI30" s="79"/>
      <c r="AJ30" s="79"/>
      <c r="AK30" s="79"/>
      <c r="AL30" s="79"/>
      <c r="AM30" s="79"/>
      <c r="AN30" s="75"/>
    </row>
    <row r="31" spans="1:40" s="76" customFormat="1" ht="100.05" customHeight="1" x14ac:dyDescent="0.3">
      <c r="A31" s="79"/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5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5"/>
      <c r="AE31" s="79"/>
      <c r="AF31" s="79"/>
      <c r="AG31" s="79"/>
      <c r="AH31" s="79"/>
      <c r="AI31" s="79"/>
      <c r="AJ31" s="79"/>
      <c r="AK31" s="79"/>
      <c r="AL31" s="79"/>
      <c r="AM31" s="79"/>
      <c r="AN31" s="75"/>
    </row>
    <row r="32" spans="1:40" s="76" customFormat="1" ht="100.05" customHeight="1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5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5"/>
      <c r="AE32" s="79"/>
      <c r="AF32" s="79"/>
      <c r="AG32" s="79"/>
      <c r="AH32" s="79"/>
      <c r="AI32" s="79"/>
      <c r="AJ32" s="79"/>
      <c r="AK32" s="79"/>
      <c r="AL32" s="79"/>
      <c r="AM32" s="79"/>
      <c r="AN32" s="75"/>
    </row>
    <row r="33" spans="1:40" s="76" customFormat="1" ht="100.05" customHeight="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5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5"/>
      <c r="AE33" s="79"/>
      <c r="AF33" s="79"/>
      <c r="AG33" s="79"/>
      <c r="AH33" s="79"/>
      <c r="AI33" s="79"/>
      <c r="AJ33" s="79"/>
      <c r="AK33" s="79"/>
      <c r="AL33" s="79"/>
      <c r="AM33" s="79"/>
      <c r="AN33" s="75"/>
    </row>
    <row r="34" spans="1:40" s="76" customFormat="1" ht="100.05" customHeight="1" x14ac:dyDescent="0.3">
      <c r="A34" s="79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5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5"/>
      <c r="AE34" s="79"/>
      <c r="AF34" s="79"/>
      <c r="AG34" s="79"/>
      <c r="AH34" s="79"/>
      <c r="AI34" s="79"/>
      <c r="AJ34" s="79"/>
      <c r="AK34" s="79"/>
      <c r="AL34" s="79"/>
      <c r="AM34" s="79"/>
      <c r="AN34" s="75"/>
    </row>
    <row r="35" spans="1:40" s="76" customFormat="1" ht="100.05" customHeight="1" x14ac:dyDescent="0.3">
      <c r="A35" s="79"/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5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5"/>
      <c r="AE35" s="79"/>
      <c r="AF35" s="79"/>
      <c r="AG35" s="79"/>
      <c r="AH35" s="79"/>
      <c r="AI35" s="79"/>
      <c r="AJ35" s="79"/>
      <c r="AK35" s="79"/>
      <c r="AL35" s="79"/>
      <c r="AM35" s="79"/>
      <c r="AN35" s="75"/>
    </row>
    <row r="36" spans="1:40" s="76" customFormat="1" ht="100.05" customHeight="1" x14ac:dyDescent="0.3">
      <c r="A36" s="79"/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5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5"/>
      <c r="AE36" s="79"/>
      <c r="AF36" s="79"/>
      <c r="AG36" s="79"/>
      <c r="AH36" s="79"/>
      <c r="AI36" s="79"/>
      <c r="AJ36" s="79"/>
      <c r="AK36" s="79"/>
      <c r="AL36" s="79"/>
      <c r="AM36" s="79"/>
      <c r="AN36" s="75"/>
    </row>
    <row r="37" spans="1:40" s="76" customFormat="1" ht="100.05" customHeight="1" x14ac:dyDescent="0.3">
      <c r="A37" s="79"/>
      <c r="B37" s="79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5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5"/>
      <c r="AE37" s="79"/>
      <c r="AF37" s="79"/>
      <c r="AG37" s="79"/>
      <c r="AH37" s="79"/>
      <c r="AI37" s="79"/>
      <c r="AJ37" s="79"/>
      <c r="AK37" s="79"/>
      <c r="AL37" s="79"/>
      <c r="AM37" s="79"/>
      <c r="AN37" s="75"/>
    </row>
    <row r="38" spans="1:40" s="76" customFormat="1" ht="100.05" customHeight="1" x14ac:dyDescent="0.3">
      <c r="A38" s="79"/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5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5"/>
      <c r="AE38" s="79"/>
      <c r="AF38" s="79"/>
      <c r="AG38" s="79"/>
      <c r="AH38" s="79"/>
      <c r="AI38" s="79"/>
      <c r="AJ38" s="79"/>
      <c r="AK38" s="79"/>
      <c r="AL38" s="79"/>
      <c r="AM38" s="79"/>
      <c r="AN38" s="75"/>
    </row>
    <row r="39" spans="1:40" s="76" customFormat="1" ht="100.05" customHeight="1" x14ac:dyDescent="0.3">
      <c r="A39" s="79"/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5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5"/>
      <c r="AE39" s="79"/>
      <c r="AF39" s="79"/>
      <c r="AG39" s="79"/>
      <c r="AH39" s="79"/>
      <c r="AI39" s="79"/>
      <c r="AJ39" s="79"/>
      <c r="AK39" s="79"/>
      <c r="AL39" s="79"/>
      <c r="AM39" s="79"/>
      <c r="AN39" s="75"/>
    </row>
    <row r="40" spans="1:40" s="75" customFormat="1" ht="100.05" customHeight="1" x14ac:dyDescent="0.3">
      <c r="A40" s="79"/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E40" s="79"/>
      <c r="AF40" s="79"/>
      <c r="AG40" s="79"/>
      <c r="AH40" s="79"/>
      <c r="AI40" s="79"/>
      <c r="AJ40" s="79"/>
      <c r="AK40" s="79"/>
      <c r="AL40" s="79"/>
      <c r="AM40" s="79"/>
    </row>
    <row r="41" spans="1:40" s="75" customFormat="1" ht="100.05" customHeight="1" x14ac:dyDescent="0.3">
      <c r="A41" s="79"/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E41" s="79"/>
      <c r="AF41" s="79"/>
      <c r="AG41" s="79"/>
      <c r="AH41" s="79"/>
      <c r="AI41" s="79"/>
      <c r="AJ41" s="79"/>
      <c r="AK41" s="79"/>
      <c r="AL41" s="79"/>
      <c r="AM41" s="79"/>
    </row>
    <row r="42" spans="1:40" s="75" customFormat="1" ht="100.05" customHeight="1" x14ac:dyDescent="0.3">
      <c r="A42" s="79"/>
      <c r="B42" s="79"/>
      <c r="C42" s="79"/>
      <c r="D42" s="79"/>
      <c r="E42" s="79"/>
      <c r="F42" s="79"/>
      <c r="G42" s="79"/>
      <c r="H42" s="79"/>
      <c r="I42" s="79"/>
      <c r="J42" s="79"/>
      <c r="K42" s="79"/>
      <c r="L42" s="79"/>
      <c r="M42" s="79"/>
      <c r="N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E42" s="79"/>
      <c r="AF42" s="79"/>
      <c r="AG42" s="79"/>
      <c r="AH42" s="79"/>
      <c r="AI42" s="79"/>
      <c r="AJ42" s="79"/>
      <c r="AK42" s="79"/>
      <c r="AL42" s="79"/>
      <c r="AM42" s="79"/>
    </row>
    <row r="43" spans="1:40" s="76" customFormat="1" ht="100.05" customHeight="1" x14ac:dyDescent="0.3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9"/>
      <c r="L43" s="79"/>
      <c r="M43" s="79"/>
      <c r="N43" s="79"/>
      <c r="O43" s="75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5"/>
      <c r="AE43" s="79"/>
      <c r="AF43" s="79"/>
      <c r="AG43" s="79"/>
      <c r="AH43" s="79"/>
      <c r="AI43" s="79"/>
      <c r="AJ43" s="79"/>
      <c r="AK43" s="79"/>
      <c r="AL43" s="79"/>
      <c r="AM43" s="79"/>
      <c r="AN43" s="75"/>
    </row>
    <row r="44" spans="1:40" s="76" customFormat="1" ht="100.05" customHeight="1" x14ac:dyDescent="0.3">
      <c r="A44" s="79"/>
      <c r="B44" s="79"/>
      <c r="C44" s="79"/>
      <c r="D44" s="79"/>
      <c r="E44" s="79"/>
      <c r="F44" s="79"/>
      <c r="G44" s="79"/>
      <c r="H44" s="79"/>
      <c r="I44" s="79"/>
      <c r="J44" s="79"/>
      <c r="K44" s="79"/>
      <c r="L44" s="79"/>
      <c r="M44" s="79"/>
      <c r="N44" s="79"/>
      <c r="O44" s="75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5"/>
      <c r="AE44" s="79"/>
      <c r="AF44" s="79"/>
      <c r="AG44" s="79"/>
      <c r="AH44" s="79"/>
      <c r="AI44" s="79"/>
      <c r="AJ44" s="79"/>
      <c r="AK44" s="79"/>
      <c r="AL44" s="79"/>
      <c r="AM44" s="79"/>
      <c r="AN44" s="75"/>
    </row>
    <row r="45" spans="1:40" s="56" customFormat="1" ht="100.0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2"/>
      <c r="AF45" s="2"/>
      <c r="AG45" s="2"/>
      <c r="AH45" s="2"/>
      <c r="AI45" s="2"/>
      <c r="AJ45" s="2"/>
      <c r="AK45" s="2"/>
      <c r="AL45" s="2"/>
      <c r="AM45" s="2"/>
      <c r="AN45" s="3"/>
    </row>
    <row r="46" spans="1:40" s="56" customFormat="1" ht="100.0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2"/>
      <c r="AF46" s="2"/>
      <c r="AG46" s="2"/>
      <c r="AH46" s="2"/>
      <c r="AI46" s="2"/>
      <c r="AJ46" s="2"/>
      <c r="AK46" s="2"/>
      <c r="AL46" s="2"/>
      <c r="AM46" s="2"/>
      <c r="AN46" s="3"/>
    </row>
    <row r="47" spans="1:40" s="56" customFormat="1" ht="100.0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2"/>
      <c r="AF47" s="2"/>
      <c r="AG47" s="2"/>
      <c r="AH47" s="2"/>
      <c r="AI47" s="2"/>
      <c r="AJ47" s="2"/>
      <c r="AK47" s="2"/>
      <c r="AL47" s="2"/>
      <c r="AM47" s="2"/>
      <c r="AN47" s="3"/>
    </row>
    <row r="48" spans="1:40" s="56" customFormat="1" ht="100.0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2"/>
      <c r="AF48" s="2"/>
      <c r="AG48" s="2"/>
      <c r="AH48" s="2"/>
      <c r="AI48" s="2"/>
      <c r="AJ48" s="2"/>
      <c r="AK48" s="2"/>
      <c r="AL48" s="2"/>
      <c r="AM48" s="2"/>
      <c r="AN48" s="3"/>
    </row>
    <row r="49" spans="1:40" s="56" customFormat="1" ht="100.0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2"/>
      <c r="AF49" s="2"/>
      <c r="AG49" s="2"/>
      <c r="AH49" s="2"/>
      <c r="AI49" s="2"/>
      <c r="AJ49" s="2"/>
      <c r="AK49" s="2"/>
      <c r="AL49" s="2"/>
      <c r="AM49" s="2"/>
      <c r="AN49" s="3"/>
    </row>
    <row r="50" spans="1:40" s="56" customFormat="1" ht="100.0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2"/>
      <c r="AF50" s="2"/>
      <c r="AG50" s="2"/>
      <c r="AH50" s="2"/>
      <c r="AI50" s="2"/>
      <c r="AJ50" s="2"/>
      <c r="AK50" s="2"/>
      <c r="AL50" s="2"/>
      <c r="AM50" s="2"/>
      <c r="AN50" s="3"/>
    </row>
    <row r="51" spans="1:40" s="56" customFormat="1" ht="100.0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2"/>
      <c r="AF51" s="2"/>
      <c r="AG51" s="2"/>
      <c r="AH51" s="2"/>
      <c r="AI51" s="2"/>
      <c r="AJ51" s="2"/>
      <c r="AK51" s="2"/>
      <c r="AL51" s="2"/>
      <c r="AM51" s="2"/>
      <c r="AN51" s="3"/>
    </row>
    <row r="52" spans="1:40" s="56" customFormat="1" ht="100.0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2"/>
      <c r="AF52" s="2"/>
      <c r="AG52" s="2"/>
      <c r="AH52" s="2"/>
      <c r="AI52" s="2"/>
      <c r="AJ52" s="2"/>
      <c r="AK52" s="2"/>
      <c r="AL52" s="2"/>
      <c r="AM52" s="2"/>
      <c r="AN52" s="3"/>
    </row>
  </sheetData>
  <mergeCells count="12">
    <mergeCell ref="A2:N2"/>
    <mergeCell ref="P2:AC2"/>
    <mergeCell ref="AE2:AM2"/>
    <mergeCell ref="T4:T6"/>
    <mergeCell ref="A14:N14"/>
    <mergeCell ref="P14:AC14"/>
    <mergeCell ref="AK1:AM1"/>
    <mergeCell ref="A1:C1"/>
    <mergeCell ref="K1:N1"/>
    <mergeCell ref="P1:R1"/>
    <mergeCell ref="Z1:AC1"/>
    <mergeCell ref="AE1:AG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21" orientation="landscape" horizontalDpi="1200" verticalDpi="120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85"/>
  <sheetViews>
    <sheetView zoomScale="25" zoomScaleNormal="25" workbookViewId="0">
      <selection activeCell="AB29" sqref="AB29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45965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45965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97" t="s">
        <v>267</v>
      </c>
      <c r="B4" s="62">
        <v>430</v>
      </c>
      <c r="C4" s="64">
        <v>0.5</v>
      </c>
      <c r="D4" s="62">
        <v>290</v>
      </c>
      <c r="E4" s="91" t="s">
        <v>269</v>
      </c>
      <c r="F4" s="62" t="s">
        <v>24</v>
      </c>
      <c r="G4" s="62" t="s">
        <v>24</v>
      </c>
      <c r="H4" s="64" t="s">
        <v>24</v>
      </c>
      <c r="I4" s="62" t="s">
        <v>24</v>
      </c>
      <c r="J4" s="62" t="s">
        <v>24</v>
      </c>
      <c r="K4" s="62" t="s">
        <v>86</v>
      </c>
      <c r="L4" s="66">
        <v>1300</v>
      </c>
      <c r="M4" s="67">
        <v>1200</v>
      </c>
      <c r="N4" s="66">
        <f>L4-M4</f>
        <v>100</v>
      </c>
      <c r="P4" s="62"/>
      <c r="Q4" s="62"/>
      <c r="R4" s="64"/>
      <c r="S4" s="62"/>
      <c r="T4" s="128" t="s">
        <v>327</v>
      </c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>
        <v>311025</v>
      </c>
      <c r="AF4" s="62">
        <v>304</v>
      </c>
      <c r="AG4" s="64"/>
      <c r="AH4" s="67"/>
      <c r="AI4" s="65" t="s">
        <v>331</v>
      </c>
      <c r="AJ4" s="78" t="s">
        <v>328</v>
      </c>
      <c r="AK4" s="66">
        <v>3200</v>
      </c>
      <c r="AL4" s="67"/>
      <c r="AM4" s="66">
        <f t="shared" ref="AM4:AM58" si="0">AK4-AL4</f>
        <v>3200</v>
      </c>
    </row>
    <row r="5" spans="1:39" s="76" customFormat="1" ht="100.05" customHeight="1" x14ac:dyDescent="0.3">
      <c r="A5" s="97">
        <v>250082</v>
      </c>
      <c r="B5" s="62">
        <v>430</v>
      </c>
      <c r="C5" s="64">
        <v>0.6</v>
      </c>
      <c r="D5" s="62">
        <v>653</v>
      </c>
      <c r="E5" s="91" t="s">
        <v>307</v>
      </c>
      <c r="F5" s="62" t="s">
        <v>181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79</v>
      </c>
      <c r="L5" s="66">
        <v>1000</v>
      </c>
      <c r="M5" s="67">
        <v>750</v>
      </c>
      <c r="N5" s="66">
        <f t="shared" ref="N5:N7" si="1">L5-M5</f>
        <v>250</v>
      </c>
      <c r="P5" s="62"/>
      <c r="Q5" s="62"/>
      <c r="R5" s="64"/>
      <c r="S5" s="62"/>
      <c r="T5" s="129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241025</v>
      </c>
      <c r="AF5" s="62">
        <v>304</v>
      </c>
      <c r="AG5" s="64"/>
      <c r="AH5" s="62"/>
      <c r="AI5" s="93" t="s">
        <v>329</v>
      </c>
      <c r="AJ5" s="78" t="s">
        <v>328</v>
      </c>
      <c r="AK5" s="66">
        <v>2000</v>
      </c>
      <c r="AL5" s="67"/>
      <c r="AM5" s="66">
        <f t="shared" si="0"/>
        <v>2000</v>
      </c>
    </row>
    <row r="6" spans="1:39" s="76" customFormat="1" ht="100.05" customHeight="1" x14ac:dyDescent="0.3">
      <c r="A6" s="97">
        <v>250081</v>
      </c>
      <c r="B6" s="62">
        <v>304</v>
      </c>
      <c r="C6" s="64">
        <v>0.6</v>
      </c>
      <c r="D6" s="62">
        <v>550</v>
      </c>
      <c r="E6" s="91" t="s">
        <v>308</v>
      </c>
      <c r="F6" s="62" t="s">
        <v>181</v>
      </c>
      <c r="G6" s="62">
        <v>430</v>
      </c>
      <c r="H6" s="64">
        <v>0.6</v>
      </c>
      <c r="I6" s="62" t="s">
        <v>24</v>
      </c>
      <c r="J6" s="62" t="s">
        <v>24</v>
      </c>
      <c r="K6" s="62" t="s">
        <v>86</v>
      </c>
      <c r="L6" s="66">
        <v>400</v>
      </c>
      <c r="M6" s="67"/>
      <c r="N6" s="66">
        <f t="shared" si="1"/>
        <v>400</v>
      </c>
      <c r="P6" s="62"/>
      <c r="Q6" s="62"/>
      <c r="R6" s="64"/>
      <c r="S6" s="62"/>
      <c r="T6" s="130"/>
      <c r="U6" s="62"/>
      <c r="V6" s="62"/>
      <c r="W6" s="64"/>
      <c r="X6" s="62"/>
      <c r="Y6" s="62"/>
      <c r="Z6" s="62"/>
      <c r="AA6" s="66"/>
      <c r="AB6" s="67"/>
      <c r="AC6" s="66">
        <f t="shared" ref="AC6:AC23" si="2">AA6-AB6</f>
        <v>0</v>
      </c>
      <c r="AE6" s="62">
        <v>241025</v>
      </c>
      <c r="AF6" s="62">
        <v>304</v>
      </c>
      <c r="AG6" s="64"/>
      <c r="AH6" s="62"/>
      <c r="AI6" s="93" t="s">
        <v>330</v>
      </c>
      <c r="AJ6" s="78" t="s">
        <v>328</v>
      </c>
      <c r="AK6" s="66">
        <v>2000</v>
      </c>
      <c r="AL6" s="67"/>
      <c r="AM6" s="66">
        <f t="shared" si="0"/>
        <v>2000</v>
      </c>
    </row>
    <row r="7" spans="1:39" s="76" customFormat="1" ht="100.05" customHeight="1" x14ac:dyDescent="0.3">
      <c r="A7" s="97">
        <v>250084</v>
      </c>
      <c r="B7" s="62">
        <v>304</v>
      </c>
      <c r="C7" s="64">
        <v>0.7</v>
      </c>
      <c r="D7" s="62">
        <v>577</v>
      </c>
      <c r="E7" s="91" t="s">
        <v>312</v>
      </c>
      <c r="F7" s="62" t="s">
        <v>181</v>
      </c>
      <c r="G7" s="62">
        <v>304</v>
      </c>
      <c r="H7" s="64">
        <v>0.6</v>
      </c>
      <c r="I7" s="62" t="s">
        <v>24</v>
      </c>
      <c r="J7" s="62" t="s">
        <v>24</v>
      </c>
      <c r="K7" s="62" t="s">
        <v>86</v>
      </c>
      <c r="L7" s="66">
        <v>715</v>
      </c>
      <c r="M7" s="67">
        <f>560+155</f>
        <v>715</v>
      </c>
      <c r="N7" s="66">
        <f t="shared" si="1"/>
        <v>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311025</v>
      </c>
      <c r="AF7" s="62">
        <v>304</v>
      </c>
      <c r="AG7" s="64"/>
      <c r="AH7" s="67"/>
      <c r="AI7" s="65" t="s">
        <v>332</v>
      </c>
      <c r="AJ7" s="78" t="s">
        <v>328</v>
      </c>
      <c r="AK7" s="66">
        <v>3200</v>
      </c>
      <c r="AL7" s="67"/>
      <c r="AM7" s="66">
        <f t="shared" si="0"/>
        <v>3200</v>
      </c>
    </row>
    <row r="8" spans="1:39" s="76" customFormat="1" ht="100.05" customHeight="1" x14ac:dyDescent="0.3">
      <c r="A8" s="97">
        <v>250084</v>
      </c>
      <c r="B8" s="62">
        <v>304</v>
      </c>
      <c r="C8" s="64">
        <v>1</v>
      </c>
      <c r="D8" s="62">
        <v>577</v>
      </c>
      <c r="E8" s="91" t="s">
        <v>313</v>
      </c>
      <c r="F8" s="62" t="s">
        <v>181</v>
      </c>
      <c r="G8" s="62">
        <v>304</v>
      </c>
      <c r="H8" s="64">
        <v>0.6</v>
      </c>
      <c r="I8" s="62" t="s">
        <v>24</v>
      </c>
      <c r="J8" s="62" t="s">
        <v>24</v>
      </c>
      <c r="K8" s="62" t="s">
        <v>86</v>
      </c>
      <c r="L8" s="66">
        <v>15</v>
      </c>
      <c r="M8" s="67">
        <v>15</v>
      </c>
      <c r="N8" s="66">
        <f>L8-M8</f>
        <v>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250059</v>
      </c>
      <c r="AF8" s="62">
        <v>304</v>
      </c>
      <c r="AG8" s="64"/>
      <c r="AH8" s="67"/>
      <c r="AI8" s="65" t="s">
        <v>379</v>
      </c>
      <c r="AJ8" s="78" t="s">
        <v>328</v>
      </c>
      <c r="AK8" s="66">
        <v>680</v>
      </c>
      <c r="AL8" s="67"/>
      <c r="AM8" s="66">
        <f t="shared" si="0"/>
        <v>680</v>
      </c>
    </row>
    <row r="9" spans="1:39" s="76" customFormat="1" ht="100.05" customHeight="1" x14ac:dyDescent="0.3">
      <c r="A9" s="97">
        <v>250058</v>
      </c>
      <c r="B9" s="62">
        <v>304</v>
      </c>
      <c r="C9" s="64">
        <v>0.7</v>
      </c>
      <c r="D9" s="62">
        <v>315</v>
      </c>
      <c r="E9" s="91" t="s">
        <v>334</v>
      </c>
      <c r="F9" s="62" t="s">
        <v>338</v>
      </c>
      <c r="G9" s="62">
        <v>304</v>
      </c>
      <c r="H9" s="64">
        <v>0.6</v>
      </c>
      <c r="I9" s="62">
        <v>111</v>
      </c>
      <c r="J9" s="62">
        <v>4</v>
      </c>
      <c r="K9" s="62" t="s">
        <v>335</v>
      </c>
      <c r="L9" s="66">
        <v>785</v>
      </c>
      <c r="M9" s="67"/>
      <c r="N9" s="66">
        <f t="shared" ref="N9:N20" si="3">L9-M9</f>
        <v>785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39" s="76" customFormat="1" ht="100.05" customHeight="1" x14ac:dyDescent="0.3">
      <c r="A10" s="97">
        <v>250058</v>
      </c>
      <c r="B10" s="62">
        <v>304</v>
      </c>
      <c r="C10" s="64" t="s">
        <v>337</v>
      </c>
      <c r="D10" s="62">
        <v>315</v>
      </c>
      <c r="E10" s="91" t="s">
        <v>336</v>
      </c>
      <c r="F10" s="62" t="s">
        <v>338</v>
      </c>
      <c r="G10" s="62">
        <v>304</v>
      </c>
      <c r="H10" s="64">
        <v>0.6</v>
      </c>
      <c r="I10" s="62">
        <v>111</v>
      </c>
      <c r="J10" s="62">
        <v>6</v>
      </c>
      <c r="K10" s="62" t="s">
        <v>335</v>
      </c>
      <c r="L10" s="66">
        <v>15</v>
      </c>
      <c r="M10" s="67"/>
      <c r="N10" s="66">
        <f t="shared" si="3"/>
        <v>15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39" s="76" customFormat="1" ht="100.05" customHeight="1" x14ac:dyDescent="0.3">
      <c r="A11" s="97">
        <v>250059</v>
      </c>
      <c r="B11" s="62">
        <v>304</v>
      </c>
      <c r="C11" s="64">
        <v>0.7</v>
      </c>
      <c r="D11" s="62">
        <v>315</v>
      </c>
      <c r="E11" s="91" t="s">
        <v>339</v>
      </c>
      <c r="F11" s="62" t="s">
        <v>338</v>
      </c>
      <c r="G11" s="62">
        <v>304</v>
      </c>
      <c r="H11" s="64">
        <v>0.6</v>
      </c>
      <c r="I11" s="62">
        <v>111</v>
      </c>
      <c r="J11" s="62">
        <v>4</v>
      </c>
      <c r="K11" s="62" t="s">
        <v>335</v>
      </c>
      <c r="L11" s="66">
        <v>660</v>
      </c>
      <c r="M11" s="67"/>
      <c r="N11" s="66">
        <f t="shared" si="3"/>
        <v>660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39" s="76" customFormat="1" ht="100.05" customHeight="1" x14ac:dyDescent="0.3">
      <c r="A12" s="97">
        <v>250059</v>
      </c>
      <c r="B12" s="62">
        <v>304</v>
      </c>
      <c r="C12" s="64" t="s">
        <v>337</v>
      </c>
      <c r="D12" s="62">
        <v>315</v>
      </c>
      <c r="E12" s="91" t="s">
        <v>340</v>
      </c>
      <c r="F12" s="62" t="s">
        <v>338</v>
      </c>
      <c r="G12" s="62">
        <v>304</v>
      </c>
      <c r="H12" s="64">
        <v>0.6</v>
      </c>
      <c r="I12" s="62">
        <v>111</v>
      </c>
      <c r="J12" s="62">
        <v>6</v>
      </c>
      <c r="K12" s="62" t="s">
        <v>335</v>
      </c>
      <c r="L12" s="66">
        <v>20</v>
      </c>
      <c r="M12" s="67"/>
      <c r="N12" s="66">
        <f t="shared" si="3"/>
        <v>20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39" s="76" customFormat="1" ht="100.05" customHeight="1" x14ac:dyDescent="0.3">
      <c r="A13" s="97">
        <v>250060</v>
      </c>
      <c r="B13" s="62">
        <v>304</v>
      </c>
      <c r="C13" s="64">
        <v>0.7</v>
      </c>
      <c r="D13" s="62">
        <v>315</v>
      </c>
      <c r="E13" s="91" t="s">
        <v>341</v>
      </c>
      <c r="F13" s="62" t="s">
        <v>338</v>
      </c>
      <c r="G13" s="62">
        <v>304</v>
      </c>
      <c r="H13" s="64">
        <v>0.6</v>
      </c>
      <c r="I13" s="62">
        <v>111</v>
      </c>
      <c r="J13" s="62">
        <v>4</v>
      </c>
      <c r="K13" s="62" t="s">
        <v>335</v>
      </c>
      <c r="L13" s="66">
        <v>665</v>
      </c>
      <c r="M13" s="67"/>
      <c r="N13" s="66">
        <f t="shared" si="3"/>
        <v>665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39" s="76" customFormat="1" ht="100.05" customHeight="1" x14ac:dyDescent="0.3">
      <c r="A14" s="97">
        <v>250060</v>
      </c>
      <c r="B14" s="62">
        <v>304</v>
      </c>
      <c r="C14" s="64" t="s">
        <v>337</v>
      </c>
      <c r="D14" s="62">
        <v>315</v>
      </c>
      <c r="E14" s="91" t="s">
        <v>342</v>
      </c>
      <c r="F14" s="62" t="s">
        <v>338</v>
      </c>
      <c r="G14" s="62">
        <v>304</v>
      </c>
      <c r="H14" s="64">
        <v>0.6</v>
      </c>
      <c r="I14" s="62">
        <v>111</v>
      </c>
      <c r="J14" s="62">
        <v>6</v>
      </c>
      <c r="K14" s="62" t="s">
        <v>335</v>
      </c>
      <c r="L14" s="66">
        <v>15</v>
      </c>
      <c r="M14" s="67"/>
      <c r="N14" s="66">
        <f t="shared" si="3"/>
        <v>15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00.05" customHeight="1" x14ac:dyDescent="0.3">
      <c r="A15" s="97">
        <v>250058</v>
      </c>
      <c r="B15" s="62">
        <v>304</v>
      </c>
      <c r="C15" s="64">
        <v>0.7</v>
      </c>
      <c r="D15" s="62">
        <v>500</v>
      </c>
      <c r="E15" s="91" t="s">
        <v>358</v>
      </c>
      <c r="F15" s="62" t="s">
        <v>181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86</v>
      </c>
      <c r="L15" s="66">
        <v>785</v>
      </c>
      <c r="M15" s="67"/>
      <c r="N15" s="66">
        <f t="shared" si="3"/>
        <v>785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97">
        <v>250058</v>
      </c>
      <c r="B16" s="62">
        <v>304</v>
      </c>
      <c r="C16" s="64" t="s">
        <v>337</v>
      </c>
      <c r="D16" s="62">
        <v>500</v>
      </c>
      <c r="E16" s="91" t="s">
        <v>359</v>
      </c>
      <c r="F16" s="62" t="s">
        <v>181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86</v>
      </c>
      <c r="L16" s="66">
        <v>15</v>
      </c>
      <c r="M16" s="67"/>
      <c r="N16" s="66">
        <f t="shared" si="3"/>
        <v>15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97">
        <v>250059</v>
      </c>
      <c r="B17" s="62">
        <v>304</v>
      </c>
      <c r="C17" s="64">
        <v>0.7</v>
      </c>
      <c r="D17" s="62">
        <v>500</v>
      </c>
      <c r="E17" s="91" t="s">
        <v>360</v>
      </c>
      <c r="F17" s="62" t="s">
        <v>181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86</v>
      </c>
      <c r="L17" s="66">
        <v>660</v>
      </c>
      <c r="M17" s="67"/>
      <c r="N17" s="66">
        <f t="shared" si="3"/>
        <v>660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97">
        <v>250059</v>
      </c>
      <c r="B18" s="62">
        <v>304</v>
      </c>
      <c r="C18" s="64" t="s">
        <v>337</v>
      </c>
      <c r="D18" s="62">
        <v>500</v>
      </c>
      <c r="E18" s="91" t="s">
        <v>361</v>
      </c>
      <c r="F18" s="62" t="s">
        <v>181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20</v>
      </c>
      <c r="M18" s="67"/>
      <c r="N18" s="66">
        <f t="shared" si="3"/>
        <v>20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97">
        <v>250060</v>
      </c>
      <c r="B19" s="62">
        <v>304</v>
      </c>
      <c r="C19" s="64">
        <v>0.8</v>
      </c>
      <c r="D19" s="62">
        <v>388</v>
      </c>
      <c r="E19" s="91" t="s">
        <v>374</v>
      </c>
      <c r="F19" s="62" t="s">
        <v>121</v>
      </c>
      <c r="G19" s="62">
        <v>304</v>
      </c>
      <c r="H19" s="64">
        <v>0.6</v>
      </c>
      <c r="I19" s="62" t="s">
        <v>24</v>
      </c>
      <c r="J19" s="62" t="s">
        <v>24</v>
      </c>
      <c r="K19" s="62" t="s">
        <v>86</v>
      </c>
      <c r="L19" s="66">
        <v>665</v>
      </c>
      <c r="M19" s="67">
        <v>500</v>
      </c>
      <c r="N19" s="66">
        <f t="shared" si="3"/>
        <v>165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>
        <f t="shared" si="2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97">
        <v>250060</v>
      </c>
      <c r="B20" s="62">
        <v>304</v>
      </c>
      <c r="C20" s="64" t="s">
        <v>337</v>
      </c>
      <c r="D20" s="62">
        <v>388</v>
      </c>
      <c r="E20" s="91" t="s">
        <v>375</v>
      </c>
      <c r="F20" s="62" t="s">
        <v>121</v>
      </c>
      <c r="G20" s="62">
        <v>304</v>
      </c>
      <c r="H20" s="64">
        <v>0.6</v>
      </c>
      <c r="I20" s="62" t="s">
        <v>24</v>
      </c>
      <c r="J20" s="62" t="s">
        <v>24</v>
      </c>
      <c r="K20" s="62" t="s">
        <v>86</v>
      </c>
      <c r="L20" s="66">
        <v>15</v>
      </c>
      <c r="M20" s="67"/>
      <c r="N20" s="66">
        <f t="shared" si="3"/>
        <v>15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6"/>
      <c r="AB20" s="67"/>
      <c r="AC20" s="66">
        <f t="shared" si="2"/>
        <v>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6" customFormat="1" ht="100.05" customHeight="1" x14ac:dyDescent="0.3">
      <c r="A21" s="97">
        <v>250060</v>
      </c>
      <c r="B21" s="62">
        <v>304</v>
      </c>
      <c r="C21" s="64">
        <v>0.8</v>
      </c>
      <c r="D21" s="62">
        <v>560</v>
      </c>
      <c r="E21" s="91" t="s">
        <v>376</v>
      </c>
      <c r="F21" s="62" t="s">
        <v>121</v>
      </c>
      <c r="G21" s="62">
        <v>304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665</v>
      </c>
      <c r="M21" s="67"/>
      <c r="N21" s="66">
        <f t="shared" ref="N21:N23" si="4">L21-M21</f>
        <v>665</v>
      </c>
      <c r="P21" s="62"/>
      <c r="Q21" s="62"/>
      <c r="R21" s="64"/>
      <c r="S21" s="62"/>
      <c r="T21" s="65"/>
      <c r="U21" s="62"/>
      <c r="V21" s="62"/>
      <c r="W21" s="64"/>
      <c r="X21" s="62"/>
      <c r="Y21" s="62"/>
      <c r="Z21" s="62"/>
      <c r="AA21" s="66"/>
      <c r="AB21" s="67"/>
      <c r="AC21" s="66">
        <f t="shared" si="2"/>
        <v>0</v>
      </c>
      <c r="AE21" s="62"/>
      <c r="AF21" s="62"/>
      <c r="AG21" s="64"/>
      <c r="AH21" s="62"/>
      <c r="AI21" s="93"/>
      <c r="AJ21" s="78"/>
      <c r="AK21" s="66"/>
      <c r="AL21" s="67"/>
      <c r="AM21" s="66">
        <f t="shared" si="0"/>
        <v>0</v>
      </c>
    </row>
    <row r="22" spans="1:40" s="76" customFormat="1" ht="100.05" customHeight="1" x14ac:dyDescent="0.3">
      <c r="A22" s="97">
        <v>250060</v>
      </c>
      <c r="B22" s="62">
        <v>304</v>
      </c>
      <c r="C22" s="64" t="s">
        <v>337</v>
      </c>
      <c r="D22" s="62">
        <v>560</v>
      </c>
      <c r="E22" s="91" t="s">
        <v>377</v>
      </c>
      <c r="F22" s="62" t="s">
        <v>121</v>
      </c>
      <c r="G22" s="62">
        <v>304</v>
      </c>
      <c r="H22" s="64">
        <v>0.6</v>
      </c>
      <c r="I22" s="62" t="s">
        <v>24</v>
      </c>
      <c r="J22" s="62" t="s">
        <v>24</v>
      </c>
      <c r="K22" s="62" t="s">
        <v>86</v>
      </c>
      <c r="L22" s="90">
        <v>15</v>
      </c>
      <c r="M22" s="67"/>
      <c r="N22" s="66">
        <f t="shared" si="4"/>
        <v>15</v>
      </c>
      <c r="P22" s="62"/>
      <c r="Q22" s="62"/>
      <c r="R22" s="64"/>
      <c r="S22" s="62"/>
      <c r="T22" s="65"/>
      <c r="U22" s="62"/>
      <c r="V22" s="62"/>
      <c r="W22" s="64"/>
      <c r="X22" s="62"/>
      <c r="Y22" s="62"/>
      <c r="Z22" s="62"/>
      <c r="AA22" s="66"/>
      <c r="AB22" s="67"/>
      <c r="AC22" s="66">
        <f t="shared" si="2"/>
        <v>0</v>
      </c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</row>
    <row r="23" spans="1:40" s="76" customFormat="1" ht="100.05" customHeight="1" x14ac:dyDescent="0.3">
      <c r="A23" s="97"/>
      <c r="B23" s="62"/>
      <c r="C23" s="64"/>
      <c r="D23" s="62"/>
      <c r="E23" s="65"/>
      <c r="F23" s="62"/>
      <c r="G23" s="62"/>
      <c r="H23" s="64"/>
      <c r="I23" s="62"/>
      <c r="J23" s="62"/>
      <c r="K23" s="62"/>
      <c r="L23" s="62"/>
      <c r="M23" s="67"/>
      <c r="N23" s="66">
        <f t="shared" si="4"/>
        <v>0</v>
      </c>
      <c r="P23" s="62"/>
      <c r="Q23" s="62"/>
      <c r="R23" s="64"/>
      <c r="S23" s="62"/>
      <c r="T23" s="65"/>
      <c r="U23" s="62"/>
      <c r="V23" s="62"/>
      <c r="W23" s="64"/>
      <c r="X23" s="62"/>
      <c r="Y23" s="62"/>
      <c r="Z23" s="62"/>
      <c r="AA23" s="62"/>
      <c r="AB23" s="67"/>
      <c r="AC23" s="66">
        <f t="shared" si="2"/>
        <v>0</v>
      </c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</row>
    <row r="24" spans="1:40" s="76" customFormat="1" ht="100.05" customHeight="1" x14ac:dyDescent="0.3">
      <c r="A24" s="68"/>
      <c r="B24" s="68"/>
      <c r="C24" s="69"/>
      <c r="D24" s="68"/>
      <c r="E24" s="70"/>
      <c r="F24" s="68"/>
      <c r="G24" s="68"/>
      <c r="H24" s="69"/>
      <c r="I24" s="68"/>
      <c r="J24" s="68"/>
      <c r="K24" s="68"/>
      <c r="L24" s="66">
        <f>SUM(L4:L23)</f>
        <v>8430</v>
      </c>
      <c r="M24" s="71">
        <f>SUM(M4:M23)</f>
        <v>3180</v>
      </c>
      <c r="N24" s="66">
        <f>SUM(N4:N23)</f>
        <v>5250</v>
      </c>
      <c r="P24" s="68"/>
      <c r="Q24" s="68"/>
      <c r="R24" s="69"/>
      <c r="S24" s="68"/>
      <c r="T24" s="70"/>
      <c r="U24" s="68"/>
      <c r="V24" s="68"/>
      <c r="W24" s="69"/>
      <c r="X24" s="68"/>
      <c r="Y24" s="68"/>
      <c r="Z24" s="68"/>
      <c r="AA24" s="66">
        <f>AA4+AA6+AA7+AA8+AA23</f>
        <v>0</v>
      </c>
      <c r="AB24" s="71">
        <f>SUM(AB4:AB23)</f>
        <v>0</v>
      </c>
      <c r="AC24" s="66">
        <f>SUM(AC4:AC23)</f>
        <v>0</v>
      </c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</row>
    <row r="25" spans="1:40" s="75" customFormat="1" ht="100.05" customHeight="1" x14ac:dyDescent="0.3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6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6"/>
    </row>
    <row r="26" spans="1:40" s="75" customFormat="1" ht="100.05" customHeight="1" x14ac:dyDescent="0.3">
      <c r="A26" s="109" t="s">
        <v>333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1"/>
      <c r="P26" s="109" t="s">
        <v>99</v>
      </c>
      <c r="Q26" s="110"/>
      <c r="R26" s="110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1"/>
      <c r="AD26" s="76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6"/>
    </row>
    <row r="27" spans="1:40" s="75" customFormat="1" ht="145.80000000000001" x14ac:dyDescent="0.3">
      <c r="A27" s="81" t="s">
        <v>0</v>
      </c>
      <c r="B27" s="81" t="s">
        <v>9</v>
      </c>
      <c r="C27" s="82" t="s">
        <v>11</v>
      </c>
      <c r="D27" s="81" t="s">
        <v>2</v>
      </c>
      <c r="E27" s="81" t="s">
        <v>1</v>
      </c>
      <c r="F27" s="81" t="s">
        <v>14</v>
      </c>
      <c r="G27" s="81" t="s">
        <v>8</v>
      </c>
      <c r="H27" s="82" t="s">
        <v>10</v>
      </c>
      <c r="I27" s="82" t="s">
        <v>12</v>
      </c>
      <c r="J27" s="82" t="s">
        <v>13</v>
      </c>
      <c r="K27" s="81" t="s">
        <v>3</v>
      </c>
      <c r="L27" s="81" t="s">
        <v>7</v>
      </c>
      <c r="M27" s="81" t="s">
        <v>5</v>
      </c>
      <c r="N27" s="81" t="s">
        <v>6</v>
      </c>
      <c r="P27" s="81" t="s">
        <v>0</v>
      </c>
      <c r="Q27" s="81" t="s">
        <v>9</v>
      </c>
      <c r="R27" s="82" t="s">
        <v>11</v>
      </c>
      <c r="S27" s="81" t="s">
        <v>2</v>
      </c>
      <c r="T27" s="81" t="s">
        <v>1</v>
      </c>
      <c r="U27" s="81" t="s">
        <v>14</v>
      </c>
      <c r="V27" s="81" t="s">
        <v>8</v>
      </c>
      <c r="W27" s="82" t="s">
        <v>10</v>
      </c>
      <c r="X27" s="82" t="s">
        <v>12</v>
      </c>
      <c r="Y27" s="82" t="s">
        <v>13</v>
      </c>
      <c r="Z27" s="81" t="s">
        <v>3</v>
      </c>
      <c r="AA27" s="81" t="s">
        <v>7</v>
      </c>
      <c r="AB27" s="81" t="s">
        <v>5</v>
      </c>
      <c r="AC27" s="81" t="s">
        <v>6</v>
      </c>
      <c r="AD27" s="76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6"/>
    </row>
    <row r="28" spans="1:40" s="76" customFormat="1" ht="100.05" customHeight="1" x14ac:dyDescent="0.3">
      <c r="A28" s="97">
        <v>250081</v>
      </c>
      <c r="B28" s="97">
        <v>304</v>
      </c>
      <c r="C28" s="64">
        <v>0.6</v>
      </c>
      <c r="D28" s="62">
        <v>467</v>
      </c>
      <c r="E28" s="91" t="s">
        <v>310</v>
      </c>
      <c r="F28" s="62" t="s">
        <v>181</v>
      </c>
      <c r="G28" s="62">
        <v>430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500</v>
      </c>
      <c r="M28" s="67"/>
      <c r="N28" s="66">
        <f t="shared" ref="N28" si="5">L28-M28</f>
        <v>500</v>
      </c>
      <c r="P28" s="62">
        <v>311025</v>
      </c>
      <c r="Q28" s="62">
        <v>304</v>
      </c>
      <c r="R28" s="64">
        <v>0.9</v>
      </c>
      <c r="S28" s="62">
        <v>327</v>
      </c>
      <c r="T28" s="93" t="s">
        <v>325</v>
      </c>
      <c r="U28" s="62" t="s">
        <v>42</v>
      </c>
      <c r="V28" s="62">
        <v>430</v>
      </c>
      <c r="W28" s="64">
        <v>0.5</v>
      </c>
      <c r="X28" s="62" t="s">
        <v>24</v>
      </c>
      <c r="Y28" s="62" t="s">
        <v>24</v>
      </c>
      <c r="Z28" s="62" t="s">
        <v>74</v>
      </c>
      <c r="AA28" s="66">
        <v>3200</v>
      </c>
      <c r="AB28" s="67">
        <f>700+2000</f>
        <v>2700</v>
      </c>
      <c r="AC28" s="66">
        <f t="shared" ref="AC28:AC58" si="6">AA28-AB28</f>
        <v>500</v>
      </c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</row>
    <row r="29" spans="1:40" s="76" customFormat="1" ht="100.05" customHeight="1" x14ac:dyDescent="0.3">
      <c r="A29" s="97" t="s">
        <v>300</v>
      </c>
      <c r="B29" s="97">
        <v>304</v>
      </c>
      <c r="C29" s="64">
        <v>0.7</v>
      </c>
      <c r="D29" s="62">
        <v>289</v>
      </c>
      <c r="E29" s="91" t="s">
        <v>303</v>
      </c>
      <c r="F29" s="62" t="s">
        <v>121</v>
      </c>
      <c r="G29" s="62">
        <v>430</v>
      </c>
      <c r="H29" s="64">
        <v>0.6</v>
      </c>
      <c r="I29" s="62" t="s">
        <v>24</v>
      </c>
      <c r="J29" s="62" t="s">
        <v>24</v>
      </c>
      <c r="K29" s="62" t="s">
        <v>86</v>
      </c>
      <c r="L29" s="66">
        <v>1000</v>
      </c>
      <c r="M29" s="67"/>
      <c r="N29" s="66">
        <f>L29-M29</f>
        <v>1000</v>
      </c>
      <c r="P29" s="62">
        <v>311025</v>
      </c>
      <c r="Q29" s="62">
        <v>304</v>
      </c>
      <c r="R29" s="64">
        <v>0.9</v>
      </c>
      <c r="S29" s="62">
        <v>369</v>
      </c>
      <c r="T29" s="93" t="s">
        <v>326</v>
      </c>
      <c r="U29" s="62" t="s">
        <v>42</v>
      </c>
      <c r="V29" s="62">
        <v>430</v>
      </c>
      <c r="W29" s="64">
        <v>0.5</v>
      </c>
      <c r="X29" s="62" t="s">
        <v>24</v>
      </c>
      <c r="Y29" s="62" t="s">
        <v>24</v>
      </c>
      <c r="Z29" s="62" t="s">
        <v>74</v>
      </c>
      <c r="AA29" s="66">
        <v>500</v>
      </c>
      <c r="AB29" s="67"/>
      <c r="AC29" s="66">
        <f t="shared" si="6"/>
        <v>500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7">
        <v>250060</v>
      </c>
      <c r="B30" s="97">
        <v>304</v>
      </c>
      <c r="C30" s="64">
        <v>0.8</v>
      </c>
      <c r="D30" s="62">
        <v>289</v>
      </c>
      <c r="E30" s="91" t="s">
        <v>343</v>
      </c>
      <c r="F30" s="62" t="s">
        <v>121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665</v>
      </c>
      <c r="M30" s="67"/>
      <c r="N30" s="66">
        <f>L30-M30</f>
        <v>665</v>
      </c>
      <c r="P30" s="62">
        <v>250059</v>
      </c>
      <c r="Q30" s="62">
        <v>304</v>
      </c>
      <c r="R30" s="64">
        <v>0.9</v>
      </c>
      <c r="S30" s="62">
        <v>290</v>
      </c>
      <c r="T30" s="93" t="s">
        <v>378</v>
      </c>
      <c r="U30" s="62" t="s">
        <v>42</v>
      </c>
      <c r="V30" s="62">
        <v>304</v>
      </c>
      <c r="W30" s="64">
        <v>0.5</v>
      </c>
      <c r="X30" s="62" t="s">
        <v>24</v>
      </c>
      <c r="Y30" s="62" t="s">
        <v>24</v>
      </c>
      <c r="Z30" s="62" t="s">
        <v>74</v>
      </c>
      <c r="AA30" s="66">
        <v>680</v>
      </c>
      <c r="AB30" s="67"/>
      <c r="AC30" s="66">
        <f t="shared" si="6"/>
        <v>680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97">
        <v>250060</v>
      </c>
      <c r="B31" s="97">
        <v>304</v>
      </c>
      <c r="C31" s="64" t="s">
        <v>337</v>
      </c>
      <c r="D31" s="62">
        <v>289</v>
      </c>
      <c r="E31" s="91" t="s">
        <v>344</v>
      </c>
      <c r="F31" s="62" t="s">
        <v>121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15</v>
      </c>
      <c r="M31" s="67"/>
      <c r="N31" s="66">
        <f>L31-M31</f>
        <v>15</v>
      </c>
      <c r="P31" s="62"/>
      <c r="Q31" s="62"/>
      <c r="R31" s="64"/>
      <c r="S31" s="62"/>
      <c r="T31" s="93"/>
      <c r="U31" s="62"/>
      <c r="V31" s="62"/>
      <c r="W31" s="64"/>
      <c r="X31" s="62"/>
      <c r="Y31" s="62"/>
      <c r="Z31" s="62"/>
      <c r="AA31" s="66"/>
      <c r="AB31" s="67"/>
      <c r="AC31" s="66">
        <f t="shared" si="6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99.6" customHeight="1" x14ac:dyDescent="0.3">
      <c r="A32" s="97" t="s">
        <v>300</v>
      </c>
      <c r="B32" s="97">
        <v>304</v>
      </c>
      <c r="C32" s="64">
        <v>0.7</v>
      </c>
      <c r="D32" s="62">
        <v>265</v>
      </c>
      <c r="E32" s="91" t="s">
        <v>304</v>
      </c>
      <c r="F32" s="62" t="s">
        <v>121</v>
      </c>
      <c r="G32" s="62">
        <v>430</v>
      </c>
      <c r="H32" s="64">
        <v>0.6</v>
      </c>
      <c r="I32" s="62" t="s">
        <v>24</v>
      </c>
      <c r="J32" s="62" t="s">
        <v>24</v>
      </c>
      <c r="K32" s="62" t="s">
        <v>86</v>
      </c>
      <c r="L32" s="66">
        <v>1000</v>
      </c>
      <c r="M32" s="67">
        <f>200+800</f>
        <v>1000</v>
      </c>
      <c r="N32" s="90">
        <f t="shared" ref="N32:N58" si="7">L32-M32</f>
        <v>0</v>
      </c>
      <c r="P32" s="62"/>
      <c r="Q32" s="62"/>
      <c r="R32" s="64"/>
      <c r="S32" s="62"/>
      <c r="T32" s="93"/>
      <c r="U32" s="62"/>
      <c r="V32" s="62"/>
      <c r="W32" s="64"/>
      <c r="X32" s="62"/>
      <c r="Y32" s="62"/>
      <c r="Z32" s="62"/>
      <c r="AA32" s="66"/>
      <c r="AB32" s="67"/>
      <c r="AC32" s="66">
        <f t="shared" si="6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97">
        <v>250058</v>
      </c>
      <c r="B33" s="97">
        <v>304</v>
      </c>
      <c r="C33" s="64">
        <v>0.7</v>
      </c>
      <c r="D33" s="62">
        <v>427</v>
      </c>
      <c r="E33" s="91" t="s">
        <v>345</v>
      </c>
      <c r="F33" s="62" t="s">
        <v>181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785</v>
      </c>
      <c r="M33" s="67">
        <v>500</v>
      </c>
      <c r="N33" s="66">
        <f t="shared" si="7"/>
        <v>285</v>
      </c>
      <c r="P33" s="62"/>
      <c r="Q33" s="62"/>
      <c r="R33" s="64"/>
      <c r="S33" s="62"/>
      <c r="T33" s="93"/>
      <c r="U33" s="62"/>
      <c r="V33" s="62"/>
      <c r="W33" s="64"/>
      <c r="X33" s="62"/>
      <c r="Y33" s="62"/>
      <c r="Z33" s="62"/>
      <c r="AA33" s="66"/>
      <c r="AB33" s="67"/>
      <c r="AC33" s="66">
        <f t="shared" si="6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97">
        <v>250058</v>
      </c>
      <c r="B34" s="97">
        <v>304</v>
      </c>
      <c r="C34" s="64" t="s">
        <v>337</v>
      </c>
      <c r="D34" s="62">
        <v>427</v>
      </c>
      <c r="E34" s="91" t="s">
        <v>346</v>
      </c>
      <c r="F34" s="62" t="s">
        <v>181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86</v>
      </c>
      <c r="L34" s="66">
        <v>15</v>
      </c>
      <c r="M34" s="67"/>
      <c r="N34" s="66">
        <f t="shared" si="7"/>
        <v>15</v>
      </c>
      <c r="P34" s="62"/>
      <c r="Q34" s="62"/>
      <c r="R34" s="64"/>
      <c r="S34" s="62"/>
      <c r="T34" s="93"/>
      <c r="U34" s="62"/>
      <c r="V34" s="62"/>
      <c r="W34" s="64"/>
      <c r="X34" s="62"/>
      <c r="Y34" s="62"/>
      <c r="Z34" s="62"/>
      <c r="AA34" s="66"/>
      <c r="AB34" s="67"/>
      <c r="AC34" s="66">
        <f t="shared" si="6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97">
        <v>250058</v>
      </c>
      <c r="B35" s="97">
        <v>304</v>
      </c>
      <c r="C35" s="64">
        <v>0.7</v>
      </c>
      <c r="D35" s="62">
        <v>362</v>
      </c>
      <c r="E35" s="91" t="s">
        <v>347</v>
      </c>
      <c r="F35" s="62" t="s">
        <v>181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86</v>
      </c>
      <c r="L35" s="66">
        <v>785</v>
      </c>
      <c r="M35" s="67"/>
      <c r="N35" s="66">
        <f t="shared" si="7"/>
        <v>785</v>
      </c>
      <c r="P35" s="62"/>
      <c r="Q35" s="62"/>
      <c r="R35" s="64"/>
      <c r="S35" s="62"/>
      <c r="T35" s="93"/>
      <c r="U35" s="62"/>
      <c r="V35" s="62"/>
      <c r="W35" s="64"/>
      <c r="X35" s="62"/>
      <c r="Y35" s="62"/>
      <c r="Z35" s="62"/>
      <c r="AA35" s="66"/>
      <c r="AB35" s="67"/>
      <c r="AC35" s="66">
        <f t="shared" si="6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97">
        <v>250058</v>
      </c>
      <c r="B36" s="97">
        <v>304</v>
      </c>
      <c r="C36" s="64" t="s">
        <v>337</v>
      </c>
      <c r="D36" s="62">
        <v>362</v>
      </c>
      <c r="E36" s="91" t="s">
        <v>348</v>
      </c>
      <c r="F36" s="62" t="s">
        <v>181</v>
      </c>
      <c r="G36" s="62">
        <v>304</v>
      </c>
      <c r="H36" s="64">
        <v>0.6</v>
      </c>
      <c r="I36" s="62" t="s">
        <v>24</v>
      </c>
      <c r="J36" s="62" t="s">
        <v>24</v>
      </c>
      <c r="K36" s="62" t="s">
        <v>86</v>
      </c>
      <c r="L36" s="66">
        <v>15</v>
      </c>
      <c r="M36" s="67"/>
      <c r="N36" s="66">
        <f t="shared" si="7"/>
        <v>15</v>
      </c>
      <c r="P36" s="62"/>
      <c r="Q36" s="62"/>
      <c r="R36" s="64"/>
      <c r="S36" s="62"/>
      <c r="T36" s="93"/>
      <c r="U36" s="62"/>
      <c r="V36" s="62"/>
      <c r="W36" s="64"/>
      <c r="X36" s="62"/>
      <c r="Y36" s="62"/>
      <c r="Z36" s="62"/>
      <c r="AA36" s="66"/>
      <c r="AB36" s="67"/>
      <c r="AC36" s="66">
        <f t="shared" si="6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97">
        <v>250059</v>
      </c>
      <c r="B37" s="97">
        <v>304</v>
      </c>
      <c r="C37" s="64">
        <v>0.7</v>
      </c>
      <c r="D37" s="62">
        <v>433</v>
      </c>
      <c r="E37" s="91" t="s">
        <v>350</v>
      </c>
      <c r="F37" s="62" t="s">
        <v>121</v>
      </c>
      <c r="G37" s="62">
        <v>304</v>
      </c>
      <c r="H37" s="64">
        <v>0.6</v>
      </c>
      <c r="I37" s="62" t="s">
        <v>24</v>
      </c>
      <c r="J37" s="62" t="s">
        <v>24</v>
      </c>
      <c r="K37" s="62" t="s">
        <v>86</v>
      </c>
      <c r="L37" s="66">
        <v>660</v>
      </c>
      <c r="M37" s="67"/>
      <c r="N37" s="66">
        <f t="shared" si="7"/>
        <v>660</v>
      </c>
      <c r="P37" s="62"/>
      <c r="Q37" s="62"/>
      <c r="R37" s="64"/>
      <c r="S37" s="62"/>
      <c r="T37" s="93"/>
      <c r="U37" s="62"/>
      <c r="V37" s="62"/>
      <c r="W37" s="64"/>
      <c r="X37" s="62"/>
      <c r="Y37" s="62"/>
      <c r="Z37" s="62"/>
      <c r="AA37" s="66"/>
      <c r="AB37" s="67"/>
      <c r="AC37" s="66">
        <f t="shared" si="6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97">
        <v>250059</v>
      </c>
      <c r="B38" s="97">
        <v>304</v>
      </c>
      <c r="C38" s="64" t="s">
        <v>337</v>
      </c>
      <c r="D38" s="62">
        <v>433</v>
      </c>
      <c r="E38" s="91" t="s">
        <v>351</v>
      </c>
      <c r="F38" s="62" t="s">
        <v>121</v>
      </c>
      <c r="G38" s="62">
        <v>304</v>
      </c>
      <c r="H38" s="64">
        <v>0.6</v>
      </c>
      <c r="I38" s="62" t="s">
        <v>24</v>
      </c>
      <c r="J38" s="62" t="s">
        <v>24</v>
      </c>
      <c r="K38" s="62" t="s">
        <v>86</v>
      </c>
      <c r="L38" s="66">
        <v>20</v>
      </c>
      <c r="M38" s="67"/>
      <c r="N38" s="66">
        <f t="shared" si="7"/>
        <v>20</v>
      </c>
      <c r="P38" s="62"/>
      <c r="Q38" s="62"/>
      <c r="R38" s="64"/>
      <c r="S38" s="62"/>
      <c r="T38" s="93"/>
      <c r="U38" s="62"/>
      <c r="V38" s="62"/>
      <c r="W38" s="64"/>
      <c r="X38" s="62"/>
      <c r="Y38" s="62"/>
      <c r="Z38" s="62"/>
      <c r="AA38" s="66"/>
      <c r="AB38" s="67"/>
      <c r="AC38" s="66">
        <f t="shared" si="6"/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>
        <f t="shared" si="0"/>
        <v>0</v>
      </c>
      <c r="AN38" s="75"/>
    </row>
    <row r="39" spans="1:40" s="76" customFormat="1" ht="100.05" customHeight="1" x14ac:dyDescent="0.3">
      <c r="A39" s="97">
        <v>250060</v>
      </c>
      <c r="B39" s="97">
        <v>304</v>
      </c>
      <c r="C39" s="64">
        <v>0.8</v>
      </c>
      <c r="D39" s="62">
        <v>433</v>
      </c>
      <c r="E39" s="91" t="s">
        <v>352</v>
      </c>
      <c r="F39" s="62" t="s">
        <v>121</v>
      </c>
      <c r="G39" s="62">
        <v>304</v>
      </c>
      <c r="H39" s="64">
        <v>0.6</v>
      </c>
      <c r="I39" s="62" t="s">
        <v>24</v>
      </c>
      <c r="J39" s="62" t="s">
        <v>24</v>
      </c>
      <c r="K39" s="62" t="s">
        <v>86</v>
      </c>
      <c r="L39" s="66">
        <v>665</v>
      </c>
      <c r="M39" s="67"/>
      <c r="N39" s="66">
        <f t="shared" si="7"/>
        <v>665</v>
      </c>
      <c r="P39" s="62"/>
      <c r="Q39" s="62"/>
      <c r="R39" s="64"/>
      <c r="S39" s="62"/>
      <c r="T39" s="93"/>
      <c r="U39" s="62"/>
      <c r="V39" s="62"/>
      <c r="W39" s="64"/>
      <c r="X39" s="62"/>
      <c r="Y39" s="62"/>
      <c r="Z39" s="62"/>
      <c r="AA39" s="66"/>
      <c r="AB39" s="67"/>
      <c r="AC39" s="66">
        <f t="shared" si="6"/>
        <v>0</v>
      </c>
      <c r="AD39" s="75"/>
      <c r="AE39" s="62"/>
      <c r="AF39" s="62"/>
      <c r="AG39" s="64"/>
      <c r="AH39" s="67"/>
      <c r="AI39" s="65"/>
      <c r="AJ39" s="78"/>
      <c r="AK39" s="66"/>
      <c r="AL39" s="67"/>
      <c r="AM39" s="66">
        <f t="shared" si="0"/>
        <v>0</v>
      </c>
      <c r="AN39" s="75"/>
    </row>
    <row r="40" spans="1:40" s="76" customFormat="1" ht="100.05" customHeight="1" x14ac:dyDescent="0.3">
      <c r="A40" s="97">
        <v>250060</v>
      </c>
      <c r="B40" s="97">
        <v>304</v>
      </c>
      <c r="C40" s="64" t="s">
        <v>354</v>
      </c>
      <c r="D40" s="62">
        <v>433</v>
      </c>
      <c r="E40" s="91" t="s">
        <v>355</v>
      </c>
      <c r="F40" s="62" t="s">
        <v>121</v>
      </c>
      <c r="G40" s="62">
        <v>304</v>
      </c>
      <c r="H40" s="64">
        <v>0.6</v>
      </c>
      <c r="I40" s="62" t="s">
        <v>24</v>
      </c>
      <c r="J40" s="62" t="s">
        <v>24</v>
      </c>
      <c r="K40" s="62" t="s">
        <v>86</v>
      </c>
      <c r="L40" s="66">
        <v>15</v>
      </c>
      <c r="M40" s="67"/>
      <c r="N40" s="66">
        <f t="shared" si="7"/>
        <v>15</v>
      </c>
      <c r="P40" s="62"/>
      <c r="Q40" s="62"/>
      <c r="R40" s="64"/>
      <c r="S40" s="62"/>
      <c r="T40" s="93"/>
      <c r="U40" s="62"/>
      <c r="V40" s="62"/>
      <c r="W40" s="64"/>
      <c r="X40" s="62"/>
      <c r="Y40" s="62"/>
      <c r="Z40" s="62"/>
      <c r="AA40" s="66"/>
      <c r="AB40" s="67"/>
      <c r="AC40" s="66">
        <f t="shared" si="6"/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100.05" customHeight="1" x14ac:dyDescent="0.3">
      <c r="A41" s="97">
        <v>250059</v>
      </c>
      <c r="B41" s="97">
        <v>304</v>
      </c>
      <c r="C41" s="64">
        <v>0.7</v>
      </c>
      <c r="D41" s="62">
        <v>323</v>
      </c>
      <c r="E41" s="91" t="s">
        <v>349</v>
      </c>
      <c r="F41" s="62" t="s">
        <v>121</v>
      </c>
      <c r="G41" s="62">
        <v>304</v>
      </c>
      <c r="H41" s="64">
        <v>0.6</v>
      </c>
      <c r="I41" s="62" t="s">
        <v>24</v>
      </c>
      <c r="J41" s="62" t="s">
        <v>24</v>
      </c>
      <c r="K41" s="62" t="s">
        <v>86</v>
      </c>
      <c r="L41" s="66">
        <v>660</v>
      </c>
      <c r="M41" s="67"/>
      <c r="N41" s="66">
        <f t="shared" si="7"/>
        <v>660</v>
      </c>
      <c r="P41" s="62"/>
      <c r="Q41" s="62"/>
      <c r="R41" s="64"/>
      <c r="S41" s="62"/>
      <c r="T41" s="93"/>
      <c r="U41" s="62"/>
      <c r="V41" s="62"/>
      <c r="W41" s="64"/>
      <c r="X41" s="62"/>
      <c r="Y41" s="62"/>
      <c r="Z41" s="62"/>
      <c r="AA41" s="66"/>
      <c r="AB41" s="67"/>
      <c r="AC41" s="66">
        <f t="shared" si="6"/>
        <v>0</v>
      </c>
      <c r="AD41" s="75"/>
      <c r="AE41" s="62"/>
      <c r="AF41" s="62"/>
      <c r="AG41" s="64"/>
      <c r="AH41" s="67"/>
      <c r="AI41" s="65"/>
      <c r="AJ41" s="78"/>
      <c r="AK41" s="66"/>
      <c r="AL41" s="67"/>
      <c r="AM41" s="66">
        <f t="shared" si="0"/>
        <v>0</v>
      </c>
      <c r="AN41" s="75"/>
    </row>
    <row r="42" spans="1:40" s="76" customFormat="1" ht="100.05" customHeight="1" x14ac:dyDescent="0.3">
      <c r="A42" s="97">
        <v>250059</v>
      </c>
      <c r="B42" s="97">
        <v>304</v>
      </c>
      <c r="C42" s="64" t="s">
        <v>337</v>
      </c>
      <c r="D42" s="62">
        <v>323</v>
      </c>
      <c r="E42" s="91" t="s">
        <v>353</v>
      </c>
      <c r="F42" s="62" t="s">
        <v>121</v>
      </c>
      <c r="G42" s="62">
        <v>304</v>
      </c>
      <c r="H42" s="64">
        <v>0.6</v>
      </c>
      <c r="I42" s="62" t="s">
        <v>24</v>
      </c>
      <c r="J42" s="62" t="s">
        <v>24</v>
      </c>
      <c r="K42" s="62" t="s">
        <v>86</v>
      </c>
      <c r="L42" s="66">
        <v>20</v>
      </c>
      <c r="M42" s="67"/>
      <c r="N42" s="66">
        <f t="shared" si="7"/>
        <v>20</v>
      </c>
      <c r="P42" s="62"/>
      <c r="Q42" s="62"/>
      <c r="R42" s="64"/>
      <c r="S42" s="62"/>
      <c r="T42" s="93"/>
      <c r="U42" s="62"/>
      <c r="V42" s="62"/>
      <c r="W42" s="64"/>
      <c r="X42" s="62"/>
      <c r="Y42" s="62"/>
      <c r="Z42" s="62"/>
      <c r="AA42" s="66"/>
      <c r="AB42" s="67"/>
      <c r="AC42" s="66">
        <f t="shared" si="6"/>
        <v>0</v>
      </c>
      <c r="AD42" s="75"/>
      <c r="AE42" s="62"/>
      <c r="AF42" s="62"/>
      <c r="AG42" s="64"/>
      <c r="AH42" s="67"/>
      <c r="AI42" s="65"/>
      <c r="AJ42" s="78"/>
      <c r="AK42" s="66"/>
      <c r="AL42" s="67"/>
      <c r="AM42" s="66">
        <f t="shared" si="0"/>
        <v>0</v>
      </c>
      <c r="AN42" s="75"/>
    </row>
    <row r="43" spans="1:40" s="76" customFormat="1" ht="100.05" customHeight="1" x14ac:dyDescent="0.3">
      <c r="A43" s="97">
        <v>250060</v>
      </c>
      <c r="B43" s="97">
        <v>304</v>
      </c>
      <c r="C43" s="64">
        <v>0.8</v>
      </c>
      <c r="D43" s="62">
        <v>323</v>
      </c>
      <c r="E43" s="91" t="s">
        <v>356</v>
      </c>
      <c r="F43" s="62" t="s">
        <v>121</v>
      </c>
      <c r="G43" s="62">
        <v>304</v>
      </c>
      <c r="H43" s="64">
        <v>0.6</v>
      </c>
      <c r="I43" s="62" t="s">
        <v>24</v>
      </c>
      <c r="J43" s="62" t="s">
        <v>24</v>
      </c>
      <c r="K43" s="62" t="s">
        <v>86</v>
      </c>
      <c r="L43" s="66">
        <v>665</v>
      </c>
      <c r="M43" s="67"/>
      <c r="N43" s="66">
        <f t="shared" si="7"/>
        <v>665</v>
      </c>
      <c r="P43" s="62"/>
      <c r="Q43" s="62"/>
      <c r="R43" s="64"/>
      <c r="S43" s="62"/>
      <c r="T43" s="93"/>
      <c r="U43" s="62"/>
      <c r="V43" s="62"/>
      <c r="W43" s="64"/>
      <c r="X43" s="62"/>
      <c r="Y43" s="62"/>
      <c r="Z43" s="62"/>
      <c r="AA43" s="66"/>
      <c r="AB43" s="67"/>
      <c r="AC43" s="66">
        <f t="shared" si="6"/>
        <v>0</v>
      </c>
      <c r="AD43" s="75"/>
      <c r="AE43" s="62"/>
      <c r="AF43" s="62"/>
      <c r="AG43" s="64"/>
      <c r="AH43" s="67"/>
      <c r="AI43" s="65"/>
      <c r="AJ43" s="78"/>
      <c r="AK43" s="66"/>
      <c r="AL43" s="67"/>
      <c r="AM43" s="66">
        <f t="shared" si="0"/>
        <v>0</v>
      </c>
      <c r="AN43" s="75"/>
    </row>
    <row r="44" spans="1:40" s="76" customFormat="1" ht="100.05" customHeight="1" x14ac:dyDescent="0.3">
      <c r="A44" s="97">
        <v>250060</v>
      </c>
      <c r="B44" s="97">
        <v>304</v>
      </c>
      <c r="C44" s="64" t="s">
        <v>337</v>
      </c>
      <c r="D44" s="62">
        <v>323</v>
      </c>
      <c r="E44" s="91" t="s">
        <v>357</v>
      </c>
      <c r="F44" s="62" t="s">
        <v>121</v>
      </c>
      <c r="G44" s="62">
        <v>304</v>
      </c>
      <c r="H44" s="64">
        <v>0.6</v>
      </c>
      <c r="I44" s="62" t="s">
        <v>24</v>
      </c>
      <c r="J44" s="62" t="s">
        <v>24</v>
      </c>
      <c r="K44" s="62" t="s">
        <v>86</v>
      </c>
      <c r="L44" s="66">
        <v>15</v>
      </c>
      <c r="M44" s="67"/>
      <c r="N44" s="66">
        <f t="shared" si="7"/>
        <v>15</v>
      </c>
      <c r="P44" s="62"/>
      <c r="Q44" s="62"/>
      <c r="R44" s="64"/>
      <c r="S44" s="62"/>
      <c r="T44" s="93"/>
      <c r="U44" s="62"/>
      <c r="V44" s="62"/>
      <c r="W44" s="64"/>
      <c r="X44" s="62"/>
      <c r="Y44" s="62"/>
      <c r="Z44" s="62"/>
      <c r="AA44" s="66"/>
      <c r="AB44" s="67"/>
      <c r="AC44" s="66">
        <f t="shared" si="6"/>
        <v>0</v>
      </c>
      <c r="AD44" s="75"/>
      <c r="AE44" s="62"/>
      <c r="AF44" s="62"/>
      <c r="AG44" s="64"/>
      <c r="AH44" s="67"/>
      <c r="AI44" s="65"/>
      <c r="AJ44" s="78"/>
      <c r="AK44" s="66"/>
      <c r="AL44" s="67"/>
      <c r="AM44" s="66">
        <f t="shared" si="0"/>
        <v>0</v>
      </c>
      <c r="AN44" s="75"/>
    </row>
    <row r="45" spans="1:40" s="76" customFormat="1" ht="100.05" customHeight="1" x14ac:dyDescent="0.3">
      <c r="A45" s="97">
        <v>250058</v>
      </c>
      <c r="B45" s="97">
        <v>304</v>
      </c>
      <c r="C45" s="64">
        <v>0.7</v>
      </c>
      <c r="D45" s="62">
        <v>350</v>
      </c>
      <c r="E45" s="91" t="s">
        <v>362</v>
      </c>
      <c r="F45" s="62" t="s">
        <v>181</v>
      </c>
      <c r="G45" s="62">
        <v>304</v>
      </c>
      <c r="H45" s="64">
        <v>0.6</v>
      </c>
      <c r="I45" s="62" t="s">
        <v>24</v>
      </c>
      <c r="J45" s="62" t="s">
        <v>24</v>
      </c>
      <c r="K45" s="62" t="s">
        <v>86</v>
      </c>
      <c r="L45" s="66">
        <v>785</v>
      </c>
      <c r="M45" s="67"/>
      <c r="N45" s="66">
        <f t="shared" si="7"/>
        <v>785</v>
      </c>
      <c r="P45" s="62"/>
      <c r="Q45" s="62"/>
      <c r="R45" s="64"/>
      <c r="S45" s="62"/>
      <c r="T45" s="93"/>
      <c r="U45" s="62"/>
      <c r="V45" s="62"/>
      <c r="W45" s="64"/>
      <c r="X45" s="62"/>
      <c r="Y45" s="62"/>
      <c r="Z45" s="62"/>
      <c r="AA45" s="66"/>
      <c r="AB45" s="67"/>
      <c r="AC45" s="66">
        <f t="shared" si="6"/>
        <v>0</v>
      </c>
      <c r="AD45" s="75"/>
      <c r="AE45" s="62"/>
      <c r="AF45" s="62"/>
      <c r="AG45" s="64"/>
      <c r="AH45" s="67"/>
      <c r="AI45" s="65"/>
      <c r="AJ45" s="78"/>
      <c r="AK45" s="66"/>
      <c r="AL45" s="67"/>
      <c r="AM45" s="66">
        <f t="shared" si="0"/>
        <v>0</v>
      </c>
      <c r="AN45" s="75"/>
    </row>
    <row r="46" spans="1:40" s="76" customFormat="1" ht="100.05" customHeight="1" x14ac:dyDescent="0.3">
      <c r="A46" s="97">
        <v>250058</v>
      </c>
      <c r="B46" s="97">
        <v>304</v>
      </c>
      <c r="C46" s="64" t="s">
        <v>354</v>
      </c>
      <c r="D46" s="62">
        <v>350</v>
      </c>
      <c r="E46" s="91" t="s">
        <v>363</v>
      </c>
      <c r="F46" s="62" t="s">
        <v>181</v>
      </c>
      <c r="G46" s="62">
        <v>304</v>
      </c>
      <c r="H46" s="64">
        <v>0.6</v>
      </c>
      <c r="I46" s="62" t="s">
        <v>24</v>
      </c>
      <c r="J46" s="62" t="s">
        <v>24</v>
      </c>
      <c r="K46" s="62" t="s">
        <v>86</v>
      </c>
      <c r="L46" s="66">
        <v>15</v>
      </c>
      <c r="M46" s="67"/>
      <c r="N46" s="66">
        <f t="shared" si="7"/>
        <v>15</v>
      </c>
      <c r="P46" s="62"/>
      <c r="Q46" s="62"/>
      <c r="R46" s="64"/>
      <c r="S46" s="62"/>
      <c r="T46" s="93"/>
      <c r="U46" s="62"/>
      <c r="V46" s="62"/>
      <c r="W46" s="64"/>
      <c r="X46" s="62"/>
      <c r="Y46" s="62"/>
      <c r="Z46" s="62"/>
      <c r="AA46" s="66"/>
      <c r="AB46" s="67"/>
      <c r="AC46" s="66">
        <f t="shared" si="6"/>
        <v>0</v>
      </c>
      <c r="AD46" s="75"/>
      <c r="AE46" s="62"/>
      <c r="AF46" s="62"/>
      <c r="AG46" s="64"/>
      <c r="AH46" s="67"/>
      <c r="AI46" s="65"/>
      <c r="AJ46" s="78"/>
      <c r="AK46" s="66"/>
      <c r="AL46" s="67"/>
      <c r="AM46" s="66">
        <f t="shared" si="0"/>
        <v>0</v>
      </c>
      <c r="AN46" s="75"/>
    </row>
    <row r="47" spans="1:40" s="76" customFormat="1" ht="100.05" customHeight="1" x14ac:dyDescent="0.3">
      <c r="A47" s="97">
        <v>250059</v>
      </c>
      <c r="B47" s="97">
        <v>304</v>
      </c>
      <c r="C47" s="64">
        <v>0.7</v>
      </c>
      <c r="D47" s="62">
        <v>350</v>
      </c>
      <c r="E47" s="91" t="s">
        <v>367</v>
      </c>
      <c r="F47" s="62" t="s">
        <v>121</v>
      </c>
      <c r="G47" s="62">
        <v>304</v>
      </c>
      <c r="H47" s="64">
        <v>0.6</v>
      </c>
      <c r="I47" s="62" t="s">
        <v>24</v>
      </c>
      <c r="J47" s="62" t="s">
        <v>24</v>
      </c>
      <c r="K47" s="62" t="s">
        <v>86</v>
      </c>
      <c r="L47" s="66">
        <v>660</v>
      </c>
      <c r="M47" s="67"/>
      <c r="N47" s="66">
        <f t="shared" si="7"/>
        <v>660</v>
      </c>
      <c r="P47" s="62"/>
      <c r="Q47" s="62"/>
      <c r="R47" s="64"/>
      <c r="S47" s="62"/>
      <c r="T47" s="93"/>
      <c r="U47" s="62"/>
      <c r="V47" s="62"/>
      <c r="W47" s="64"/>
      <c r="X47" s="62"/>
      <c r="Y47" s="62"/>
      <c r="Z47" s="62"/>
      <c r="AA47" s="66"/>
      <c r="AB47" s="67"/>
      <c r="AC47" s="66">
        <f t="shared" si="6"/>
        <v>0</v>
      </c>
      <c r="AD47" s="75"/>
      <c r="AE47" s="62"/>
      <c r="AF47" s="62"/>
      <c r="AG47" s="64"/>
      <c r="AH47" s="67"/>
      <c r="AI47" s="65"/>
      <c r="AJ47" s="78"/>
      <c r="AK47" s="66"/>
      <c r="AL47" s="67"/>
      <c r="AM47" s="66">
        <f t="shared" si="0"/>
        <v>0</v>
      </c>
      <c r="AN47" s="75"/>
    </row>
    <row r="48" spans="1:40" s="76" customFormat="1" ht="99.6" customHeight="1" x14ac:dyDescent="0.3">
      <c r="A48" s="97">
        <v>250059</v>
      </c>
      <c r="B48" s="97">
        <v>304</v>
      </c>
      <c r="C48" s="64" t="s">
        <v>337</v>
      </c>
      <c r="D48" s="62">
        <v>350</v>
      </c>
      <c r="E48" s="91" t="s">
        <v>366</v>
      </c>
      <c r="F48" s="62" t="s">
        <v>121</v>
      </c>
      <c r="G48" s="62">
        <v>304</v>
      </c>
      <c r="H48" s="64">
        <v>0.6</v>
      </c>
      <c r="I48" s="62" t="s">
        <v>24</v>
      </c>
      <c r="J48" s="62" t="s">
        <v>24</v>
      </c>
      <c r="K48" s="62" t="s">
        <v>86</v>
      </c>
      <c r="L48" s="66">
        <v>20</v>
      </c>
      <c r="M48" s="67"/>
      <c r="N48" s="66">
        <f t="shared" si="7"/>
        <v>20</v>
      </c>
      <c r="P48" s="62"/>
      <c r="Q48" s="62"/>
      <c r="R48" s="64"/>
      <c r="S48" s="62"/>
      <c r="T48" s="93"/>
      <c r="U48" s="62"/>
      <c r="V48" s="62"/>
      <c r="W48" s="64"/>
      <c r="X48" s="62"/>
      <c r="Y48" s="62"/>
      <c r="Z48" s="62"/>
      <c r="AA48" s="66"/>
      <c r="AB48" s="67"/>
      <c r="AC48" s="66">
        <f t="shared" si="6"/>
        <v>0</v>
      </c>
      <c r="AD48" s="75"/>
      <c r="AE48" s="62"/>
      <c r="AF48" s="62"/>
      <c r="AG48" s="64"/>
      <c r="AH48" s="67"/>
      <c r="AI48" s="65"/>
      <c r="AJ48" s="78"/>
      <c r="AK48" s="66"/>
      <c r="AL48" s="67"/>
      <c r="AM48" s="66">
        <f t="shared" si="0"/>
        <v>0</v>
      </c>
      <c r="AN48" s="75"/>
    </row>
    <row r="49" spans="1:40" s="76" customFormat="1" ht="100.05" customHeight="1" x14ac:dyDescent="0.3">
      <c r="A49" s="97">
        <v>250060</v>
      </c>
      <c r="B49" s="97">
        <v>304</v>
      </c>
      <c r="C49" s="64">
        <v>0.8</v>
      </c>
      <c r="D49" s="62">
        <v>350</v>
      </c>
      <c r="E49" s="91" t="s">
        <v>364</v>
      </c>
      <c r="F49" s="62" t="s">
        <v>121</v>
      </c>
      <c r="G49" s="62">
        <v>304</v>
      </c>
      <c r="H49" s="64">
        <v>0.6</v>
      </c>
      <c r="I49" s="62" t="s">
        <v>24</v>
      </c>
      <c r="J49" s="62" t="s">
        <v>24</v>
      </c>
      <c r="K49" s="62" t="s">
        <v>86</v>
      </c>
      <c r="L49" s="66">
        <v>665</v>
      </c>
      <c r="M49" s="67"/>
      <c r="N49" s="66">
        <f t="shared" si="7"/>
        <v>665</v>
      </c>
      <c r="P49" s="62"/>
      <c r="Q49" s="62"/>
      <c r="R49" s="64"/>
      <c r="S49" s="62"/>
      <c r="T49" s="93"/>
      <c r="U49" s="62"/>
      <c r="V49" s="62"/>
      <c r="W49" s="64"/>
      <c r="X49" s="62"/>
      <c r="Y49" s="62"/>
      <c r="Z49" s="62"/>
      <c r="AA49" s="66"/>
      <c r="AB49" s="67"/>
      <c r="AC49" s="66">
        <f t="shared" si="6"/>
        <v>0</v>
      </c>
      <c r="AD49" s="75"/>
      <c r="AE49" s="62"/>
      <c r="AF49" s="62"/>
      <c r="AG49" s="64"/>
      <c r="AH49" s="67"/>
      <c r="AI49" s="65"/>
      <c r="AJ49" s="78"/>
      <c r="AK49" s="66"/>
      <c r="AL49" s="67"/>
      <c r="AM49" s="66">
        <f t="shared" si="0"/>
        <v>0</v>
      </c>
      <c r="AN49" s="75"/>
    </row>
    <row r="50" spans="1:40" s="76" customFormat="1" ht="100.05" customHeight="1" x14ac:dyDescent="0.3">
      <c r="A50" s="97">
        <v>250060</v>
      </c>
      <c r="B50" s="97">
        <v>304</v>
      </c>
      <c r="C50" s="64" t="s">
        <v>337</v>
      </c>
      <c r="D50" s="62">
        <v>350</v>
      </c>
      <c r="E50" s="91" t="s">
        <v>365</v>
      </c>
      <c r="F50" s="62" t="s">
        <v>121</v>
      </c>
      <c r="G50" s="62">
        <v>304</v>
      </c>
      <c r="H50" s="64">
        <v>0.6</v>
      </c>
      <c r="I50" s="62" t="s">
        <v>24</v>
      </c>
      <c r="J50" s="62" t="s">
        <v>24</v>
      </c>
      <c r="K50" s="62" t="s">
        <v>86</v>
      </c>
      <c r="L50" s="66">
        <v>15</v>
      </c>
      <c r="M50" s="67"/>
      <c r="N50" s="66">
        <f t="shared" si="7"/>
        <v>15</v>
      </c>
      <c r="P50" s="62"/>
      <c r="Q50" s="62"/>
      <c r="R50" s="64"/>
      <c r="S50" s="62"/>
      <c r="T50" s="93"/>
      <c r="U50" s="62"/>
      <c r="V50" s="62"/>
      <c r="W50" s="64"/>
      <c r="X50" s="62"/>
      <c r="Y50" s="62"/>
      <c r="Z50" s="62"/>
      <c r="AA50" s="66"/>
      <c r="AB50" s="67"/>
      <c r="AC50" s="66">
        <f t="shared" si="6"/>
        <v>0</v>
      </c>
      <c r="AD50" s="75"/>
      <c r="AE50" s="62"/>
      <c r="AF50" s="62"/>
      <c r="AG50" s="64"/>
      <c r="AH50" s="67"/>
      <c r="AI50" s="65"/>
      <c r="AJ50" s="78"/>
      <c r="AK50" s="66"/>
      <c r="AL50" s="67"/>
      <c r="AM50" s="66">
        <f t="shared" si="0"/>
        <v>0</v>
      </c>
      <c r="AN50" s="75"/>
    </row>
    <row r="51" spans="1:40" s="76" customFormat="1" ht="100.05" customHeight="1" x14ac:dyDescent="0.3">
      <c r="A51" s="97">
        <v>250058</v>
      </c>
      <c r="B51" s="97">
        <v>304</v>
      </c>
      <c r="C51" s="64">
        <v>0.7</v>
      </c>
      <c r="D51" s="62">
        <v>315</v>
      </c>
      <c r="E51" s="91" t="s">
        <v>368</v>
      </c>
      <c r="F51" s="62" t="s">
        <v>181</v>
      </c>
      <c r="G51" s="62">
        <v>304</v>
      </c>
      <c r="H51" s="64">
        <v>0.6</v>
      </c>
      <c r="I51" s="62" t="s">
        <v>24</v>
      </c>
      <c r="J51" s="62" t="s">
        <v>24</v>
      </c>
      <c r="K51" s="62" t="s">
        <v>86</v>
      </c>
      <c r="L51" s="66">
        <v>785</v>
      </c>
      <c r="M51" s="67"/>
      <c r="N51" s="66">
        <f t="shared" si="7"/>
        <v>785</v>
      </c>
      <c r="P51" s="62"/>
      <c r="Q51" s="62"/>
      <c r="R51" s="64"/>
      <c r="S51" s="62"/>
      <c r="T51" s="93"/>
      <c r="U51" s="62"/>
      <c r="V51" s="62"/>
      <c r="W51" s="64"/>
      <c r="X51" s="62"/>
      <c r="Y51" s="62"/>
      <c r="Z51" s="62"/>
      <c r="AA51" s="66"/>
      <c r="AB51" s="67"/>
      <c r="AC51" s="66">
        <f t="shared" si="6"/>
        <v>0</v>
      </c>
      <c r="AD51" s="75"/>
      <c r="AE51" s="62"/>
      <c r="AF51" s="62"/>
      <c r="AG51" s="64"/>
      <c r="AH51" s="67"/>
      <c r="AI51" s="65"/>
      <c r="AJ51" s="78"/>
      <c r="AK51" s="66"/>
      <c r="AL51" s="67"/>
      <c r="AM51" s="66">
        <f t="shared" si="0"/>
        <v>0</v>
      </c>
      <c r="AN51" s="75"/>
    </row>
    <row r="52" spans="1:40" s="76" customFormat="1" ht="100.05" customHeight="1" x14ac:dyDescent="0.3">
      <c r="A52" s="97">
        <v>250058</v>
      </c>
      <c r="B52" s="97">
        <v>304</v>
      </c>
      <c r="C52" s="64" t="s">
        <v>337</v>
      </c>
      <c r="D52" s="62">
        <v>315</v>
      </c>
      <c r="E52" s="91" t="s">
        <v>369</v>
      </c>
      <c r="F52" s="62" t="s">
        <v>181</v>
      </c>
      <c r="G52" s="62">
        <v>304</v>
      </c>
      <c r="H52" s="64">
        <v>0.6</v>
      </c>
      <c r="I52" s="62" t="s">
        <v>24</v>
      </c>
      <c r="J52" s="62" t="s">
        <v>24</v>
      </c>
      <c r="K52" s="62" t="s">
        <v>86</v>
      </c>
      <c r="L52" s="66">
        <v>15</v>
      </c>
      <c r="M52" s="67"/>
      <c r="N52" s="66">
        <f t="shared" si="7"/>
        <v>15</v>
      </c>
      <c r="P52" s="62"/>
      <c r="Q52" s="62"/>
      <c r="R52" s="64"/>
      <c r="S52" s="62"/>
      <c r="T52" s="93"/>
      <c r="U52" s="62"/>
      <c r="V52" s="62"/>
      <c r="W52" s="64"/>
      <c r="X52" s="62"/>
      <c r="Y52" s="62"/>
      <c r="Z52" s="62"/>
      <c r="AA52" s="66"/>
      <c r="AB52" s="67"/>
      <c r="AC52" s="66">
        <f t="shared" si="6"/>
        <v>0</v>
      </c>
      <c r="AD52" s="75"/>
      <c r="AE52" s="62"/>
      <c r="AF52" s="62"/>
      <c r="AG52" s="64"/>
      <c r="AH52" s="67"/>
      <c r="AI52" s="65"/>
      <c r="AJ52" s="78"/>
      <c r="AK52" s="66"/>
      <c r="AL52" s="67"/>
      <c r="AM52" s="66">
        <f t="shared" si="0"/>
        <v>0</v>
      </c>
      <c r="AN52" s="75"/>
    </row>
    <row r="53" spans="1:40" s="76" customFormat="1" ht="100.05" customHeight="1" x14ac:dyDescent="0.3">
      <c r="A53" s="97">
        <v>250059</v>
      </c>
      <c r="B53" s="97">
        <v>304</v>
      </c>
      <c r="C53" s="64">
        <v>0.7</v>
      </c>
      <c r="D53" s="62">
        <v>315</v>
      </c>
      <c r="E53" s="91" t="s">
        <v>370</v>
      </c>
      <c r="F53" s="62" t="s">
        <v>121</v>
      </c>
      <c r="G53" s="62">
        <v>304</v>
      </c>
      <c r="H53" s="64">
        <v>0.6</v>
      </c>
      <c r="I53" s="62" t="s">
        <v>24</v>
      </c>
      <c r="J53" s="62" t="s">
        <v>24</v>
      </c>
      <c r="K53" s="62" t="s">
        <v>86</v>
      </c>
      <c r="L53" s="66">
        <v>660</v>
      </c>
      <c r="M53" s="67"/>
      <c r="N53" s="66">
        <f t="shared" si="7"/>
        <v>660</v>
      </c>
      <c r="P53" s="62"/>
      <c r="Q53" s="62"/>
      <c r="R53" s="64"/>
      <c r="S53" s="62"/>
      <c r="T53" s="93"/>
      <c r="U53" s="62"/>
      <c r="V53" s="62"/>
      <c r="W53" s="64"/>
      <c r="X53" s="62"/>
      <c r="Y53" s="62"/>
      <c r="Z53" s="62"/>
      <c r="AA53" s="66"/>
      <c r="AB53" s="67"/>
      <c r="AC53" s="66">
        <f t="shared" si="6"/>
        <v>0</v>
      </c>
      <c r="AD53" s="75"/>
      <c r="AE53" s="62"/>
      <c r="AF53" s="62"/>
      <c r="AG53" s="64"/>
      <c r="AH53" s="67"/>
      <c r="AI53" s="65"/>
      <c r="AJ53" s="78"/>
      <c r="AK53" s="66"/>
      <c r="AL53" s="67"/>
      <c r="AM53" s="66">
        <f t="shared" si="0"/>
        <v>0</v>
      </c>
      <c r="AN53" s="75"/>
    </row>
    <row r="54" spans="1:40" s="76" customFormat="1" ht="100.05" customHeight="1" x14ac:dyDescent="0.3">
      <c r="A54" s="97">
        <v>250059</v>
      </c>
      <c r="B54" s="97">
        <v>304</v>
      </c>
      <c r="C54" s="64" t="s">
        <v>337</v>
      </c>
      <c r="D54" s="62">
        <v>315</v>
      </c>
      <c r="E54" s="91" t="s">
        <v>371</v>
      </c>
      <c r="F54" s="62" t="s">
        <v>121</v>
      </c>
      <c r="G54" s="62">
        <v>304</v>
      </c>
      <c r="H54" s="64">
        <v>0.6</v>
      </c>
      <c r="I54" s="62" t="s">
        <v>24</v>
      </c>
      <c r="J54" s="62" t="s">
        <v>24</v>
      </c>
      <c r="K54" s="62" t="s">
        <v>86</v>
      </c>
      <c r="L54" s="66">
        <v>20</v>
      </c>
      <c r="M54" s="67"/>
      <c r="N54" s="66">
        <f t="shared" si="7"/>
        <v>20</v>
      </c>
      <c r="P54" s="62"/>
      <c r="Q54" s="62"/>
      <c r="R54" s="64"/>
      <c r="S54" s="62"/>
      <c r="T54" s="93"/>
      <c r="U54" s="62"/>
      <c r="V54" s="62"/>
      <c r="W54" s="64"/>
      <c r="X54" s="62"/>
      <c r="Y54" s="62"/>
      <c r="Z54" s="62"/>
      <c r="AA54" s="66"/>
      <c r="AB54" s="67"/>
      <c r="AC54" s="66">
        <f t="shared" si="6"/>
        <v>0</v>
      </c>
      <c r="AD54" s="75"/>
      <c r="AE54" s="62"/>
      <c r="AF54" s="62"/>
      <c r="AG54" s="64"/>
      <c r="AH54" s="67"/>
      <c r="AI54" s="65"/>
      <c r="AJ54" s="78"/>
      <c r="AK54" s="66"/>
      <c r="AL54" s="67"/>
      <c r="AM54" s="66">
        <f t="shared" si="0"/>
        <v>0</v>
      </c>
      <c r="AN54" s="75"/>
    </row>
    <row r="55" spans="1:40" s="76" customFormat="1" ht="100.05" customHeight="1" x14ac:dyDescent="0.3">
      <c r="A55" s="97">
        <v>250060</v>
      </c>
      <c r="B55" s="97">
        <v>304</v>
      </c>
      <c r="C55" s="64">
        <v>0.8</v>
      </c>
      <c r="D55" s="62">
        <v>315</v>
      </c>
      <c r="E55" s="91" t="s">
        <v>372</v>
      </c>
      <c r="F55" s="62" t="s">
        <v>121</v>
      </c>
      <c r="G55" s="62">
        <v>304</v>
      </c>
      <c r="H55" s="64">
        <v>0.6</v>
      </c>
      <c r="I55" s="62" t="s">
        <v>24</v>
      </c>
      <c r="J55" s="62" t="s">
        <v>24</v>
      </c>
      <c r="K55" s="62" t="s">
        <v>86</v>
      </c>
      <c r="L55" s="66">
        <v>665</v>
      </c>
      <c r="M55" s="67"/>
      <c r="N55" s="66">
        <f t="shared" si="7"/>
        <v>665</v>
      </c>
      <c r="P55" s="62"/>
      <c r="Q55" s="62"/>
      <c r="R55" s="64"/>
      <c r="S55" s="62"/>
      <c r="T55" s="93"/>
      <c r="U55" s="62"/>
      <c r="V55" s="62"/>
      <c r="W55" s="64"/>
      <c r="X55" s="62"/>
      <c r="Y55" s="62"/>
      <c r="Z55" s="62"/>
      <c r="AA55" s="66"/>
      <c r="AB55" s="67"/>
      <c r="AC55" s="66">
        <f t="shared" si="6"/>
        <v>0</v>
      </c>
      <c r="AD55" s="75"/>
      <c r="AE55" s="62"/>
      <c r="AF55" s="62"/>
      <c r="AG55" s="64"/>
      <c r="AH55" s="67"/>
      <c r="AI55" s="65"/>
      <c r="AJ55" s="78"/>
      <c r="AK55" s="66"/>
      <c r="AL55" s="67"/>
      <c r="AM55" s="66">
        <f t="shared" si="0"/>
        <v>0</v>
      </c>
      <c r="AN55" s="75"/>
    </row>
    <row r="56" spans="1:40" s="76" customFormat="1" ht="100.05" customHeight="1" x14ac:dyDescent="0.3">
      <c r="A56" s="97">
        <v>250060</v>
      </c>
      <c r="B56" s="97">
        <v>304</v>
      </c>
      <c r="C56" s="64" t="s">
        <v>337</v>
      </c>
      <c r="D56" s="62">
        <v>315</v>
      </c>
      <c r="E56" s="91" t="s">
        <v>373</v>
      </c>
      <c r="F56" s="62" t="s">
        <v>121</v>
      </c>
      <c r="G56" s="62">
        <v>304</v>
      </c>
      <c r="H56" s="64">
        <v>0.6</v>
      </c>
      <c r="I56" s="62" t="s">
        <v>24</v>
      </c>
      <c r="J56" s="62" t="s">
        <v>24</v>
      </c>
      <c r="K56" s="62" t="s">
        <v>86</v>
      </c>
      <c r="L56" s="66">
        <v>15</v>
      </c>
      <c r="M56" s="67"/>
      <c r="N56" s="66">
        <f t="shared" si="7"/>
        <v>15</v>
      </c>
      <c r="P56" s="62"/>
      <c r="Q56" s="62"/>
      <c r="R56" s="64"/>
      <c r="S56" s="62"/>
      <c r="T56" s="93"/>
      <c r="U56" s="62"/>
      <c r="V56" s="62"/>
      <c r="W56" s="64"/>
      <c r="X56" s="62"/>
      <c r="Y56" s="62"/>
      <c r="Z56" s="62"/>
      <c r="AA56" s="66"/>
      <c r="AB56" s="67"/>
      <c r="AC56" s="66">
        <f t="shared" si="6"/>
        <v>0</v>
      </c>
      <c r="AD56" s="75"/>
      <c r="AE56" s="62"/>
      <c r="AF56" s="62"/>
      <c r="AG56" s="64"/>
      <c r="AH56" s="67"/>
      <c r="AI56" s="65"/>
      <c r="AJ56" s="78"/>
      <c r="AK56" s="66"/>
      <c r="AL56" s="67"/>
      <c r="AM56" s="66">
        <f t="shared" si="0"/>
        <v>0</v>
      </c>
      <c r="AN56" s="75"/>
    </row>
    <row r="57" spans="1:40" s="76" customFormat="1" ht="100.05" customHeight="1" x14ac:dyDescent="0.3">
      <c r="A57" s="97">
        <v>250080</v>
      </c>
      <c r="B57" s="97">
        <v>304</v>
      </c>
      <c r="C57" s="64">
        <v>0.6</v>
      </c>
      <c r="D57" s="62">
        <v>435</v>
      </c>
      <c r="E57" s="91" t="s">
        <v>380</v>
      </c>
      <c r="F57" s="62" t="s">
        <v>181</v>
      </c>
      <c r="G57" s="62">
        <v>430</v>
      </c>
      <c r="H57" s="64">
        <v>0.6</v>
      </c>
      <c r="I57" s="62" t="s">
        <v>24</v>
      </c>
      <c r="J57" s="62" t="s">
        <v>24</v>
      </c>
      <c r="K57" s="62" t="s">
        <v>79</v>
      </c>
      <c r="L57" s="66">
        <v>200</v>
      </c>
      <c r="M57" s="67">
        <v>200</v>
      </c>
      <c r="N57" s="66">
        <f t="shared" si="7"/>
        <v>0</v>
      </c>
      <c r="P57" s="62"/>
      <c r="Q57" s="62"/>
      <c r="R57" s="64"/>
      <c r="S57" s="62"/>
      <c r="T57" s="93"/>
      <c r="U57" s="62"/>
      <c r="V57" s="62"/>
      <c r="W57" s="64"/>
      <c r="X57" s="62"/>
      <c r="Y57" s="62"/>
      <c r="Z57" s="62"/>
      <c r="AA57" s="66"/>
      <c r="AB57" s="67"/>
      <c r="AC57" s="66"/>
      <c r="AD57" s="75"/>
      <c r="AE57" s="62"/>
      <c r="AF57" s="62"/>
      <c r="AG57" s="64"/>
      <c r="AH57" s="67"/>
      <c r="AI57" s="65"/>
      <c r="AJ57" s="78"/>
      <c r="AK57" s="66"/>
      <c r="AL57" s="67"/>
      <c r="AM57" s="66"/>
      <c r="AN57" s="75"/>
    </row>
    <row r="58" spans="1:40" s="76" customFormat="1" ht="100.05" customHeight="1" x14ac:dyDescent="0.3">
      <c r="A58" s="97"/>
      <c r="B58" s="97"/>
      <c r="C58" s="64"/>
      <c r="D58" s="62"/>
      <c r="E58" s="91"/>
      <c r="F58" s="62"/>
      <c r="G58" s="62"/>
      <c r="H58" s="64"/>
      <c r="I58" s="62"/>
      <c r="J58" s="62"/>
      <c r="K58" s="62"/>
      <c r="L58" s="66"/>
      <c r="M58" s="67"/>
      <c r="N58" s="66">
        <f t="shared" si="7"/>
        <v>0</v>
      </c>
      <c r="P58" s="62"/>
      <c r="Q58" s="62"/>
      <c r="R58" s="64"/>
      <c r="S58" s="62"/>
      <c r="T58" s="65"/>
      <c r="U58" s="62"/>
      <c r="V58" s="62"/>
      <c r="W58" s="64"/>
      <c r="X58" s="62"/>
      <c r="Y58" s="62"/>
      <c r="Z58" s="62"/>
      <c r="AA58" s="66"/>
      <c r="AB58" s="67"/>
      <c r="AC58" s="66">
        <f t="shared" si="6"/>
        <v>0</v>
      </c>
      <c r="AD58" s="75"/>
      <c r="AE58" s="62"/>
      <c r="AF58" s="62"/>
      <c r="AG58" s="64"/>
      <c r="AH58" s="67"/>
      <c r="AI58" s="65"/>
      <c r="AJ58" s="78"/>
      <c r="AK58" s="66"/>
      <c r="AL58" s="67"/>
      <c r="AM58" s="66">
        <f t="shared" si="0"/>
        <v>0</v>
      </c>
      <c r="AN58" s="75"/>
    </row>
    <row r="59" spans="1:40" s="76" customFormat="1" ht="100.05" customHeight="1" x14ac:dyDescent="0.3">
      <c r="A59" s="98"/>
      <c r="B59" s="98"/>
      <c r="C59" s="69"/>
      <c r="D59" s="68"/>
      <c r="E59" s="70"/>
      <c r="F59" s="68"/>
      <c r="G59" s="68"/>
      <c r="H59" s="69"/>
      <c r="I59" s="68"/>
      <c r="J59" s="68"/>
      <c r="K59" s="68"/>
      <c r="L59" s="66">
        <f>SUM(L28:L58)</f>
        <v>12020</v>
      </c>
      <c r="M59" s="71">
        <f>SUM(M28:M58)</f>
        <v>1700</v>
      </c>
      <c r="N59" s="66">
        <f>SUM(N28:N58)</f>
        <v>10320</v>
      </c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66">
        <f>SUM(AA28:AA58)</f>
        <v>4380</v>
      </c>
      <c r="AB59" s="71">
        <f>SUM(AB28:AB58)</f>
        <v>2700</v>
      </c>
      <c r="AC59" s="66">
        <f>SUM(AC28:AC58)</f>
        <v>1680</v>
      </c>
      <c r="AD59" s="75"/>
      <c r="AE59" s="68"/>
      <c r="AF59" s="68"/>
      <c r="AG59" s="69"/>
      <c r="AH59" s="68"/>
      <c r="AI59" s="70"/>
      <c r="AJ59" s="80"/>
      <c r="AK59" s="66">
        <f>SUM(AK4:AK58)</f>
        <v>11080</v>
      </c>
      <c r="AL59" s="71">
        <f>SUM(AL4:AL58)</f>
        <v>0</v>
      </c>
      <c r="AM59" s="66">
        <f>SUM(AM4:AM58)</f>
        <v>11080</v>
      </c>
      <c r="AN59" s="75"/>
    </row>
    <row r="60" spans="1:40" s="75" customFormat="1" ht="100.0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E60" s="79"/>
      <c r="AF60" s="79"/>
      <c r="AG60" s="79"/>
      <c r="AH60" s="79"/>
      <c r="AI60" s="79"/>
      <c r="AJ60" s="79"/>
      <c r="AK60" s="79"/>
      <c r="AL60" s="79"/>
      <c r="AM60" s="79"/>
    </row>
    <row r="61" spans="1:40" s="75" customFormat="1" ht="100.05" customHeight="1" x14ac:dyDescent="0.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E61" s="79"/>
      <c r="AF61" s="79"/>
      <c r="AG61" s="79"/>
      <c r="AH61" s="79"/>
      <c r="AI61" s="79"/>
      <c r="AJ61" s="79"/>
      <c r="AK61" s="79"/>
      <c r="AL61" s="79"/>
      <c r="AM61" s="79"/>
    </row>
    <row r="62" spans="1:40" s="75" customFormat="1" ht="100.05" customHeight="1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E62" s="79"/>
      <c r="AF62" s="79"/>
      <c r="AG62" s="79"/>
      <c r="AH62" s="79"/>
      <c r="AI62" s="79"/>
      <c r="AJ62" s="79"/>
      <c r="AK62" s="79"/>
      <c r="AL62" s="79"/>
      <c r="AM62" s="79"/>
    </row>
    <row r="63" spans="1:40" s="76" customFormat="1" ht="100.05" customHeight="1" x14ac:dyDescent="0.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5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5"/>
      <c r="AE63" s="79"/>
      <c r="AF63" s="79"/>
      <c r="AG63" s="79"/>
      <c r="AH63" s="79"/>
      <c r="AI63" s="79"/>
      <c r="AJ63" s="79"/>
      <c r="AK63" s="79"/>
      <c r="AL63" s="79"/>
      <c r="AM63" s="79"/>
      <c r="AN63" s="75"/>
    </row>
    <row r="64" spans="1:40" s="76" customFormat="1" ht="100.05" customHeight="1" x14ac:dyDescent="0.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5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5"/>
      <c r="AE64" s="79"/>
      <c r="AF64" s="79"/>
      <c r="AG64" s="79"/>
      <c r="AH64" s="79"/>
      <c r="AI64" s="79"/>
      <c r="AJ64" s="79"/>
      <c r="AK64" s="79"/>
      <c r="AL64" s="79"/>
      <c r="AM64" s="79"/>
      <c r="AN64" s="75"/>
    </row>
    <row r="65" spans="1:40" s="76" customFormat="1" ht="100.05" customHeight="1" x14ac:dyDescent="0.3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5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5"/>
      <c r="AE65" s="79"/>
      <c r="AF65" s="79"/>
      <c r="AG65" s="79"/>
      <c r="AH65" s="79"/>
      <c r="AI65" s="79"/>
      <c r="AJ65" s="79"/>
      <c r="AK65" s="79"/>
      <c r="AL65" s="79"/>
      <c r="AM65" s="79"/>
      <c r="AN65" s="75"/>
    </row>
    <row r="66" spans="1:40" s="76" customFormat="1" ht="100.05" customHeight="1" x14ac:dyDescent="0.3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5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5"/>
      <c r="AE66" s="79"/>
      <c r="AF66" s="79"/>
      <c r="AG66" s="79"/>
      <c r="AH66" s="79"/>
      <c r="AI66" s="79"/>
      <c r="AJ66" s="79"/>
      <c r="AK66" s="79"/>
      <c r="AL66" s="79"/>
      <c r="AM66" s="79"/>
      <c r="AN66" s="75"/>
    </row>
    <row r="67" spans="1:40" s="76" customFormat="1" ht="100.05" customHeight="1" x14ac:dyDescent="0.3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5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5"/>
      <c r="AE67" s="79"/>
      <c r="AF67" s="79"/>
      <c r="AG67" s="79"/>
      <c r="AH67" s="79"/>
      <c r="AI67" s="79"/>
      <c r="AJ67" s="79"/>
      <c r="AK67" s="79"/>
      <c r="AL67" s="79"/>
      <c r="AM67" s="79"/>
      <c r="AN67" s="75"/>
    </row>
    <row r="68" spans="1:40" s="76" customFormat="1" ht="100.05" customHeight="1" x14ac:dyDescent="0.3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5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5"/>
      <c r="AE68" s="79"/>
      <c r="AF68" s="79"/>
      <c r="AG68" s="79"/>
      <c r="AH68" s="79"/>
      <c r="AI68" s="79"/>
      <c r="AJ68" s="79"/>
      <c r="AK68" s="79"/>
      <c r="AL68" s="79"/>
      <c r="AM68" s="79"/>
      <c r="AN68" s="75"/>
    </row>
    <row r="69" spans="1:40" s="76" customFormat="1" ht="100.05" customHeight="1" x14ac:dyDescent="0.3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O69" s="75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5"/>
      <c r="AE69" s="79"/>
      <c r="AF69" s="79"/>
      <c r="AG69" s="79"/>
      <c r="AH69" s="79"/>
      <c r="AI69" s="79"/>
      <c r="AJ69" s="79"/>
      <c r="AK69" s="79"/>
      <c r="AL69" s="79"/>
      <c r="AM69" s="79"/>
      <c r="AN69" s="75"/>
    </row>
    <row r="70" spans="1:40" s="76" customFormat="1" ht="100.05" customHeight="1" x14ac:dyDescent="0.3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5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5"/>
      <c r="AE70" s="79"/>
      <c r="AF70" s="79"/>
      <c r="AG70" s="79"/>
      <c r="AH70" s="79"/>
      <c r="AI70" s="79"/>
      <c r="AJ70" s="79"/>
      <c r="AK70" s="79"/>
      <c r="AL70" s="79"/>
      <c r="AM70" s="79"/>
      <c r="AN70" s="75"/>
    </row>
    <row r="71" spans="1:40" s="76" customFormat="1" ht="100.05" customHeight="1" x14ac:dyDescent="0.3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5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5"/>
      <c r="AE71" s="79"/>
      <c r="AF71" s="79"/>
      <c r="AG71" s="79"/>
      <c r="AH71" s="79"/>
      <c r="AI71" s="79"/>
      <c r="AJ71" s="79"/>
      <c r="AK71" s="79"/>
      <c r="AL71" s="79"/>
      <c r="AM71" s="79"/>
      <c r="AN71" s="75"/>
    </row>
    <row r="72" spans="1:40" s="76" customFormat="1" ht="100.05" customHeight="1" x14ac:dyDescent="0.3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5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5"/>
      <c r="AE72" s="79"/>
      <c r="AF72" s="79"/>
      <c r="AG72" s="79"/>
      <c r="AH72" s="79"/>
      <c r="AI72" s="79"/>
      <c r="AJ72" s="79"/>
      <c r="AK72" s="79"/>
      <c r="AL72" s="79"/>
      <c r="AM72" s="79"/>
      <c r="AN72" s="75"/>
    </row>
    <row r="73" spans="1:40" s="75" customFormat="1" ht="100.05" customHeight="1" x14ac:dyDescent="0.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E73" s="79"/>
      <c r="AF73" s="79"/>
      <c r="AG73" s="79"/>
      <c r="AH73" s="79"/>
      <c r="AI73" s="79"/>
      <c r="AJ73" s="79"/>
      <c r="AK73" s="79"/>
      <c r="AL73" s="79"/>
      <c r="AM73" s="79"/>
    </row>
    <row r="74" spans="1:40" s="75" customFormat="1" ht="100.05" customHeight="1" x14ac:dyDescent="0.3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E74" s="79"/>
      <c r="AF74" s="79"/>
      <c r="AG74" s="79"/>
      <c r="AH74" s="79"/>
      <c r="AI74" s="79"/>
      <c r="AJ74" s="79"/>
      <c r="AK74" s="79"/>
      <c r="AL74" s="79"/>
      <c r="AM74" s="79"/>
    </row>
    <row r="75" spans="1:40" s="75" customFormat="1" ht="100.05" customHeight="1" x14ac:dyDescent="0.3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E75" s="79"/>
      <c r="AF75" s="79"/>
      <c r="AG75" s="79"/>
      <c r="AH75" s="79"/>
      <c r="AI75" s="79"/>
      <c r="AJ75" s="79"/>
      <c r="AK75" s="79"/>
      <c r="AL75" s="79"/>
      <c r="AM75" s="79"/>
    </row>
    <row r="76" spans="1:40" s="76" customFormat="1" ht="100.05" customHeight="1" x14ac:dyDescent="0.3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  <c r="N76" s="79"/>
      <c r="O76" s="75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5"/>
      <c r="AE76" s="79"/>
      <c r="AF76" s="79"/>
      <c r="AG76" s="79"/>
      <c r="AH76" s="79"/>
      <c r="AI76" s="79"/>
      <c r="AJ76" s="79"/>
      <c r="AK76" s="79"/>
      <c r="AL76" s="79"/>
      <c r="AM76" s="79"/>
      <c r="AN76" s="75"/>
    </row>
    <row r="77" spans="1:40" s="76" customFormat="1" ht="100.05" customHeight="1" x14ac:dyDescent="0.3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  <c r="N77" s="79"/>
      <c r="O77" s="75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5"/>
      <c r="AE77" s="79"/>
      <c r="AF77" s="79"/>
      <c r="AG77" s="79"/>
      <c r="AH77" s="79"/>
      <c r="AI77" s="79"/>
      <c r="AJ77" s="79"/>
      <c r="AK77" s="79"/>
      <c r="AL77" s="79"/>
      <c r="AM77" s="79"/>
      <c r="AN77" s="75"/>
    </row>
    <row r="78" spans="1:40" s="56" customFormat="1" ht="100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3"/>
      <c r="AE78" s="2"/>
      <c r="AF78" s="2"/>
      <c r="AG78" s="2"/>
      <c r="AH78" s="2"/>
      <c r="AI78" s="2"/>
      <c r="AJ78" s="2"/>
      <c r="AK78" s="2"/>
      <c r="AL78" s="2"/>
      <c r="AM78" s="2"/>
      <c r="AN78" s="3"/>
    </row>
    <row r="79" spans="1:40" s="56" customFormat="1" ht="100.0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3"/>
      <c r="AE79" s="2"/>
      <c r="AF79" s="2"/>
      <c r="AG79" s="2"/>
      <c r="AH79" s="2"/>
      <c r="AI79" s="2"/>
      <c r="AJ79" s="2"/>
      <c r="AK79" s="2"/>
      <c r="AL79" s="2"/>
      <c r="AM79" s="2"/>
      <c r="AN79" s="3"/>
    </row>
    <row r="80" spans="1:40" s="56" customFormat="1" ht="100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2"/>
      <c r="AK80" s="2"/>
      <c r="AL80" s="2"/>
      <c r="AM80" s="2"/>
      <c r="AN80" s="3"/>
    </row>
    <row r="81" spans="1:40" s="56" customFormat="1" ht="100.0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3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3"/>
      <c r="AE81" s="2"/>
      <c r="AF81" s="2"/>
      <c r="AG81" s="2"/>
      <c r="AH81" s="2"/>
      <c r="AI81" s="2"/>
      <c r="AJ81" s="2"/>
      <c r="AK81" s="2"/>
      <c r="AL81" s="2"/>
      <c r="AM81" s="2"/>
      <c r="AN81" s="3"/>
    </row>
    <row r="82" spans="1:40" s="56" customFormat="1" ht="100.0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3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3"/>
      <c r="AE82" s="2"/>
      <c r="AF82" s="2"/>
      <c r="AG82" s="2"/>
      <c r="AH82" s="2"/>
      <c r="AI82" s="2"/>
      <c r="AJ82" s="2"/>
      <c r="AK82" s="2"/>
      <c r="AL82" s="2"/>
      <c r="AM82" s="2"/>
      <c r="AN82" s="3"/>
    </row>
    <row r="83" spans="1:40" s="56" customFormat="1" ht="100.0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3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3"/>
      <c r="AE83" s="2"/>
      <c r="AF83" s="2"/>
      <c r="AG83" s="2"/>
      <c r="AH83" s="2"/>
      <c r="AI83" s="2"/>
      <c r="AJ83" s="2"/>
      <c r="AK83" s="2"/>
      <c r="AL83" s="2"/>
      <c r="AM83" s="2"/>
      <c r="AN83" s="3"/>
    </row>
    <row r="84" spans="1:40" s="56" customFormat="1" ht="100.0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3"/>
      <c r="AE84" s="2"/>
      <c r="AF84" s="2"/>
      <c r="AG84" s="2"/>
      <c r="AH84" s="2"/>
      <c r="AI84" s="2"/>
      <c r="AJ84" s="2"/>
      <c r="AK84" s="2"/>
      <c r="AL84" s="2"/>
      <c r="AM84" s="2"/>
      <c r="AN84" s="3"/>
    </row>
    <row r="85" spans="1:40" s="56" customFormat="1" ht="100.0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3"/>
      <c r="AE85" s="2"/>
      <c r="AF85" s="2"/>
      <c r="AG85" s="2"/>
      <c r="AH85" s="2"/>
      <c r="AI85" s="2"/>
      <c r="AJ85" s="2"/>
      <c r="AK85" s="2"/>
      <c r="AL85" s="2"/>
      <c r="AM85" s="2"/>
      <c r="AN85" s="3"/>
    </row>
  </sheetData>
  <mergeCells count="12">
    <mergeCell ref="A2:N2"/>
    <mergeCell ref="P2:AC2"/>
    <mergeCell ref="AE2:AM2"/>
    <mergeCell ref="T4:T6"/>
    <mergeCell ref="A26:N26"/>
    <mergeCell ref="P26:AC26"/>
    <mergeCell ref="AK1:AM1"/>
    <mergeCell ref="A1:C1"/>
    <mergeCell ref="K1:N1"/>
    <mergeCell ref="P1:R1"/>
    <mergeCell ref="Z1:AC1"/>
    <mergeCell ref="AE1:AG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14" orientation="landscape" horizontalDpi="1200" verticalDpi="120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80"/>
  <sheetViews>
    <sheetView zoomScale="25" zoomScaleNormal="25" workbookViewId="0">
      <selection activeCell="M15" sqref="M15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45966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45966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97">
        <v>250082</v>
      </c>
      <c r="B4" s="62">
        <v>430</v>
      </c>
      <c r="C4" s="64">
        <v>0.6</v>
      </c>
      <c r="D4" s="62">
        <v>653</v>
      </c>
      <c r="E4" s="91" t="s">
        <v>307</v>
      </c>
      <c r="F4" s="62" t="s">
        <v>181</v>
      </c>
      <c r="G4" s="62">
        <v>430</v>
      </c>
      <c r="H4" s="64">
        <v>0.6</v>
      </c>
      <c r="I4" s="62" t="s">
        <v>24</v>
      </c>
      <c r="J4" s="62" t="s">
        <v>24</v>
      </c>
      <c r="K4" s="62" t="s">
        <v>79</v>
      </c>
      <c r="L4" s="66">
        <v>1000</v>
      </c>
      <c r="M4" s="67">
        <f>750+250</f>
        <v>1000</v>
      </c>
      <c r="N4" s="66">
        <f>L4-M4</f>
        <v>0</v>
      </c>
      <c r="P4" s="62"/>
      <c r="Q4" s="62"/>
      <c r="R4" s="64"/>
      <c r="S4" s="62"/>
      <c r="T4" s="128" t="s">
        <v>327</v>
      </c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>
        <v>311025</v>
      </c>
      <c r="AF4" s="62">
        <v>304</v>
      </c>
      <c r="AG4" s="64"/>
      <c r="AH4" s="67"/>
      <c r="AI4" s="65" t="s">
        <v>331</v>
      </c>
      <c r="AJ4" s="78" t="s">
        <v>328</v>
      </c>
      <c r="AK4" s="66">
        <v>3200</v>
      </c>
      <c r="AL4" s="67"/>
      <c r="AM4" s="66">
        <f t="shared" ref="AM4:AM53" si="0">AK4-AL4</f>
        <v>3200</v>
      </c>
    </row>
    <row r="5" spans="1:39" s="76" customFormat="1" ht="100.05" customHeight="1" x14ac:dyDescent="0.3">
      <c r="A5" s="97">
        <v>250081</v>
      </c>
      <c r="B5" s="62">
        <v>304</v>
      </c>
      <c r="C5" s="64">
        <v>0.6</v>
      </c>
      <c r="D5" s="62">
        <v>550</v>
      </c>
      <c r="E5" s="91" t="s">
        <v>308</v>
      </c>
      <c r="F5" s="62" t="s">
        <v>181</v>
      </c>
      <c r="G5" s="62">
        <v>430</v>
      </c>
      <c r="H5" s="64">
        <v>0.6</v>
      </c>
      <c r="I5" s="62" t="s">
        <v>24</v>
      </c>
      <c r="J5" s="62" t="s">
        <v>24</v>
      </c>
      <c r="K5" s="62" t="s">
        <v>86</v>
      </c>
      <c r="L5" s="66">
        <v>400</v>
      </c>
      <c r="M5" s="67">
        <v>400</v>
      </c>
      <c r="N5" s="66">
        <f t="shared" ref="N5:N7" si="1">L5-M5</f>
        <v>0</v>
      </c>
      <c r="P5" s="62"/>
      <c r="Q5" s="62"/>
      <c r="R5" s="64"/>
      <c r="S5" s="62"/>
      <c r="T5" s="129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241025</v>
      </c>
      <c r="AF5" s="62">
        <v>304</v>
      </c>
      <c r="AG5" s="64"/>
      <c r="AH5" s="62"/>
      <c r="AI5" s="93" t="s">
        <v>329</v>
      </c>
      <c r="AJ5" s="78" t="s">
        <v>328</v>
      </c>
      <c r="AK5" s="66">
        <v>2000</v>
      </c>
      <c r="AL5" s="67"/>
      <c r="AM5" s="66">
        <f t="shared" si="0"/>
        <v>2000</v>
      </c>
    </row>
    <row r="6" spans="1:39" s="76" customFormat="1" ht="100.05" customHeight="1" x14ac:dyDescent="0.3">
      <c r="A6" s="97">
        <v>250058</v>
      </c>
      <c r="B6" s="62">
        <v>304</v>
      </c>
      <c r="C6" s="64">
        <v>0.7</v>
      </c>
      <c r="D6" s="62">
        <v>315</v>
      </c>
      <c r="E6" s="91" t="s">
        <v>334</v>
      </c>
      <c r="F6" s="62" t="s">
        <v>338</v>
      </c>
      <c r="G6" s="62">
        <v>304</v>
      </c>
      <c r="H6" s="64">
        <v>0.6</v>
      </c>
      <c r="I6" s="62">
        <v>111</v>
      </c>
      <c r="J6" s="62">
        <v>4</v>
      </c>
      <c r="K6" s="62" t="s">
        <v>335</v>
      </c>
      <c r="L6" s="66">
        <v>785</v>
      </c>
      <c r="M6" s="67"/>
      <c r="N6" s="66">
        <f t="shared" si="1"/>
        <v>785</v>
      </c>
      <c r="P6" s="62"/>
      <c r="Q6" s="62"/>
      <c r="R6" s="64"/>
      <c r="S6" s="62"/>
      <c r="T6" s="130"/>
      <c r="U6" s="62"/>
      <c r="V6" s="62"/>
      <c r="W6" s="64"/>
      <c r="X6" s="62"/>
      <c r="Y6" s="62"/>
      <c r="Z6" s="62"/>
      <c r="AA6" s="66"/>
      <c r="AB6" s="67"/>
      <c r="AC6" s="66">
        <f t="shared" ref="AC6:AC20" si="2">AA6-AB6</f>
        <v>0</v>
      </c>
      <c r="AE6" s="62">
        <v>241025</v>
      </c>
      <c r="AF6" s="62">
        <v>304</v>
      </c>
      <c r="AG6" s="64"/>
      <c r="AH6" s="62"/>
      <c r="AI6" s="93" t="s">
        <v>330</v>
      </c>
      <c r="AJ6" s="78" t="s">
        <v>328</v>
      </c>
      <c r="AK6" s="66">
        <v>2000</v>
      </c>
      <c r="AL6" s="67"/>
      <c r="AM6" s="66">
        <f t="shared" si="0"/>
        <v>2000</v>
      </c>
    </row>
    <row r="7" spans="1:39" s="76" customFormat="1" ht="100.05" customHeight="1" x14ac:dyDescent="0.3">
      <c r="A7" s="97">
        <v>250058</v>
      </c>
      <c r="B7" s="62">
        <v>304</v>
      </c>
      <c r="C7" s="64" t="s">
        <v>337</v>
      </c>
      <c r="D7" s="62">
        <v>315</v>
      </c>
      <c r="E7" s="91" t="s">
        <v>336</v>
      </c>
      <c r="F7" s="62" t="s">
        <v>338</v>
      </c>
      <c r="G7" s="62">
        <v>304</v>
      </c>
      <c r="H7" s="64">
        <v>0.6</v>
      </c>
      <c r="I7" s="62">
        <v>111</v>
      </c>
      <c r="J7" s="62">
        <v>6</v>
      </c>
      <c r="K7" s="62" t="s">
        <v>335</v>
      </c>
      <c r="L7" s="66">
        <v>15</v>
      </c>
      <c r="M7" s="67"/>
      <c r="N7" s="66">
        <f t="shared" si="1"/>
        <v>15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311025</v>
      </c>
      <c r="AF7" s="62">
        <v>304</v>
      </c>
      <c r="AG7" s="64"/>
      <c r="AH7" s="67"/>
      <c r="AI7" s="65" t="s">
        <v>332</v>
      </c>
      <c r="AJ7" s="78" t="s">
        <v>328</v>
      </c>
      <c r="AK7" s="66">
        <v>3200</v>
      </c>
      <c r="AL7" s="67"/>
      <c r="AM7" s="66">
        <f t="shared" si="0"/>
        <v>3200</v>
      </c>
    </row>
    <row r="8" spans="1:39" s="76" customFormat="1" ht="100.05" customHeight="1" x14ac:dyDescent="0.3">
      <c r="A8" s="97">
        <v>250059</v>
      </c>
      <c r="B8" s="62">
        <v>304</v>
      </c>
      <c r="C8" s="64">
        <v>0.7</v>
      </c>
      <c r="D8" s="62">
        <v>315</v>
      </c>
      <c r="E8" s="91" t="s">
        <v>339</v>
      </c>
      <c r="F8" s="62" t="s">
        <v>338</v>
      </c>
      <c r="G8" s="62">
        <v>304</v>
      </c>
      <c r="H8" s="64">
        <v>0.6</v>
      </c>
      <c r="I8" s="62">
        <v>111</v>
      </c>
      <c r="J8" s="62">
        <v>4</v>
      </c>
      <c r="K8" s="62" t="s">
        <v>335</v>
      </c>
      <c r="L8" s="66">
        <v>660</v>
      </c>
      <c r="M8" s="67"/>
      <c r="N8" s="66">
        <f>L8-M8</f>
        <v>660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250059</v>
      </c>
      <c r="AF8" s="62">
        <v>304</v>
      </c>
      <c r="AG8" s="64"/>
      <c r="AH8" s="67"/>
      <c r="AI8" s="65" t="s">
        <v>379</v>
      </c>
      <c r="AJ8" s="78" t="s">
        <v>328</v>
      </c>
      <c r="AK8" s="66">
        <v>680</v>
      </c>
      <c r="AL8" s="67"/>
      <c r="AM8" s="66">
        <f t="shared" si="0"/>
        <v>680</v>
      </c>
    </row>
    <row r="9" spans="1:39" s="76" customFormat="1" ht="100.05" customHeight="1" x14ac:dyDescent="0.3">
      <c r="A9" s="97">
        <v>250059</v>
      </c>
      <c r="B9" s="62">
        <v>304</v>
      </c>
      <c r="C9" s="64" t="s">
        <v>337</v>
      </c>
      <c r="D9" s="62">
        <v>315</v>
      </c>
      <c r="E9" s="91" t="s">
        <v>340</v>
      </c>
      <c r="F9" s="62" t="s">
        <v>338</v>
      </c>
      <c r="G9" s="62">
        <v>304</v>
      </c>
      <c r="H9" s="64">
        <v>0.6</v>
      </c>
      <c r="I9" s="62">
        <v>111</v>
      </c>
      <c r="J9" s="62">
        <v>6</v>
      </c>
      <c r="K9" s="62" t="s">
        <v>335</v>
      </c>
      <c r="L9" s="66">
        <v>20</v>
      </c>
      <c r="M9" s="67"/>
      <c r="N9" s="66">
        <f t="shared" ref="N9:N20" si="3">L9-M9</f>
        <v>20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62"/>
      <c r="AF9" s="62"/>
      <c r="AG9" s="64"/>
      <c r="AH9" s="67"/>
      <c r="AI9" s="65"/>
      <c r="AJ9" s="78"/>
      <c r="AK9" s="66"/>
      <c r="AL9" s="67"/>
      <c r="AM9" s="66">
        <f t="shared" si="0"/>
        <v>0</v>
      </c>
    </row>
    <row r="10" spans="1:39" s="76" customFormat="1" ht="100.05" customHeight="1" x14ac:dyDescent="0.3">
      <c r="A10" s="97">
        <v>250060</v>
      </c>
      <c r="B10" s="62">
        <v>304</v>
      </c>
      <c r="C10" s="64">
        <v>0.7</v>
      </c>
      <c r="D10" s="62">
        <v>315</v>
      </c>
      <c r="E10" s="91" t="s">
        <v>341</v>
      </c>
      <c r="F10" s="62" t="s">
        <v>338</v>
      </c>
      <c r="G10" s="62">
        <v>304</v>
      </c>
      <c r="H10" s="64">
        <v>0.6</v>
      </c>
      <c r="I10" s="62">
        <v>111</v>
      </c>
      <c r="J10" s="62">
        <v>4</v>
      </c>
      <c r="K10" s="62" t="s">
        <v>335</v>
      </c>
      <c r="L10" s="66">
        <v>665</v>
      </c>
      <c r="M10" s="67"/>
      <c r="N10" s="66">
        <f t="shared" si="3"/>
        <v>665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62"/>
      <c r="AF10" s="62"/>
      <c r="AG10" s="64"/>
      <c r="AH10" s="67"/>
      <c r="AI10" s="65"/>
      <c r="AJ10" s="78"/>
      <c r="AK10" s="66"/>
      <c r="AL10" s="67"/>
      <c r="AM10" s="66">
        <f t="shared" si="0"/>
        <v>0</v>
      </c>
    </row>
    <row r="11" spans="1:39" s="76" customFormat="1" ht="100.05" customHeight="1" x14ac:dyDescent="0.3">
      <c r="A11" s="97">
        <v>250060</v>
      </c>
      <c r="B11" s="62">
        <v>304</v>
      </c>
      <c r="C11" s="64" t="s">
        <v>337</v>
      </c>
      <c r="D11" s="62">
        <v>315</v>
      </c>
      <c r="E11" s="91" t="s">
        <v>342</v>
      </c>
      <c r="F11" s="62" t="s">
        <v>338</v>
      </c>
      <c r="G11" s="62">
        <v>304</v>
      </c>
      <c r="H11" s="64">
        <v>0.6</v>
      </c>
      <c r="I11" s="62">
        <v>111</v>
      </c>
      <c r="J11" s="62">
        <v>6</v>
      </c>
      <c r="K11" s="62" t="s">
        <v>335</v>
      </c>
      <c r="L11" s="66">
        <v>15</v>
      </c>
      <c r="M11" s="67"/>
      <c r="N11" s="66">
        <f t="shared" si="3"/>
        <v>15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62"/>
      <c r="AF11" s="62"/>
      <c r="AG11" s="64"/>
      <c r="AH11" s="67"/>
      <c r="AI11" s="65"/>
      <c r="AJ11" s="78"/>
      <c r="AK11" s="66"/>
      <c r="AL11" s="67"/>
      <c r="AM11" s="66">
        <f t="shared" si="0"/>
        <v>0</v>
      </c>
    </row>
    <row r="12" spans="1:39" s="76" customFormat="1" ht="100.05" customHeight="1" x14ac:dyDescent="0.3">
      <c r="A12" s="97">
        <v>250058</v>
      </c>
      <c r="B12" s="62">
        <v>304</v>
      </c>
      <c r="C12" s="64">
        <v>0.7</v>
      </c>
      <c r="D12" s="62">
        <v>500</v>
      </c>
      <c r="E12" s="91" t="s">
        <v>358</v>
      </c>
      <c r="F12" s="62" t="s">
        <v>181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86</v>
      </c>
      <c r="L12" s="66">
        <v>785</v>
      </c>
      <c r="M12" s="67"/>
      <c r="N12" s="66">
        <f t="shared" si="3"/>
        <v>785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62"/>
      <c r="AF12" s="62"/>
      <c r="AG12" s="64"/>
      <c r="AH12" s="67"/>
      <c r="AI12" s="65"/>
      <c r="AJ12" s="78"/>
      <c r="AK12" s="66"/>
      <c r="AL12" s="67"/>
      <c r="AM12" s="66">
        <f t="shared" si="0"/>
        <v>0</v>
      </c>
    </row>
    <row r="13" spans="1:39" s="76" customFormat="1" ht="100.05" customHeight="1" x14ac:dyDescent="0.3">
      <c r="A13" s="97">
        <v>250058</v>
      </c>
      <c r="B13" s="62">
        <v>304</v>
      </c>
      <c r="C13" s="64" t="s">
        <v>337</v>
      </c>
      <c r="D13" s="62">
        <v>500</v>
      </c>
      <c r="E13" s="91" t="s">
        <v>359</v>
      </c>
      <c r="F13" s="62" t="s">
        <v>181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86</v>
      </c>
      <c r="L13" s="66">
        <v>15</v>
      </c>
      <c r="M13" s="67"/>
      <c r="N13" s="66">
        <f t="shared" si="3"/>
        <v>15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62"/>
      <c r="AF13" s="62"/>
      <c r="AG13" s="64"/>
      <c r="AH13" s="67"/>
      <c r="AI13" s="65"/>
      <c r="AJ13" s="78"/>
      <c r="AK13" s="66"/>
      <c r="AL13" s="67"/>
      <c r="AM13" s="66">
        <f t="shared" si="0"/>
        <v>0</v>
      </c>
    </row>
    <row r="14" spans="1:39" s="76" customFormat="1" ht="100.05" customHeight="1" x14ac:dyDescent="0.3">
      <c r="A14" s="97">
        <v>250059</v>
      </c>
      <c r="B14" s="62">
        <v>304</v>
      </c>
      <c r="C14" s="64">
        <v>0.7</v>
      </c>
      <c r="D14" s="62">
        <v>500</v>
      </c>
      <c r="E14" s="91" t="s">
        <v>360</v>
      </c>
      <c r="F14" s="62" t="s">
        <v>121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86</v>
      </c>
      <c r="L14" s="66">
        <v>660</v>
      </c>
      <c r="M14" s="67">
        <v>650</v>
      </c>
      <c r="N14" s="66">
        <f t="shared" si="3"/>
        <v>10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62"/>
      <c r="AF14" s="62"/>
      <c r="AG14" s="64"/>
      <c r="AH14" s="67"/>
      <c r="AI14" s="65"/>
      <c r="AJ14" s="78"/>
      <c r="AK14" s="66"/>
      <c r="AL14" s="67"/>
      <c r="AM14" s="66">
        <f t="shared" si="0"/>
        <v>0</v>
      </c>
    </row>
    <row r="15" spans="1:39" s="76" customFormat="1" ht="100.05" customHeight="1" x14ac:dyDescent="0.3">
      <c r="A15" s="97">
        <v>250059</v>
      </c>
      <c r="B15" s="62">
        <v>304</v>
      </c>
      <c r="C15" s="64" t="s">
        <v>337</v>
      </c>
      <c r="D15" s="62">
        <v>500</v>
      </c>
      <c r="E15" s="91" t="s">
        <v>361</v>
      </c>
      <c r="F15" s="62" t="s">
        <v>121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86</v>
      </c>
      <c r="L15" s="66">
        <v>20</v>
      </c>
      <c r="M15" s="67"/>
      <c r="N15" s="66">
        <f t="shared" si="3"/>
        <v>20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97">
        <v>250060</v>
      </c>
      <c r="B16" s="62">
        <v>304</v>
      </c>
      <c r="C16" s="64">
        <v>0.8</v>
      </c>
      <c r="D16" s="62">
        <v>388</v>
      </c>
      <c r="E16" s="91" t="s">
        <v>374</v>
      </c>
      <c r="F16" s="62" t="s">
        <v>121</v>
      </c>
      <c r="G16" s="62">
        <v>304</v>
      </c>
      <c r="H16" s="64">
        <v>0.6</v>
      </c>
      <c r="I16" s="62" t="s">
        <v>24</v>
      </c>
      <c r="J16" s="62" t="s">
        <v>24</v>
      </c>
      <c r="K16" s="62" t="s">
        <v>86</v>
      </c>
      <c r="L16" s="66">
        <v>665</v>
      </c>
      <c r="M16" s="67">
        <f>500+285</f>
        <v>785</v>
      </c>
      <c r="N16" s="66">
        <f t="shared" si="3"/>
        <v>-120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6"/>
      <c r="AB16" s="67"/>
      <c r="AC16" s="66">
        <f t="shared" si="2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97">
        <v>250060</v>
      </c>
      <c r="B17" s="62">
        <v>304</v>
      </c>
      <c r="C17" s="64" t="s">
        <v>337</v>
      </c>
      <c r="D17" s="62">
        <v>388</v>
      </c>
      <c r="E17" s="91" t="s">
        <v>375</v>
      </c>
      <c r="F17" s="62" t="s">
        <v>121</v>
      </c>
      <c r="G17" s="62">
        <v>304</v>
      </c>
      <c r="H17" s="64">
        <v>0.6</v>
      </c>
      <c r="I17" s="62" t="s">
        <v>24</v>
      </c>
      <c r="J17" s="62" t="s">
        <v>24</v>
      </c>
      <c r="K17" s="62" t="s">
        <v>86</v>
      </c>
      <c r="L17" s="66">
        <v>15</v>
      </c>
      <c r="M17" s="67">
        <v>15</v>
      </c>
      <c r="N17" s="66">
        <f t="shared" si="3"/>
        <v>0</v>
      </c>
      <c r="P17" s="62"/>
      <c r="Q17" s="62"/>
      <c r="R17" s="64"/>
      <c r="S17" s="62"/>
      <c r="T17" s="65"/>
      <c r="U17" s="62"/>
      <c r="V17" s="62"/>
      <c r="W17" s="64"/>
      <c r="X17" s="62"/>
      <c r="Y17" s="62"/>
      <c r="Z17" s="62"/>
      <c r="AA17" s="66"/>
      <c r="AB17" s="67"/>
      <c r="AC17" s="66">
        <f t="shared" si="2"/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6" customFormat="1" ht="100.05" customHeight="1" x14ac:dyDescent="0.3">
      <c r="A18" s="97">
        <v>250060</v>
      </c>
      <c r="B18" s="62">
        <v>304</v>
      </c>
      <c r="C18" s="64">
        <v>0.8</v>
      </c>
      <c r="D18" s="62">
        <v>560</v>
      </c>
      <c r="E18" s="91" t="s">
        <v>376</v>
      </c>
      <c r="F18" s="62" t="s">
        <v>121</v>
      </c>
      <c r="G18" s="62">
        <v>304</v>
      </c>
      <c r="H18" s="64">
        <v>0.6</v>
      </c>
      <c r="I18" s="62" t="s">
        <v>24</v>
      </c>
      <c r="J18" s="62" t="s">
        <v>24</v>
      </c>
      <c r="K18" s="62" t="s">
        <v>86</v>
      </c>
      <c r="L18" s="66">
        <v>665</v>
      </c>
      <c r="M18" s="67"/>
      <c r="N18" s="66">
        <f t="shared" si="3"/>
        <v>665</v>
      </c>
      <c r="P18" s="62"/>
      <c r="Q18" s="62"/>
      <c r="R18" s="64"/>
      <c r="S18" s="62"/>
      <c r="T18" s="65"/>
      <c r="U18" s="62"/>
      <c r="V18" s="62"/>
      <c r="W18" s="64"/>
      <c r="X18" s="62"/>
      <c r="Y18" s="62"/>
      <c r="Z18" s="62"/>
      <c r="AA18" s="66"/>
      <c r="AB18" s="67"/>
      <c r="AC18" s="66">
        <f t="shared" si="2"/>
        <v>0</v>
      </c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</row>
    <row r="19" spans="1:40" s="76" customFormat="1" ht="100.05" customHeight="1" x14ac:dyDescent="0.3">
      <c r="A19" s="97">
        <v>250060</v>
      </c>
      <c r="B19" s="62">
        <v>304</v>
      </c>
      <c r="C19" s="64" t="s">
        <v>337</v>
      </c>
      <c r="D19" s="62">
        <v>560</v>
      </c>
      <c r="E19" s="91" t="s">
        <v>377</v>
      </c>
      <c r="F19" s="62" t="s">
        <v>121</v>
      </c>
      <c r="G19" s="62">
        <v>304</v>
      </c>
      <c r="H19" s="64">
        <v>0.6</v>
      </c>
      <c r="I19" s="62" t="s">
        <v>24</v>
      </c>
      <c r="J19" s="62" t="s">
        <v>24</v>
      </c>
      <c r="K19" s="62" t="s">
        <v>86</v>
      </c>
      <c r="L19" s="90">
        <v>15</v>
      </c>
      <c r="M19" s="67"/>
      <c r="N19" s="66">
        <f t="shared" si="3"/>
        <v>15</v>
      </c>
      <c r="P19" s="62"/>
      <c r="Q19" s="62"/>
      <c r="R19" s="64"/>
      <c r="S19" s="62"/>
      <c r="T19" s="65"/>
      <c r="U19" s="62"/>
      <c r="V19" s="62"/>
      <c r="W19" s="64"/>
      <c r="X19" s="62"/>
      <c r="Y19" s="62"/>
      <c r="Z19" s="62"/>
      <c r="AA19" s="66"/>
      <c r="AB19" s="67"/>
      <c r="AC19" s="66">
        <f t="shared" si="2"/>
        <v>0</v>
      </c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</row>
    <row r="20" spans="1:40" s="76" customFormat="1" ht="100.05" customHeight="1" x14ac:dyDescent="0.3">
      <c r="A20" s="97"/>
      <c r="B20" s="62"/>
      <c r="C20" s="64"/>
      <c r="D20" s="62"/>
      <c r="E20" s="65"/>
      <c r="F20" s="62"/>
      <c r="G20" s="62"/>
      <c r="H20" s="64"/>
      <c r="I20" s="62"/>
      <c r="J20" s="62"/>
      <c r="K20" s="62"/>
      <c r="L20" s="62"/>
      <c r="M20" s="67"/>
      <c r="N20" s="66">
        <f t="shared" si="3"/>
        <v>0</v>
      </c>
      <c r="P20" s="62"/>
      <c r="Q20" s="62"/>
      <c r="R20" s="64"/>
      <c r="S20" s="62"/>
      <c r="T20" s="65"/>
      <c r="U20" s="62"/>
      <c r="V20" s="62"/>
      <c r="W20" s="64"/>
      <c r="X20" s="62"/>
      <c r="Y20" s="62"/>
      <c r="Z20" s="62"/>
      <c r="AA20" s="62"/>
      <c r="AB20" s="67"/>
      <c r="AC20" s="66">
        <f t="shared" si="2"/>
        <v>0</v>
      </c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</row>
    <row r="21" spans="1:40" s="76" customFormat="1" ht="100.05" customHeight="1" x14ac:dyDescent="0.3">
      <c r="A21" s="68"/>
      <c r="B21" s="68"/>
      <c r="C21" s="69"/>
      <c r="D21" s="68"/>
      <c r="E21" s="70"/>
      <c r="F21" s="68"/>
      <c r="G21" s="68"/>
      <c r="H21" s="69"/>
      <c r="I21" s="68"/>
      <c r="J21" s="68"/>
      <c r="K21" s="68"/>
      <c r="L21" s="66">
        <f>SUM(L4:L20)</f>
        <v>6400</v>
      </c>
      <c r="M21" s="71">
        <f>SUM(M4:M20)</f>
        <v>2850</v>
      </c>
      <c r="N21" s="66">
        <f>SUM(N4:N20)</f>
        <v>3550</v>
      </c>
      <c r="P21" s="68"/>
      <c r="Q21" s="68"/>
      <c r="R21" s="69"/>
      <c r="S21" s="68"/>
      <c r="T21" s="70"/>
      <c r="U21" s="68"/>
      <c r="V21" s="68"/>
      <c r="W21" s="69"/>
      <c r="X21" s="68"/>
      <c r="Y21" s="68"/>
      <c r="Z21" s="68"/>
      <c r="AA21" s="66">
        <f>AA4+AA6+AA7+AA8+AA20</f>
        <v>0</v>
      </c>
      <c r="AB21" s="71">
        <f>SUM(AB4:AB20)</f>
        <v>0</v>
      </c>
      <c r="AC21" s="66">
        <f>SUM(AC4:AC20)</f>
        <v>0</v>
      </c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</row>
    <row r="22" spans="1:40" s="75" customFormat="1" ht="100.05" customHeight="1" x14ac:dyDescent="0.3">
      <c r="A22" s="79"/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6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6"/>
    </row>
    <row r="23" spans="1:40" s="75" customFormat="1" ht="100.05" customHeight="1" x14ac:dyDescent="0.3">
      <c r="A23" s="109" t="s">
        <v>333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1"/>
      <c r="P23" s="109" t="s">
        <v>99</v>
      </c>
      <c r="Q23" s="110"/>
      <c r="R23" s="110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1"/>
      <c r="AD23" s="76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6"/>
    </row>
    <row r="24" spans="1:40" s="75" customFormat="1" ht="145.80000000000001" x14ac:dyDescent="0.3">
      <c r="A24" s="81" t="s">
        <v>0</v>
      </c>
      <c r="B24" s="81" t="s">
        <v>9</v>
      </c>
      <c r="C24" s="82" t="s">
        <v>11</v>
      </c>
      <c r="D24" s="81" t="s">
        <v>2</v>
      </c>
      <c r="E24" s="81" t="s">
        <v>1</v>
      </c>
      <c r="F24" s="81" t="s">
        <v>14</v>
      </c>
      <c r="G24" s="81" t="s">
        <v>8</v>
      </c>
      <c r="H24" s="82" t="s">
        <v>10</v>
      </c>
      <c r="I24" s="82" t="s">
        <v>12</v>
      </c>
      <c r="J24" s="82" t="s">
        <v>13</v>
      </c>
      <c r="K24" s="81" t="s">
        <v>3</v>
      </c>
      <c r="L24" s="81" t="s">
        <v>7</v>
      </c>
      <c r="M24" s="81" t="s">
        <v>5</v>
      </c>
      <c r="N24" s="81" t="s">
        <v>6</v>
      </c>
      <c r="P24" s="81" t="s">
        <v>0</v>
      </c>
      <c r="Q24" s="81" t="s">
        <v>9</v>
      </c>
      <c r="R24" s="82" t="s">
        <v>11</v>
      </c>
      <c r="S24" s="81" t="s">
        <v>2</v>
      </c>
      <c r="T24" s="81" t="s">
        <v>1</v>
      </c>
      <c r="U24" s="81" t="s">
        <v>14</v>
      </c>
      <c r="V24" s="81" t="s">
        <v>8</v>
      </c>
      <c r="W24" s="82" t="s">
        <v>10</v>
      </c>
      <c r="X24" s="82" t="s">
        <v>12</v>
      </c>
      <c r="Y24" s="82" t="s">
        <v>13</v>
      </c>
      <c r="Z24" s="81" t="s">
        <v>3</v>
      </c>
      <c r="AA24" s="81" t="s">
        <v>7</v>
      </c>
      <c r="AB24" s="81" t="s">
        <v>5</v>
      </c>
      <c r="AC24" s="81" t="s">
        <v>6</v>
      </c>
      <c r="AD24" s="76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6"/>
    </row>
    <row r="25" spans="1:40" s="76" customFormat="1" ht="100.05" customHeight="1" x14ac:dyDescent="0.3">
      <c r="A25" s="97">
        <v>250081</v>
      </c>
      <c r="B25" s="97">
        <v>304</v>
      </c>
      <c r="C25" s="64">
        <v>0.6</v>
      </c>
      <c r="D25" s="62">
        <v>467</v>
      </c>
      <c r="E25" s="91" t="s">
        <v>310</v>
      </c>
      <c r="F25" s="62" t="s">
        <v>181</v>
      </c>
      <c r="G25" s="62">
        <v>430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500</v>
      </c>
      <c r="M25" s="67"/>
      <c r="N25" s="66">
        <f t="shared" ref="N25" si="4">L25-M25</f>
        <v>500</v>
      </c>
      <c r="P25" s="62">
        <v>311025</v>
      </c>
      <c r="Q25" s="62">
        <v>304</v>
      </c>
      <c r="R25" s="64">
        <v>0.9</v>
      </c>
      <c r="S25" s="62">
        <v>327</v>
      </c>
      <c r="T25" s="93" t="s">
        <v>325</v>
      </c>
      <c r="U25" s="62" t="s">
        <v>42</v>
      </c>
      <c r="V25" s="62">
        <v>430</v>
      </c>
      <c r="W25" s="64">
        <v>0.5</v>
      </c>
      <c r="X25" s="62" t="s">
        <v>24</v>
      </c>
      <c r="Y25" s="62" t="s">
        <v>24</v>
      </c>
      <c r="Z25" s="62" t="s">
        <v>74</v>
      </c>
      <c r="AA25" s="66">
        <v>3200</v>
      </c>
      <c r="AB25" s="67">
        <f>700+2000+800</f>
        <v>3500</v>
      </c>
      <c r="AC25" s="66">
        <f t="shared" ref="AC25:AC53" si="5">AA25-AB25</f>
        <v>-300</v>
      </c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</row>
    <row r="26" spans="1:40" s="76" customFormat="1" ht="100.05" customHeight="1" x14ac:dyDescent="0.3">
      <c r="A26" s="97" t="s">
        <v>300</v>
      </c>
      <c r="B26" s="97">
        <v>304</v>
      </c>
      <c r="C26" s="64">
        <v>0.7</v>
      </c>
      <c r="D26" s="62">
        <v>289</v>
      </c>
      <c r="E26" s="91" t="s">
        <v>303</v>
      </c>
      <c r="F26" s="62" t="s">
        <v>121</v>
      </c>
      <c r="G26" s="62">
        <v>430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1000</v>
      </c>
      <c r="M26" s="67"/>
      <c r="N26" s="66">
        <f>L26-M26</f>
        <v>1000</v>
      </c>
      <c r="P26" s="62">
        <v>311025</v>
      </c>
      <c r="Q26" s="62">
        <v>304</v>
      </c>
      <c r="R26" s="64">
        <v>0.9</v>
      </c>
      <c r="S26" s="62">
        <v>369</v>
      </c>
      <c r="T26" s="93" t="s">
        <v>326</v>
      </c>
      <c r="U26" s="62" t="s">
        <v>42</v>
      </c>
      <c r="V26" s="62">
        <v>430</v>
      </c>
      <c r="W26" s="64">
        <v>0.5</v>
      </c>
      <c r="X26" s="62" t="s">
        <v>24</v>
      </c>
      <c r="Y26" s="62" t="s">
        <v>24</v>
      </c>
      <c r="Z26" s="62" t="s">
        <v>74</v>
      </c>
      <c r="AA26" s="66">
        <v>500</v>
      </c>
      <c r="AB26" s="67">
        <v>500</v>
      </c>
      <c r="AC26" s="66">
        <f t="shared" si="5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7">
        <v>250060</v>
      </c>
      <c r="B27" s="97">
        <v>304</v>
      </c>
      <c r="C27" s="64">
        <v>0.8</v>
      </c>
      <c r="D27" s="62">
        <v>289</v>
      </c>
      <c r="E27" s="91" t="s">
        <v>343</v>
      </c>
      <c r="F27" s="62" t="s">
        <v>121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665</v>
      </c>
      <c r="M27" s="67"/>
      <c r="N27" s="66">
        <f>L27-M27</f>
        <v>665</v>
      </c>
      <c r="P27" s="62">
        <v>250059</v>
      </c>
      <c r="Q27" s="62">
        <v>304</v>
      </c>
      <c r="R27" s="64">
        <v>0.9</v>
      </c>
      <c r="S27" s="62">
        <v>290</v>
      </c>
      <c r="T27" s="93" t="s">
        <v>378</v>
      </c>
      <c r="U27" s="62" t="s">
        <v>42</v>
      </c>
      <c r="V27" s="62">
        <v>304</v>
      </c>
      <c r="W27" s="64">
        <v>0.5</v>
      </c>
      <c r="X27" s="62" t="s">
        <v>24</v>
      </c>
      <c r="Y27" s="62" t="s">
        <v>24</v>
      </c>
      <c r="Z27" s="62" t="s">
        <v>74</v>
      </c>
      <c r="AA27" s="66">
        <v>680</v>
      </c>
      <c r="AB27" s="67">
        <v>200</v>
      </c>
      <c r="AC27" s="66">
        <f t="shared" si="5"/>
        <v>480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7">
        <v>250060</v>
      </c>
      <c r="B28" s="97">
        <v>304</v>
      </c>
      <c r="C28" s="64" t="s">
        <v>337</v>
      </c>
      <c r="D28" s="62">
        <v>289</v>
      </c>
      <c r="E28" s="91" t="s">
        <v>344</v>
      </c>
      <c r="F28" s="62" t="s">
        <v>121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15</v>
      </c>
      <c r="M28" s="67"/>
      <c r="N28" s="66">
        <f>L28-M28</f>
        <v>15</v>
      </c>
      <c r="P28" s="62"/>
      <c r="Q28" s="62"/>
      <c r="R28" s="64"/>
      <c r="S28" s="62"/>
      <c r="T28" s="93"/>
      <c r="U28" s="62"/>
      <c r="V28" s="62"/>
      <c r="W28" s="64"/>
      <c r="X28" s="62"/>
      <c r="Y28" s="62"/>
      <c r="Z28" s="62"/>
      <c r="AA28" s="66"/>
      <c r="AB28" s="67"/>
      <c r="AC28" s="66">
        <f t="shared" si="5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99.6" customHeight="1" x14ac:dyDescent="0.3">
      <c r="A29" s="97">
        <v>250058</v>
      </c>
      <c r="B29" s="97">
        <v>304</v>
      </c>
      <c r="C29" s="64">
        <v>0.7</v>
      </c>
      <c r="D29" s="62">
        <v>427</v>
      </c>
      <c r="E29" s="91" t="s">
        <v>345</v>
      </c>
      <c r="F29" s="62" t="s">
        <v>181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86</v>
      </c>
      <c r="L29" s="66">
        <v>785</v>
      </c>
      <c r="M29" s="67">
        <v>785</v>
      </c>
      <c r="N29" s="90">
        <f t="shared" ref="N29:N53" si="6">L29-M29</f>
        <v>0</v>
      </c>
      <c r="P29" s="62"/>
      <c r="Q29" s="62"/>
      <c r="R29" s="64"/>
      <c r="S29" s="62"/>
      <c r="T29" s="93"/>
      <c r="U29" s="62"/>
      <c r="V29" s="62"/>
      <c r="W29" s="64"/>
      <c r="X29" s="62"/>
      <c r="Y29" s="62"/>
      <c r="Z29" s="62"/>
      <c r="AA29" s="66"/>
      <c r="AB29" s="67"/>
      <c r="AC29" s="66">
        <f t="shared" si="5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7">
        <v>250058</v>
      </c>
      <c r="B30" s="97">
        <v>304</v>
      </c>
      <c r="C30" s="64" t="s">
        <v>337</v>
      </c>
      <c r="D30" s="62">
        <v>427</v>
      </c>
      <c r="E30" s="91" t="s">
        <v>346</v>
      </c>
      <c r="F30" s="62" t="s">
        <v>181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15</v>
      </c>
      <c r="M30" s="67">
        <v>15</v>
      </c>
      <c r="N30" s="66">
        <f t="shared" si="6"/>
        <v>0</v>
      </c>
      <c r="P30" s="62"/>
      <c r="Q30" s="62"/>
      <c r="R30" s="64"/>
      <c r="S30" s="62"/>
      <c r="T30" s="93"/>
      <c r="U30" s="62"/>
      <c r="V30" s="62"/>
      <c r="W30" s="64"/>
      <c r="X30" s="62"/>
      <c r="Y30" s="62"/>
      <c r="Z30" s="62"/>
      <c r="AA30" s="66"/>
      <c r="AB30" s="67"/>
      <c r="AC30" s="66">
        <f t="shared" si="5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97">
        <v>250058</v>
      </c>
      <c r="B31" s="97">
        <v>304</v>
      </c>
      <c r="C31" s="64">
        <v>0.7</v>
      </c>
      <c r="D31" s="62">
        <v>362</v>
      </c>
      <c r="E31" s="91" t="s">
        <v>347</v>
      </c>
      <c r="F31" s="62" t="s">
        <v>181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785</v>
      </c>
      <c r="M31" s="67">
        <v>785</v>
      </c>
      <c r="N31" s="66">
        <f t="shared" si="6"/>
        <v>0</v>
      </c>
      <c r="P31" s="62"/>
      <c r="Q31" s="62"/>
      <c r="R31" s="64"/>
      <c r="S31" s="62"/>
      <c r="T31" s="93"/>
      <c r="U31" s="62"/>
      <c r="V31" s="62"/>
      <c r="W31" s="64"/>
      <c r="X31" s="62"/>
      <c r="Y31" s="62"/>
      <c r="Z31" s="62"/>
      <c r="AA31" s="66"/>
      <c r="AB31" s="67"/>
      <c r="AC31" s="66">
        <f t="shared" si="5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97">
        <v>250058</v>
      </c>
      <c r="B32" s="97">
        <v>304</v>
      </c>
      <c r="C32" s="64" t="s">
        <v>337</v>
      </c>
      <c r="D32" s="62">
        <v>362</v>
      </c>
      <c r="E32" s="91" t="s">
        <v>348</v>
      </c>
      <c r="F32" s="62" t="s">
        <v>181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86</v>
      </c>
      <c r="L32" s="66">
        <v>15</v>
      </c>
      <c r="M32" s="67">
        <v>15</v>
      </c>
      <c r="N32" s="66">
        <f t="shared" si="6"/>
        <v>0</v>
      </c>
      <c r="P32" s="62"/>
      <c r="Q32" s="62"/>
      <c r="R32" s="64"/>
      <c r="S32" s="62"/>
      <c r="T32" s="93"/>
      <c r="U32" s="62"/>
      <c r="V32" s="62"/>
      <c r="W32" s="64"/>
      <c r="X32" s="62"/>
      <c r="Y32" s="62"/>
      <c r="Z32" s="62"/>
      <c r="AA32" s="66"/>
      <c r="AB32" s="67"/>
      <c r="AC32" s="66">
        <f t="shared" si="5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97">
        <v>250059</v>
      </c>
      <c r="B33" s="97">
        <v>304</v>
      </c>
      <c r="C33" s="64">
        <v>0.7</v>
      </c>
      <c r="D33" s="62">
        <v>433</v>
      </c>
      <c r="E33" s="91" t="s">
        <v>350</v>
      </c>
      <c r="F33" s="62" t="s">
        <v>121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660</v>
      </c>
      <c r="M33" s="67">
        <v>200</v>
      </c>
      <c r="N33" s="66">
        <f t="shared" si="6"/>
        <v>460</v>
      </c>
      <c r="P33" s="62"/>
      <c r="Q33" s="62"/>
      <c r="R33" s="64"/>
      <c r="S33" s="62"/>
      <c r="T33" s="93"/>
      <c r="U33" s="62"/>
      <c r="V33" s="62"/>
      <c r="W33" s="64"/>
      <c r="X33" s="62"/>
      <c r="Y33" s="62"/>
      <c r="Z33" s="62"/>
      <c r="AA33" s="66"/>
      <c r="AB33" s="67"/>
      <c r="AC33" s="66">
        <f t="shared" si="5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97">
        <v>250059</v>
      </c>
      <c r="B34" s="97">
        <v>304</v>
      </c>
      <c r="C34" s="64" t="s">
        <v>337</v>
      </c>
      <c r="D34" s="62">
        <v>433</v>
      </c>
      <c r="E34" s="91" t="s">
        <v>351</v>
      </c>
      <c r="F34" s="62" t="s">
        <v>121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86</v>
      </c>
      <c r="L34" s="66">
        <v>20</v>
      </c>
      <c r="M34" s="67"/>
      <c r="N34" s="66">
        <f t="shared" si="6"/>
        <v>20</v>
      </c>
      <c r="P34" s="62"/>
      <c r="Q34" s="62"/>
      <c r="R34" s="64"/>
      <c r="S34" s="62"/>
      <c r="T34" s="93"/>
      <c r="U34" s="62"/>
      <c r="V34" s="62"/>
      <c r="W34" s="64"/>
      <c r="X34" s="62"/>
      <c r="Y34" s="62"/>
      <c r="Z34" s="62"/>
      <c r="AA34" s="66"/>
      <c r="AB34" s="67"/>
      <c r="AC34" s="66">
        <f t="shared" si="5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97">
        <v>250060</v>
      </c>
      <c r="B35" s="97">
        <v>304</v>
      </c>
      <c r="C35" s="64">
        <v>0.8</v>
      </c>
      <c r="D35" s="62">
        <v>433</v>
      </c>
      <c r="E35" s="91" t="s">
        <v>352</v>
      </c>
      <c r="F35" s="62" t="s">
        <v>121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86</v>
      </c>
      <c r="L35" s="66">
        <v>665</v>
      </c>
      <c r="M35" s="67"/>
      <c r="N35" s="66">
        <f t="shared" si="6"/>
        <v>665</v>
      </c>
      <c r="P35" s="62"/>
      <c r="Q35" s="62"/>
      <c r="R35" s="64"/>
      <c r="S35" s="62"/>
      <c r="T35" s="93"/>
      <c r="U35" s="62"/>
      <c r="V35" s="62"/>
      <c r="W35" s="64"/>
      <c r="X35" s="62"/>
      <c r="Y35" s="62"/>
      <c r="Z35" s="62"/>
      <c r="AA35" s="66"/>
      <c r="AB35" s="67"/>
      <c r="AC35" s="66">
        <f t="shared" si="5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97">
        <v>250060</v>
      </c>
      <c r="B36" s="97">
        <v>304</v>
      </c>
      <c r="C36" s="64" t="s">
        <v>354</v>
      </c>
      <c r="D36" s="62">
        <v>433</v>
      </c>
      <c r="E36" s="91" t="s">
        <v>355</v>
      </c>
      <c r="F36" s="62" t="s">
        <v>121</v>
      </c>
      <c r="G36" s="62">
        <v>304</v>
      </c>
      <c r="H36" s="64">
        <v>0.6</v>
      </c>
      <c r="I36" s="62" t="s">
        <v>24</v>
      </c>
      <c r="J36" s="62" t="s">
        <v>24</v>
      </c>
      <c r="K36" s="62" t="s">
        <v>86</v>
      </c>
      <c r="L36" s="66">
        <v>15</v>
      </c>
      <c r="M36" s="67"/>
      <c r="N36" s="66">
        <f t="shared" si="6"/>
        <v>15</v>
      </c>
      <c r="P36" s="62"/>
      <c r="Q36" s="62"/>
      <c r="R36" s="64"/>
      <c r="S36" s="62"/>
      <c r="T36" s="93"/>
      <c r="U36" s="62"/>
      <c r="V36" s="62"/>
      <c r="W36" s="64"/>
      <c r="X36" s="62"/>
      <c r="Y36" s="62"/>
      <c r="Z36" s="62"/>
      <c r="AA36" s="66"/>
      <c r="AB36" s="67"/>
      <c r="AC36" s="66">
        <f t="shared" si="5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97">
        <v>250059</v>
      </c>
      <c r="B37" s="97">
        <v>304</v>
      </c>
      <c r="C37" s="64">
        <v>0.7</v>
      </c>
      <c r="D37" s="62">
        <v>323</v>
      </c>
      <c r="E37" s="91" t="s">
        <v>349</v>
      </c>
      <c r="F37" s="62" t="s">
        <v>121</v>
      </c>
      <c r="G37" s="62">
        <v>304</v>
      </c>
      <c r="H37" s="64">
        <v>0.6</v>
      </c>
      <c r="I37" s="62" t="s">
        <v>24</v>
      </c>
      <c r="J37" s="62" t="s">
        <v>24</v>
      </c>
      <c r="K37" s="62" t="s">
        <v>86</v>
      </c>
      <c r="L37" s="66">
        <v>660</v>
      </c>
      <c r="M37" s="67"/>
      <c r="N37" s="66">
        <f t="shared" si="6"/>
        <v>660</v>
      </c>
      <c r="P37" s="62"/>
      <c r="Q37" s="62"/>
      <c r="R37" s="64"/>
      <c r="S37" s="62"/>
      <c r="T37" s="93"/>
      <c r="U37" s="62"/>
      <c r="V37" s="62"/>
      <c r="W37" s="64"/>
      <c r="X37" s="62"/>
      <c r="Y37" s="62"/>
      <c r="Z37" s="62"/>
      <c r="AA37" s="66"/>
      <c r="AB37" s="67"/>
      <c r="AC37" s="66">
        <f t="shared" si="5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97">
        <v>250059</v>
      </c>
      <c r="B38" s="97">
        <v>304</v>
      </c>
      <c r="C38" s="64" t="s">
        <v>337</v>
      </c>
      <c r="D38" s="62">
        <v>323</v>
      </c>
      <c r="E38" s="91" t="s">
        <v>353</v>
      </c>
      <c r="F38" s="62" t="s">
        <v>121</v>
      </c>
      <c r="G38" s="62">
        <v>304</v>
      </c>
      <c r="H38" s="64">
        <v>0.6</v>
      </c>
      <c r="I38" s="62" t="s">
        <v>24</v>
      </c>
      <c r="J38" s="62" t="s">
        <v>24</v>
      </c>
      <c r="K38" s="62" t="s">
        <v>86</v>
      </c>
      <c r="L38" s="66">
        <v>20</v>
      </c>
      <c r="M38" s="67"/>
      <c r="N38" s="66">
        <f t="shared" si="6"/>
        <v>20</v>
      </c>
      <c r="P38" s="62"/>
      <c r="Q38" s="62"/>
      <c r="R38" s="64"/>
      <c r="S38" s="62"/>
      <c r="T38" s="93"/>
      <c r="U38" s="62"/>
      <c r="V38" s="62"/>
      <c r="W38" s="64"/>
      <c r="X38" s="62"/>
      <c r="Y38" s="62"/>
      <c r="Z38" s="62"/>
      <c r="AA38" s="66"/>
      <c r="AB38" s="67"/>
      <c r="AC38" s="66">
        <f t="shared" si="5"/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>
        <f t="shared" si="0"/>
        <v>0</v>
      </c>
      <c r="AN38" s="75"/>
    </row>
    <row r="39" spans="1:40" s="76" customFormat="1" ht="100.05" customHeight="1" x14ac:dyDescent="0.3">
      <c r="A39" s="97">
        <v>250060</v>
      </c>
      <c r="B39" s="97">
        <v>304</v>
      </c>
      <c r="C39" s="64">
        <v>0.8</v>
      </c>
      <c r="D39" s="62">
        <v>323</v>
      </c>
      <c r="E39" s="91" t="s">
        <v>356</v>
      </c>
      <c r="F39" s="62" t="s">
        <v>121</v>
      </c>
      <c r="G39" s="62">
        <v>304</v>
      </c>
      <c r="H39" s="64">
        <v>0.6</v>
      </c>
      <c r="I39" s="62" t="s">
        <v>24</v>
      </c>
      <c r="J39" s="62" t="s">
        <v>24</v>
      </c>
      <c r="K39" s="62" t="s">
        <v>86</v>
      </c>
      <c r="L39" s="66">
        <v>665</v>
      </c>
      <c r="M39" s="67"/>
      <c r="N39" s="66">
        <f t="shared" si="6"/>
        <v>665</v>
      </c>
      <c r="P39" s="62"/>
      <c r="Q39" s="62"/>
      <c r="R39" s="64"/>
      <c r="S39" s="62"/>
      <c r="T39" s="93"/>
      <c r="U39" s="62"/>
      <c r="V39" s="62"/>
      <c r="W39" s="64"/>
      <c r="X39" s="62"/>
      <c r="Y39" s="62"/>
      <c r="Z39" s="62"/>
      <c r="AA39" s="66"/>
      <c r="AB39" s="67"/>
      <c r="AC39" s="66">
        <f t="shared" si="5"/>
        <v>0</v>
      </c>
      <c r="AD39" s="75"/>
      <c r="AE39" s="62"/>
      <c r="AF39" s="62"/>
      <c r="AG39" s="64"/>
      <c r="AH39" s="67"/>
      <c r="AI39" s="65"/>
      <c r="AJ39" s="78"/>
      <c r="AK39" s="66"/>
      <c r="AL39" s="67"/>
      <c r="AM39" s="66">
        <f t="shared" si="0"/>
        <v>0</v>
      </c>
      <c r="AN39" s="75"/>
    </row>
    <row r="40" spans="1:40" s="76" customFormat="1" ht="100.05" customHeight="1" x14ac:dyDescent="0.3">
      <c r="A40" s="97">
        <v>250060</v>
      </c>
      <c r="B40" s="97">
        <v>304</v>
      </c>
      <c r="C40" s="64" t="s">
        <v>337</v>
      </c>
      <c r="D40" s="62">
        <v>323</v>
      </c>
      <c r="E40" s="91" t="s">
        <v>357</v>
      </c>
      <c r="F40" s="62" t="s">
        <v>121</v>
      </c>
      <c r="G40" s="62">
        <v>304</v>
      </c>
      <c r="H40" s="64">
        <v>0.6</v>
      </c>
      <c r="I40" s="62" t="s">
        <v>24</v>
      </c>
      <c r="J40" s="62" t="s">
        <v>24</v>
      </c>
      <c r="K40" s="62" t="s">
        <v>86</v>
      </c>
      <c r="L40" s="66">
        <v>15</v>
      </c>
      <c r="M40" s="67"/>
      <c r="N40" s="66">
        <f t="shared" si="6"/>
        <v>15</v>
      </c>
      <c r="P40" s="62"/>
      <c r="Q40" s="62"/>
      <c r="R40" s="64"/>
      <c r="S40" s="62"/>
      <c r="T40" s="93"/>
      <c r="U40" s="62"/>
      <c r="V40" s="62"/>
      <c r="W40" s="64"/>
      <c r="X40" s="62"/>
      <c r="Y40" s="62"/>
      <c r="Z40" s="62"/>
      <c r="AA40" s="66"/>
      <c r="AB40" s="67"/>
      <c r="AC40" s="66">
        <f t="shared" si="5"/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100.05" customHeight="1" x14ac:dyDescent="0.3">
      <c r="A41" s="97">
        <v>250058</v>
      </c>
      <c r="B41" s="97">
        <v>304</v>
      </c>
      <c r="C41" s="64">
        <v>0.7</v>
      </c>
      <c r="D41" s="62">
        <v>350</v>
      </c>
      <c r="E41" s="91" t="s">
        <v>362</v>
      </c>
      <c r="F41" s="62" t="s">
        <v>181</v>
      </c>
      <c r="G41" s="62">
        <v>304</v>
      </c>
      <c r="H41" s="64">
        <v>0.6</v>
      </c>
      <c r="I41" s="62" t="s">
        <v>24</v>
      </c>
      <c r="J41" s="62" t="s">
        <v>24</v>
      </c>
      <c r="K41" s="62" t="s">
        <v>86</v>
      </c>
      <c r="L41" s="66">
        <v>785</v>
      </c>
      <c r="M41" s="67"/>
      <c r="N41" s="66">
        <f t="shared" si="6"/>
        <v>785</v>
      </c>
      <c r="P41" s="62"/>
      <c r="Q41" s="62"/>
      <c r="R41" s="64"/>
      <c r="S41" s="62"/>
      <c r="T41" s="93"/>
      <c r="U41" s="62"/>
      <c r="V41" s="62"/>
      <c r="W41" s="64"/>
      <c r="X41" s="62"/>
      <c r="Y41" s="62"/>
      <c r="Z41" s="62"/>
      <c r="AA41" s="66"/>
      <c r="AB41" s="67"/>
      <c r="AC41" s="66">
        <f t="shared" si="5"/>
        <v>0</v>
      </c>
      <c r="AD41" s="75"/>
      <c r="AE41" s="62"/>
      <c r="AF41" s="62"/>
      <c r="AG41" s="64"/>
      <c r="AH41" s="67"/>
      <c r="AI41" s="65"/>
      <c r="AJ41" s="78"/>
      <c r="AK41" s="66"/>
      <c r="AL41" s="67"/>
      <c r="AM41" s="66">
        <f t="shared" si="0"/>
        <v>0</v>
      </c>
      <c r="AN41" s="75"/>
    </row>
    <row r="42" spans="1:40" s="76" customFormat="1" ht="100.05" customHeight="1" x14ac:dyDescent="0.3">
      <c r="A42" s="97">
        <v>250058</v>
      </c>
      <c r="B42" s="97">
        <v>304</v>
      </c>
      <c r="C42" s="64" t="s">
        <v>354</v>
      </c>
      <c r="D42" s="62">
        <v>350</v>
      </c>
      <c r="E42" s="91" t="s">
        <v>363</v>
      </c>
      <c r="F42" s="62" t="s">
        <v>181</v>
      </c>
      <c r="G42" s="62">
        <v>304</v>
      </c>
      <c r="H42" s="64">
        <v>0.6</v>
      </c>
      <c r="I42" s="62" t="s">
        <v>24</v>
      </c>
      <c r="J42" s="62" t="s">
        <v>24</v>
      </c>
      <c r="K42" s="62" t="s">
        <v>86</v>
      </c>
      <c r="L42" s="66">
        <v>15</v>
      </c>
      <c r="M42" s="67"/>
      <c r="N42" s="66">
        <f t="shared" si="6"/>
        <v>15</v>
      </c>
      <c r="P42" s="62"/>
      <c r="Q42" s="62"/>
      <c r="R42" s="64"/>
      <c r="S42" s="62"/>
      <c r="T42" s="93"/>
      <c r="U42" s="62"/>
      <c r="V42" s="62"/>
      <c r="W42" s="64"/>
      <c r="X42" s="62"/>
      <c r="Y42" s="62"/>
      <c r="Z42" s="62"/>
      <c r="AA42" s="66"/>
      <c r="AB42" s="67"/>
      <c r="AC42" s="66">
        <f t="shared" si="5"/>
        <v>0</v>
      </c>
      <c r="AD42" s="75"/>
      <c r="AE42" s="62"/>
      <c r="AF42" s="62"/>
      <c r="AG42" s="64"/>
      <c r="AH42" s="67"/>
      <c r="AI42" s="65"/>
      <c r="AJ42" s="78"/>
      <c r="AK42" s="66"/>
      <c r="AL42" s="67"/>
      <c r="AM42" s="66">
        <f t="shared" si="0"/>
        <v>0</v>
      </c>
      <c r="AN42" s="75"/>
    </row>
    <row r="43" spans="1:40" s="76" customFormat="1" ht="100.05" customHeight="1" x14ac:dyDescent="0.3">
      <c r="A43" s="97">
        <v>250059</v>
      </c>
      <c r="B43" s="97">
        <v>304</v>
      </c>
      <c r="C43" s="64">
        <v>0.7</v>
      </c>
      <c r="D43" s="62">
        <v>350</v>
      </c>
      <c r="E43" s="91" t="s">
        <v>367</v>
      </c>
      <c r="F43" s="62" t="s">
        <v>121</v>
      </c>
      <c r="G43" s="62">
        <v>304</v>
      </c>
      <c r="H43" s="64">
        <v>0.6</v>
      </c>
      <c r="I43" s="62" t="s">
        <v>24</v>
      </c>
      <c r="J43" s="62" t="s">
        <v>24</v>
      </c>
      <c r="K43" s="62" t="s">
        <v>86</v>
      </c>
      <c r="L43" s="66">
        <v>660</v>
      </c>
      <c r="M43" s="67"/>
      <c r="N43" s="66">
        <f t="shared" si="6"/>
        <v>660</v>
      </c>
      <c r="P43" s="62"/>
      <c r="Q43" s="62"/>
      <c r="R43" s="64"/>
      <c r="S43" s="62"/>
      <c r="T43" s="93"/>
      <c r="U43" s="62"/>
      <c r="V43" s="62"/>
      <c r="W43" s="64"/>
      <c r="X43" s="62"/>
      <c r="Y43" s="62"/>
      <c r="Z43" s="62"/>
      <c r="AA43" s="66"/>
      <c r="AB43" s="67"/>
      <c r="AC43" s="66">
        <f t="shared" si="5"/>
        <v>0</v>
      </c>
      <c r="AD43" s="75"/>
      <c r="AE43" s="62"/>
      <c r="AF43" s="62"/>
      <c r="AG43" s="64"/>
      <c r="AH43" s="67"/>
      <c r="AI43" s="65"/>
      <c r="AJ43" s="78"/>
      <c r="AK43" s="66"/>
      <c r="AL43" s="67"/>
      <c r="AM43" s="66">
        <f t="shared" si="0"/>
        <v>0</v>
      </c>
      <c r="AN43" s="75"/>
    </row>
    <row r="44" spans="1:40" s="76" customFormat="1" ht="100.05" customHeight="1" x14ac:dyDescent="0.3">
      <c r="A44" s="97">
        <v>250059</v>
      </c>
      <c r="B44" s="97">
        <v>304</v>
      </c>
      <c r="C44" s="64" t="s">
        <v>337</v>
      </c>
      <c r="D44" s="62">
        <v>350</v>
      </c>
      <c r="E44" s="91" t="s">
        <v>366</v>
      </c>
      <c r="F44" s="62" t="s">
        <v>121</v>
      </c>
      <c r="G44" s="62">
        <v>304</v>
      </c>
      <c r="H44" s="64">
        <v>0.6</v>
      </c>
      <c r="I44" s="62" t="s">
        <v>24</v>
      </c>
      <c r="J44" s="62" t="s">
        <v>24</v>
      </c>
      <c r="K44" s="62" t="s">
        <v>86</v>
      </c>
      <c r="L44" s="66">
        <v>20</v>
      </c>
      <c r="M44" s="67"/>
      <c r="N44" s="66">
        <f t="shared" si="6"/>
        <v>20</v>
      </c>
      <c r="P44" s="62"/>
      <c r="Q44" s="62"/>
      <c r="R44" s="64"/>
      <c r="S44" s="62"/>
      <c r="T44" s="93"/>
      <c r="U44" s="62"/>
      <c r="V44" s="62"/>
      <c r="W44" s="64"/>
      <c r="X44" s="62"/>
      <c r="Y44" s="62"/>
      <c r="Z44" s="62"/>
      <c r="AA44" s="66"/>
      <c r="AB44" s="67"/>
      <c r="AC44" s="66">
        <f t="shared" si="5"/>
        <v>0</v>
      </c>
      <c r="AD44" s="75"/>
      <c r="AE44" s="62"/>
      <c r="AF44" s="62"/>
      <c r="AG44" s="64"/>
      <c r="AH44" s="67"/>
      <c r="AI44" s="65"/>
      <c r="AJ44" s="78"/>
      <c r="AK44" s="66"/>
      <c r="AL44" s="67"/>
      <c r="AM44" s="66">
        <f t="shared" si="0"/>
        <v>0</v>
      </c>
      <c r="AN44" s="75"/>
    </row>
    <row r="45" spans="1:40" s="76" customFormat="1" ht="99.6" customHeight="1" x14ac:dyDescent="0.3">
      <c r="A45" s="97">
        <v>250060</v>
      </c>
      <c r="B45" s="97">
        <v>304</v>
      </c>
      <c r="C45" s="64">
        <v>0.8</v>
      </c>
      <c r="D45" s="62">
        <v>350</v>
      </c>
      <c r="E45" s="91" t="s">
        <v>364</v>
      </c>
      <c r="F45" s="62" t="s">
        <v>121</v>
      </c>
      <c r="G45" s="62">
        <v>304</v>
      </c>
      <c r="H45" s="64">
        <v>0.6</v>
      </c>
      <c r="I45" s="62" t="s">
        <v>24</v>
      </c>
      <c r="J45" s="62" t="s">
        <v>24</v>
      </c>
      <c r="K45" s="62" t="s">
        <v>86</v>
      </c>
      <c r="L45" s="66">
        <v>665</v>
      </c>
      <c r="M45" s="67"/>
      <c r="N45" s="66">
        <f t="shared" si="6"/>
        <v>665</v>
      </c>
      <c r="P45" s="62"/>
      <c r="Q45" s="62"/>
      <c r="R45" s="64"/>
      <c r="S45" s="62"/>
      <c r="T45" s="93"/>
      <c r="U45" s="62"/>
      <c r="V45" s="62"/>
      <c r="W45" s="64"/>
      <c r="X45" s="62"/>
      <c r="Y45" s="62"/>
      <c r="Z45" s="62"/>
      <c r="AA45" s="66"/>
      <c r="AB45" s="67"/>
      <c r="AC45" s="66">
        <f t="shared" si="5"/>
        <v>0</v>
      </c>
      <c r="AD45" s="75"/>
      <c r="AE45" s="62"/>
      <c r="AF45" s="62"/>
      <c r="AG45" s="64"/>
      <c r="AH45" s="67"/>
      <c r="AI45" s="65"/>
      <c r="AJ45" s="78"/>
      <c r="AK45" s="66"/>
      <c r="AL45" s="67"/>
      <c r="AM45" s="66">
        <f t="shared" si="0"/>
        <v>0</v>
      </c>
      <c r="AN45" s="75"/>
    </row>
    <row r="46" spans="1:40" s="76" customFormat="1" ht="100.05" customHeight="1" x14ac:dyDescent="0.3">
      <c r="A46" s="97">
        <v>250060</v>
      </c>
      <c r="B46" s="97">
        <v>304</v>
      </c>
      <c r="C46" s="64" t="s">
        <v>337</v>
      </c>
      <c r="D46" s="62">
        <v>350</v>
      </c>
      <c r="E46" s="91" t="s">
        <v>365</v>
      </c>
      <c r="F46" s="62" t="s">
        <v>121</v>
      </c>
      <c r="G46" s="62">
        <v>304</v>
      </c>
      <c r="H46" s="64">
        <v>0.6</v>
      </c>
      <c r="I46" s="62" t="s">
        <v>24</v>
      </c>
      <c r="J46" s="62" t="s">
        <v>24</v>
      </c>
      <c r="K46" s="62" t="s">
        <v>86</v>
      </c>
      <c r="L46" s="66">
        <v>15</v>
      </c>
      <c r="M46" s="67"/>
      <c r="N46" s="66">
        <f t="shared" si="6"/>
        <v>15</v>
      </c>
      <c r="P46" s="62"/>
      <c r="Q46" s="62"/>
      <c r="R46" s="64"/>
      <c r="S46" s="62"/>
      <c r="T46" s="93"/>
      <c r="U46" s="62"/>
      <c r="V46" s="62"/>
      <c r="W46" s="64"/>
      <c r="X46" s="62"/>
      <c r="Y46" s="62"/>
      <c r="Z46" s="62"/>
      <c r="AA46" s="66"/>
      <c r="AB46" s="67"/>
      <c r="AC46" s="66">
        <f t="shared" si="5"/>
        <v>0</v>
      </c>
      <c r="AD46" s="75"/>
      <c r="AE46" s="62"/>
      <c r="AF46" s="62"/>
      <c r="AG46" s="64"/>
      <c r="AH46" s="67"/>
      <c r="AI46" s="65"/>
      <c r="AJ46" s="78"/>
      <c r="AK46" s="66"/>
      <c r="AL46" s="67"/>
      <c r="AM46" s="66">
        <f t="shared" si="0"/>
        <v>0</v>
      </c>
      <c r="AN46" s="75"/>
    </row>
    <row r="47" spans="1:40" s="76" customFormat="1" ht="100.05" customHeight="1" x14ac:dyDescent="0.3">
      <c r="A47" s="97">
        <v>250058</v>
      </c>
      <c r="B47" s="97">
        <v>304</v>
      </c>
      <c r="C47" s="64">
        <v>0.7</v>
      </c>
      <c r="D47" s="62">
        <v>315</v>
      </c>
      <c r="E47" s="91" t="s">
        <v>368</v>
      </c>
      <c r="F47" s="62" t="s">
        <v>181</v>
      </c>
      <c r="G47" s="62">
        <v>304</v>
      </c>
      <c r="H47" s="64">
        <v>0.6</v>
      </c>
      <c r="I47" s="62" t="s">
        <v>24</v>
      </c>
      <c r="J47" s="62" t="s">
        <v>24</v>
      </c>
      <c r="K47" s="62" t="s">
        <v>86</v>
      </c>
      <c r="L47" s="66">
        <v>785</v>
      </c>
      <c r="M47" s="67"/>
      <c r="N47" s="66">
        <f t="shared" si="6"/>
        <v>785</v>
      </c>
      <c r="P47" s="62"/>
      <c r="Q47" s="62"/>
      <c r="R47" s="64"/>
      <c r="S47" s="62"/>
      <c r="T47" s="93"/>
      <c r="U47" s="62"/>
      <c r="V47" s="62"/>
      <c r="W47" s="64"/>
      <c r="X47" s="62"/>
      <c r="Y47" s="62"/>
      <c r="Z47" s="62"/>
      <c r="AA47" s="66"/>
      <c r="AB47" s="67"/>
      <c r="AC47" s="66">
        <f t="shared" si="5"/>
        <v>0</v>
      </c>
      <c r="AD47" s="75"/>
      <c r="AE47" s="62"/>
      <c r="AF47" s="62"/>
      <c r="AG47" s="64"/>
      <c r="AH47" s="67"/>
      <c r="AI47" s="65"/>
      <c r="AJ47" s="78"/>
      <c r="AK47" s="66"/>
      <c r="AL47" s="67"/>
      <c r="AM47" s="66">
        <f t="shared" si="0"/>
        <v>0</v>
      </c>
      <c r="AN47" s="75"/>
    </row>
    <row r="48" spans="1:40" s="76" customFormat="1" ht="100.05" customHeight="1" x14ac:dyDescent="0.3">
      <c r="A48" s="97">
        <v>250058</v>
      </c>
      <c r="B48" s="97">
        <v>304</v>
      </c>
      <c r="C48" s="64" t="s">
        <v>337</v>
      </c>
      <c r="D48" s="62">
        <v>315</v>
      </c>
      <c r="E48" s="91" t="s">
        <v>369</v>
      </c>
      <c r="F48" s="62" t="s">
        <v>181</v>
      </c>
      <c r="G48" s="62">
        <v>304</v>
      </c>
      <c r="H48" s="64">
        <v>0.6</v>
      </c>
      <c r="I48" s="62" t="s">
        <v>24</v>
      </c>
      <c r="J48" s="62" t="s">
        <v>24</v>
      </c>
      <c r="K48" s="62" t="s">
        <v>86</v>
      </c>
      <c r="L48" s="66">
        <v>15</v>
      </c>
      <c r="M48" s="67"/>
      <c r="N48" s="66">
        <f t="shared" si="6"/>
        <v>15</v>
      </c>
      <c r="P48" s="62"/>
      <c r="Q48" s="62"/>
      <c r="R48" s="64"/>
      <c r="S48" s="62"/>
      <c r="T48" s="93"/>
      <c r="U48" s="62"/>
      <c r="V48" s="62"/>
      <c r="W48" s="64"/>
      <c r="X48" s="62"/>
      <c r="Y48" s="62"/>
      <c r="Z48" s="62"/>
      <c r="AA48" s="66"/>
      <c r="AB48" s="67"/>
      <c r="AC48" s="66">
        <f t="shared" si="5"/>
        <v>0</v>
      </c>
      <c r="AD48" s="75"/>
      <c r="AE48" s="62"/>
      <c r="AF48" s="62"/>
      <c r="AG48" s="64"/>
      <c r="AH48" s="67"/>
      <c r="AI48" s="65"/>
      <c r="AJ48" s="78"/>
      <c r="AK48" s="66"/>
      <c r="AL48" s="67"/>
      <c r="AM48" s="66">
        <f t="shared" si="0"/>
        <v>0</v>
      </c>
      <c r="AN48" s="75"/>
    </row>
    <row r="49" spans="1:40" s="76" customFormat="1" ht="100.05" customHeight="1" x14ac:dyDescent="0.3">
      <c r="A49" s="97">
        <v>250059</v>
      </c>
      <c r="B49" s="97">
        <v>304</v>
      </c>
      <c r="C49" s="64">
        <v>0.7</v>
      </c>
      <c r="D49" s="62">
        <v>315</v>
      </c>
      <c r="E49" s="91" t="s">
        <v>370</v>
      </c>
      <c r="F49" s="62" t="s">
        <v>121</v>
      </c>
      <c r="G49" s="62">
        <v>304</v>
      </c>
      <c r="H49" s="64">
        <v>0.6</v>
      </c>
      <c r="I49" s="62" t="s">
        <v>24</v>
      </c>
      <c r="J49" s="62" t="s">
        <v>24</v>
      </c>
      <c r="K49" s="62" t="s">
        <v>86</v>
      </c>
      <c r="L49" s="66">
        <v>660</v>
      </c>
      <c r="M49" s="67"/>
      <c r="N49" s="66">
        <f t="shared" si="6"/>
        <v>660</v>
      </c>
      <c r="P49" s="62"/>
      <c r="Q49" s="62"/>
      <c r="R49" s="64"/>
      <c r="S49" s="62"/>
      <c r="T49" s="93"/>
      <c r="U49" s="62"/>
      <c r="V49" s="62"/>
      <c r="W49" s="64"/>
      <c r="X49" s="62"/>
      <c r="Y49" s="62"/>
      <c r="Z49" s="62"/>
      <c r="AA49" s="66"/>
      <c r="AB49" s="67"/>
      <c r="AC49" s="66">
        <f t="shared" si="5"/>
        <v>0</v>
      </c>
      <c r="AD49" s="75"/>
      <c r="AE49" s="62"/>
      <c r="AF49" s="62"/>
      <c r="AG49" s="64"/>
      <c r="AH49" s="67"/>
      <c r="AI49" s="65"/>
      <c r="AJ49" s="78"/>
      <c r="AK49" s="66"/>
      <c r="AL49" s="67"/>
      <c r="AM49" s="66">
        <f t="shared" si="0"/>
        <v>0</v>
      </c>
      <c r="AN49" s="75"/>
    </row>
    <row r="50" spans="1:40" s="76" customFormat="1" ht="100.05" customHeight="1" x14ac:dyDescent="0.3">
      <c r="A50" s="97">
        <v>250059</v>
      </c>
      <c r="B50" s="97">
        <v>304</v>
      </c>
      <c r="C50" s="64" t="s">
        <v>337</v>
      </c>
      <c r="D50" s="62">
        <v>315</v>
      </c>
      <c r="E50" s="91" t="s">
        <v>371</v>
      </c>
      <c r="F50" s="62" t="s">
        <v>121</v>
      </c>
      <c r="G50" s="62">
        <v>304</v>
      </c>
      <c r="H50" s="64">
        <v>0.6</v>
      </c>
      <c r="I50" s="62" t="s">
        <v>24</v>
      </c>
      <c r="J50" s="62" t="s">
        <v>24</v>
      </c>
      <c r="K50" s="62" t="s">
        <v>86</v>
      </c>
      <c r="L50" s="66">
        <v>20</v>
      </c>
      <c r="M50" s="67"/>
      <c r="N50" s="66">
        <f t="shared" si="6"/>
        <v>20</v>
      </c>
      <c r="P50" s="62"/>
      <c r="Q50" s="62"/>
      <c r="R50" s="64"/>
      <c r="S50" s="62"/>
      <c r="T50" s="93"/>
      <c r="U50" s="62"/>
      <c r="V50" s="62"/>
      <c r="W50" s="64"/>
      <c r="X50" s="62"/>
      <c r="Y50" s="62"/>
      <c r="Z50" s="62"/>
      <c r="AA50" s="66"/>
      <c r="AB50" s="67"/>
      <c r="AC50" s="66">
        <f t="shared" si="5"/>
        <v>0</v>
      </c>
      <c r="AD50" s="75"/>
      <c r="AE50" s="62"/>
      <c r="AF50" s="62"/>
      <c r="AG50" s="64"/>
      <c r="AH50" s="67"/>
      <c r="AI50" s="65"/>
      <c r="AJ50" s="78"/>
      <c r="AK50" s="66"/>
      <c r="AL50" s="67"/>
      <c r="AM50" s="66">
        <f t="shared" si="0"/>
        <v>0</v>
      </c>
      <c r="AN50" s="75"/>
    </row>
    <row r="51" spans="1:40" s="76" customFormat="1" ht="100.05" customHeight="1" x14ac:dyDescent="0.3">
      <c r="A51" s="97">
        <v>250060</v>
      </c>
      <c r="B51" s="97">
        <v>304</v>
      </c>
      <c r="C51" s="64">
        <v>0.8</v>
      </c>
      <c r="D51" s="62">
        <v>315</v>
      </c>
      <c r="E51" s="91" t="s">
        <v>372</v>
      </c>
      <c r="F51" s="62" t="s">
        <v>121</v>
      </c>
      <c r="G51" s="62">
        <v>304</v>
      </c>
      <c r="H51" s="64">
        <v>0.6</v>
      </c>
      <c r="I51" s="62" t="s">
        <v>24</v>
      </c>
      <c r="J51" s="62" t="s">
        <v>24</v>
      </c>
      <c r="K51" s="62" t="s">
        <v>86</v>
      </c>
      <c r="L51" s="66">
        <v>665</v>
      </c>
      <c r="M51" s="67"/>
      <c r="N51" s="66">
        <f t="shared" si="6"/>
        <v>665</v>
      </c>
      <c r="P51" s="62"/>
      <c r="Q51" s="62"/>
      <c r="R51" s="64"/>
      <c r="S51" s="62"/>
      <c r="T51" s="93"/>
      <c r="U51" s="62"/>
      <c r="V51" s="62"/>
      <c r="W51" s="64"/>
      <c r="X51" s="62"/>
      <c r="Y51" s="62"/>
      <c r="Z51" s="62"/>
      <c r="AA51" s="66"/>
      <c r="AB51" s="67"/>
      <c r="AC51" s="66">
        <f t="shared" si="5"/>
        <v>0</v>
      </c>
      <c r="AD51" s="75"/>
      <c r="AE51" s="62"/>
      <c r="AF51" s="62"/>
      <c r="AG51" s="64"/>
      <c r="AH51" s="67"/>
      <c r="AI51" s="65"/>
      <c r="AJ51" s="78"/>
      <c r="AK51" s="66"/>
      <c r="AL51" s="67"/>
      <c r="AM51" s="66">
        <f t="shared" si="0"/>
        <v>0</v>
      </c>
      <c r="AN51" s="75"/>
    </row>
    <row r="52" spans="1:40" s="76" customFormat="1" ht="100.05" customHeight="1" x14ac:dyDescent="0.3">
      <c r="A52" s="97">
        <v>250060</v>
      </c>
      <c r="B52" s="97">
        <v>304</v>
      </c>
      <c r="C52" s="64" t="s">
        <v>337</v>
      </c>
      <c r="D52" s="62">
        <v>315</v>
      </c>
      <c r="E52" s="91" t="s">
        <v>373</v>
      </c>
      <c r="F52" s="62" t="s">
        <v>121</v>
      </c>
      <c r="G52" s="62">
        <v>304</v>
      </c>
      <c r="H52" s="64">
        <v>0.6</v>
      </c>
      <c r="I52" s="62" t="s">
        <v>24</v>
      </c>
      <c r="J52" s="62" t="s">
        <v>24</v>
      </c>
      <c r="K52" s="62" t="s">
        <v>86</v>
      </c>
      <c r="L52" s="66">
        <v>15</v>
      </c>
      <c r="M52" s="67"/>
      <c r="N52" s="66">
        <f t="shared" si="6"/>
        <v>15</v>
      </c>
      <c r="P52" s="62"/>
      <c r="Q52" s="62"/>
      <c r="R52" s="64"/>
      <c r="S52" s="62"/>
      <c r="T52" s="93"/>
      <c r="U52" s="62"/>
      <c r="V52" s="62"/>
      <c r="W52" s="64"/>
      <c r="X52" s="62"/>
      <c r="Y52" s="62"/>
      <c r="Z52" s="62"/>
      <c r="AA52" s="66"/>
      <c r="AB52" s="67"/>
      <c r="AC52" s="66">
        <f t="shared" si="5"/>
        <v>0</v>
      </c>
      <c r="AD52" s="75"/>
      <c r="AE52" s="62"/>
      <c r="AF52" s="62"/>
      <c r="AG52" s="64"/>
      <c r="AH52" s="67"/>
      <c r="AI52" s="65"/>
      <c r="AJ52" s="78"/>
      <c r="AK52" s="66"/>
      <c r="AL52" s="67"/>
      <c r="AM52" s="66">
        <f t="shared" si="0"/>
        <v>0</v>
      </c>
      <c r="AN52" s="75"/>
    </row>
    <row r="53" spans="1:40" s="76" customFormat="1" ht="100.05" customHeight="1" x14ac:dyDescent="0.3">
      <c r="A53" s="97"/>
      <c r="B53" s="97"/>
      <c r="C53" s="64"/>
      <c r="D53" s="62"/>
      <c r="E53" s="91"/>
      <c r="F53" s="62"/>
      <c r="G53" s="62"/>
      <c r="H53" s="64"/>
      <c r="I53" s="62"/>
      <c r="J53" s="62"/>
      <c r="K53" s="62"/>
      <c r="L53" s="66"/>
      <c r="M53" s="67"/>
      <c r="N53" s="66">
        <f t="shared" si="6"/>
        <v>0</v>
      </c>
      <c r="P53" s="62"/>
      <c r="Q53" s="62"/>
      <c r="R53" s="64"/>
      <c r="S53" s="62"/>
      <c r="T53" s="65"/>
      <c r="U53" s="62"/>
      <c r="V53" s="62"/>
      <c r="W53" s="64"/>
      <c r="X53" s="62"/>
      <c r="Y53" s="62"/>
      <c r="Z53" s="62"/>
      <c r="AA53" s="66"/>
      <c r="AB53" s="67"/>
      <c r="AC53" s="66">
        <f t="shared" si="5"/>
        <v>0</v>
      </c>
      <c r="AD53" s="75"/>
      <c r="AE53" s="62"/>
      <c r="AF53" s="62"/>
      <c r="AG53" s="64"/>
      <c r="AH53" s="67"/>
      <c r="AI53" s="65"/>
      <c r="AJ53" s="78"/>
      <c r="AK53" s="66"/>
      <c r="AL53" s="67"/>
      <c r="AM53" s="66">
        <f t="shared" si="0"/>
        <v>0</v>
      </c>
      <c r="AN53" s="75"/>
    </row>
    <row r="54" spans="1:40" s="76" customFormat="1" ht="100.05" customHeight="1" x14ac:dyDescent="0.3">
      <c r="A54" s="98"/>
      <c r="B54" s="98"/>
      <c r="C54" s="69"/>
      <c r="D54" s="68"/>
      <c r="E54" s="70"/>
      <c r="F54" s="68"/>
      <c r="G54" s="68"/>
      <c r="H54" s="69"/>
      <c r="I54" s="68"/>
      <c r="J54" s="68"/>
      <c r="K54" s="68"/>
      <c r="L54" s="66">
        <f>SUM(L25:L53)</f>
        <v>10820</v>
      </c>
      <c r="M54" s="71">
        <f>SUM(M25:M53)</f>
        <v>1800</v>
      </c>
      <c r="N54" s="66">
        <f>SUM(N25:N53)</f>
        <v>9020</v>
      </c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66">
        <f>SUM(AA25:AA53)</f>
        <v>4380</v>
      </c>
      <c r="AB54" s="71">
        <f>SUM(AB25:AB53)</f>
        <v>4200</v>
      </c>
      <c r="AC54" s="66">
        <f>SUM(AC25:AC53)</f>
        <v>180</v>
      </c>
      <c r="AD54" s="75"/>
      <c r="AE54" s="68"/>
      <c r="AF54" s="68"/>
      <c r="AG54" s="69"/>
      <c r="AH54" s="68"/>
      <c r="AI54" s="70"/>
      <c r="AJ54" s="80"/>
      <c r="AK54" s="66">
        <f>SUM(AK4:AK53)</f>
        <v>11080</v>
      </c>
      <c r="AL54" s="71">
        <f>SUM(AL4:AL53)</f>
        <v>0</v>
      </c>
      <c r="AM54" s="66">
        <f>SUM(AM4:AM53)</f>
        <v>11080</v>
      </c>
      <c r="AN54" s="75"/>
    </row>
    <row r="55" spans="1:40" s="75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E55" s="79"/>
      <c r="AF55" s="79"/>
      <c r="AG55" s="79"/>
      <c r="AH55" s="79"/>
      <c r="AI55" s="79"/>
      <c r="AJ55" s="79"/>
      <c r="AK55" s="79"/>
      <c r="AL55" s="79"/>
      <c r="AM55" s="79"/>
    </row>
    <row r="56" spans="1:40" s="75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E56" s="79"/>
      <c r="AF56" s="79"/>
      <c r="AG56" s="79"/>
      <c r="AH56" s="79"/>
      <c r="AI56" s="79"/>
      <c r="AJ56" s="79"/>
      <c r="AK56" s="79"/>
      <c r="AL56" s="79"/>
      <c r="AM56" s="79"/>
    </row>
    <row r="57" spans="1:40" s="75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E57" s="79"/>
      <c r="AF57" s="79"/>
      <c r="AG57" s="79"/>
      <c r="AH57" s="79"/>
      <c r="AI57" s="79"/>
      <c r="AJ57" s="79"/>
      <c r="AK57" s="79"/>
      <c r="AL57" s="79"/>
      <c r="AM57" s="79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76" customFormat="1" ht="100.0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5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5"/>
      <c r="AE60" s="79"/>
      <c r="AF60" s="79"/>
      <c r="AG60" s="79"/>
      <c r="AH60" s="79"/>
      <c r="AI60" s="79"/>
      <c r="AJ60" s="79"/>
      <c r="AK60" s="79"/>
      <c r="AL60" s="79"/>
      <c r="AM60" s="79"/>
      <c r="AN60" s="75"/>
    </row>
    <row r="61" spans="1:40" s="76" customFormat="1" ht="100.05" customHeight="1" x14ac:dyDescent="0.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5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5"/>
      <c r="AE61" s="79"/>
      <c r="AF61" s="79"/>
      <c r="AG61" s="79"/>
      <c r="AH61" s="79"/>
      <c r="AI61" s="79"/>
      <c r="AJ61" s="79"/>
      <c r="AK61" s="79"/>
      <c r="AL61" s="79"/>
      <c r="AM61" s="79"/>
      <c r="AN61" s="75"/>
    </row>
    <row r="62" spans="1:40" s="76" customFormat="1" ht="100.05" customHeight="1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5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5"/>
      <c r="AE62" s="79"/>
      <c r="AF62" s="79"/>
      <c r="AG62" s="79"/>
      <c r="AH62" s="79"/>
      <c r="AI62" s="79"/>
      <c r="AJ62" s="79"/>
      <c r="AK62" s="79"/>
      <c r="AL62" s="79"/>
      <c r="AM62" s="79"/>
      <c r="AN62" s="75"/>
    </row>
    <row r="63" spans="1:40" s="76" customFormat="1" ht="100.05" customHeight="1" x14ac:dyDescent="0.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5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5"/>
      <c r="AE63" s="79"/>
      <c r="AF63" s="79"/>
      <c r="AG63" s="79"/>
      <c r="AH63" s="79"/>
      <c r="AI63" s="79"/>
      <c r="AJ63" s="79"/>
      <c r="AK63" s="79"/>
      <c r="AL63" s="79"/>
      <c r="AM63" s="79"/>
      <c r="AN63" s="75"/>
    </row>
    <row r="64" spans="1:40" s="76" customFormat="1" ht="100.05" customHeight="1" x14ac:dyDescent="0.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5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5"/>
      <c r="AE64" s="79"/>
      <c r="AF64" s="79"/>
      <c r="AG64" s="79"/>
      <c r="AH64" s="79"/>
      <c r="AI64" s="79"/>
      <c r="AJ64" s="79"/>
      <c r="AK64" s="79"/>
      <c r="AL64" s="79"/>
      <c r="AM64" s="79"/>
      <c r="AN64" s="75"/>
    </row>
    <row r="65" spans="1:40" s="76" customFormat="1" ht="100.05" customHeight="1" x14ac:dyDescent="0.3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5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5"/>
      <c r="AE65" s="79"/>
      <c r="AF65" s="79"/>
      <c r="AG65" s="79"/>
      <c r="AH65" s="79"/>
      <c r="AI65" s="79"/>
      <c r="AJ65" s="79"/>
      <c r="AK65" s="79"/>
      <c r="AL65" s="79"/>
      <c r="AM65" s="79"/>
      <c r="AN65" s="75"/>
    </row>
    <row r="66" spans="1:40" s="76" customFormat="1" ht="100.05" customHeight="1" x14ac:dyDescent="0.3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5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5"/>
      <c r="AE66" s="79"/>
      <c r="AF66" s="79"/>
      <c r="AG66" s="79"/>
      <c r="AH66" s="79"/>
      <c r="AI66" s="79"/>
      <c r="AJ66" s="79"/>
      <c r="AK66" s="79"/>
      <c r="AL66" s="79"/>
      <c r="AM66" s="79"/>
      <c r="AN66" s="75"/>
    </row>
    <row r="67" spans="1:40" s="76" customFormat="1" ht="100.05" customHeight="1" x14ac:dyDescent="0.3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79"/>
      <c r="O67" s="75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5"/>
      <c r="AE67" s="79"/>
      <c r="AF67" s="79"/>
      <c r="AG67" s="79"/>
      <c r="AH67" s="79"/>
      <c r="AI67" s="79"/>
      <c r="AJ67" s="79"/>
      <c r="AK67" s="79"/>
      <c r="AL67" s="79"/>
      <c r="AM67" s="79"/>
      <c r="AN67" s="75"/>
    </row>
    <row r="68" spans="1:40" s="75" customFormat="1" ht="100.05" customHeight="1" x14ac:dyDescent="0.3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E68" s="79"/>
      <c r="AF68" s="79"/>
      <c r="AG68" s="79"/>
      <c r="AH68" s="79"/>
      <c r="AI68" s="79"/>
      <c r="AJ68" s="79"/>
      <c r="AK68" s="79"/>
      <c r="AL68" s="79"/>
      <c r="AM68" s="79"/>
    </row>
    <row r="69" spans="1:40" s="75" customFormat="1" ht="100.05" customHeight="1" x14ac:dyDescent="0.3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  <c r="N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E69" s="79"/>
      <c r="AF69" s="79"/>
      <c r="AG69" s="79"/>
      <c r="AH69" s="79"/>
      <c r="AI69" s="79"/>
      <c r="AJ69" s="79"/>
      <c r="AK69" s="79"/>
      <c r="AL69" s="79"/>
      <c r="AM69" s="79"/>
    </row>
    <row r="70" spans="1:40" s="75" customFormat="1" ht="100.05" customHeight="1" x14ac:dyDescent="0.3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E70" s="79"/>
      <c r="AF70" s="79"/>
      <c r="AG70" s="79"/>
      <c r="AH70" s="79"/>
      <c r="AI70" s="79"/>
      <c r="AJ70" s="79"/>
      <c r="AK70" s="79"/>
      <c r="AL70" s="79"/>
      <c r="AM70" s="79"/>
    </row>
    <row r="71" spans="1:40" s="76" customFormat="1" ht="100.05" customHeight="1" x14ac:dyDescent="0.3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5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5"/>
      <c r="AE71" s="79"/>
      <c r="AF71" s="79"/>
      <c r="AG71" s="79"/>
      <c r="AH71" s="79"/>
      <c r="AI71" s="79"/>
      <c r="AJ71" s="79"/>
      <c r="AK71" s="79"/>
      <c r="AL71" s="79"/>
      <c r="AM71" s="79"/>
      <c r="AN71" s="75"/>
    </row>
    <row r="72" spans="1:40" s="76" customFormat="1" ht="100.05" customHeight="1" x14ac:dyDescent="0.3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5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5"/>
      <c r="AE72" s="79"/>
      <c r="AF72" s="79"/>
      <c r="AG72" s="79"/>
      <c r="AH72" s="79"/>
      <c r="AI72" s="79"/>
      <c r="AJ72" s="79"/>
      <c r="AK72" s="79"/>
      <c r="AL72" s="79"/>
      <c r="AM72" s="79"/>
      <c r="AN72" s="75"/>
    </row>
    <row r="73" spans="1:40" s="56" customFormat="1" ht="100.0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3"/>
      <c r="AE73" s="2"/>
      <c r="AF73" s="2"/>
      <c r="AG73" s="2"/>
      <c r="AH73" s="2"/>
      <c r="AI73" s="2"/>
      <c r="AJ73" s="2"/>
      <c r="AK73" s="2"/>
      <c r="AL73" s="2"/>
      <c r="AM73" s="2"/>
      <c r="AN73" s="3"/>
    </row>
    <row r="74" spans="1:40" s="56" customFormat="1" ht="100.0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3"/>
      <c r="AE74" s="2"/>
      <c r="AF74" s="2"/>
      <c r="AG74" s="2"/>
      <c r="AH74" s="2"/>
      <c r="AI74" s="2"/>
      <c r="AJ74" s="2"/>
      <c r="AK74" s="2"/>
      <c r="AL74" s="2"/>
      <c r="AM74" s="2"/>
      <c r="AN74" s="3"/>
    </row>
    <row r="75" spans="1:40" s="56" customFormat="1" ht="100.0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3"/>
      <c r="AE75" s="2"/>
      <c r="AF75" s="2"/>
      <c r="AG75" s="2"/>
      <c r="AH75" s="2"/>
      <c r="AI75" s="2"/>
      <c r="AJ75" s="2"/>
      <c r="AK75" s="2"/>
      <c r="AL75" s="2"/>
      <c r="AM75" s="2"/>
      <c r="AN75" s="3"/>
    </row>
    <row r="76" spans="1:40" s="56" customFormat="1" ht="100.0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3"/>
      <c r="AE76" s="2"/>
      <c r="AF76" s="2"/>
      <c r="AG76" s="2"/>
      <c r="AH76" s="2"/>
      <c r="AI76" s="2"/>
      <c r="AJ76" s="2"/>
      <c r="AK76" s="2"/>
      <c r="AL76" s="2"/>
      <c r="AM76" s="2"/>
      <c r="AN76" s="3"/>
    </row>
    <row r="77" spans="1:40" s="56" customFormat="1" ht="100.0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3"/>
      <c r="AE77" s="2"/>
      <c r="AF77" s="2"/>
      <c r="AG77" s="2"/>
      <c r="AH77" s="2"/>
      <c r="AI77" s="2"/>
      <c r="AJ77" s="2"/>
      <c r="AK77" s="2"/>
      <c r="AL77" s="2"/>
      <c r="AM77" s="2"/>
      <c r="AN77" s="3"/>
    </row>
    <row r="78" spans="1:40" s="56" customFormat="1" ht="100.0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3"/>
      <c r="AE78" s="2"/>
      <c r="AF78" s="2"/>
      <c r="AG78" s="2"/>
      <c r="AH78" s="2"/>
      <c r="AI78" s="2"/>
      <c r="AJ78" s="2"/>
      <c r="AK78" s="2"/>
      <c r="AL78" s="2"/>
      <c r="AM78" s="2"/>
      <c r="AN78" s="3"/>
    </row>
    <row r="79" spans="1:40" s="56" customFormat="1" ht="100.0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3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3"/>
      <c r="AE79" s="2"/>
      <c r="AF79" s="2"/>
      <c r="AG79" s="2"/>
      <c r="AH79" s="2"/>
      <c r="AI79" s="2"/>
      <c r="AJ79" s="2"/>
      <c r="AK79" s="2"/>
      <c r="AL79" s="2"/>
      <c r="AM79" s="2"/>
      <c r="AN79" s="3"/>
    </row>
    <row r="80" spans="1:40" s="56" customFormat="1" ht="100.0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3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3"/>
      <c r="AE80" s="2"/>
      <c r="AF80" s="2"/>
      <c r="AG80" s="2"/>
      <c r="AH80" s="2"/>
      <c r="AI80" s="2"/>
      <c r="AJ80" s="2"/>
      <c r="AK80" s="2"/>
      <c r="AL80" s="2"/>
      <c r="AM80" s="2"/>
      <c r="AN80" s="3"/>
    </row>
  </sheetData>
  <mergeCells count="12">
    <mergeCell ref="AK1:AM1"/>
    <mergeCell ref="A1:C1"/>
    <mergeCell ref="K1:N1"/>
    <mergeCell ref="P1:R1"/>
    <mergeCell ref="Z1:AC1"/>
    <mergeCell ref="AE1:AG1"/>
    <mergeCell ref="A2:N2"/>
    <mergeCell ref="P2:AC2"/>
    <mergeCell ref="AE2:AM2"/>
    <mergeCell ref="T4:T6"/>
    <mergeCell ref="A23:N23"/>
    <mergeCell ref="P23:AC2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14" orientation="landscape" horizontalDpi="1200" verticalDpi="120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72"/>
  <sheetViews>
    <sheetView tabSelected="1" zoomScale="25" zoomScaleNormal="25" workbookViewId="0">
      <selection activeCell="P10" sqref="P10"/>
    </sheetView>
  </sheetViews>
  <sheetFormatPr defaultColWidth="8.88671875" defaultRowHeight="14.4" x14ac:dyDescent="0.3"/>
  <cols>
    <col min="1" max="1" width="35.21875" style="2" bestFit="1" customWidth="1"/>
    <col min="2" max="2" width="18.6640625" style="2" bestFit="1" customWidth="1"/>
    <col min="3" max="3" width="29.21875" style="2" customWidth="1"/>
    <col min="4" max="4" width="16.44140625" style="2" bestFit="1" customWidth="1"/>
    <col min="5" max="5" width="215.6640625" style="2" bestFit="1" customWidth="1"/>
    <col min="6" max="6" width="32.109375" style="2" bestFit="1" customWidth="1"/>
    <col min="7" max="7" width="21.88671875" style="2" bestFit="1" customWidth="1"/>
    <col min="8" max="8" width="26.6640625" style="2" bestFit="1" customWidth="1"/>
    <col min="9" max="10" width="36.6640625" style="2" customWidth="1"/>
    <col min="11" max="11" width="36.5546875" style="2" bestFit="1" customWidth="1"/>
    <col min="12" max="12" width="30.77734375" style="2" bestFit="1" customWidth="1"/>
    <col min="13" max="13" width="23.6640625" style="2" customWidth="1"/>
    <col min="14" max="14" width="26.77734375" style="2" customWidth="1"/>
    <col min="15" max="15" width="8.88671875" style="3"/>
    <col min="16" max="16" width="35.21875" style="2" bestFit="1" customWidth="1"/>
    <col min="17" max="17" width="18.6640625" style="2" bestFit="1" customWidth="1"/>
    <col min="18" max="18" width="29.21875" style="2" customWidth="1"/>
    <col min="19" max="19" width="16.44140625" style="2" bestFit="1" customWidth="1"/>
    <col min="20" max="20" width="174.77734375" style="2" bestFit="1" customWidth="1"/>
    <col min="21" max="21" width="32.109375" style="2" bestFit="1" customWidth="1"/>
    <col min="22" max="22" width="21.88671875" style="2" bestFit="1" customWidth="1"/>
    <col min="23" max="23" width="26.6640625" style="2" customWidth="1"/>
    <col min="24" max="25" width="36.6640625" style="2" customWidth="1"/>
    <col min="26" max="26" width="23.6640625" style="2" customWidth="1"/>
    <col min="27" max="27" width="26.77734375" style="2" bestFit="1" customWidth="1"/>
    <col min="28" max="28" width="23.6640625" style="2" customWidth="1"/>
    <col min="29" max="29" width="26.77734375" style="2" bestFit="1" customWidth="1"/>
    <col min="30" max="30" width="8.88671875" style="3"/>
    <col min="31" max="31" width="35.21875" style="2" bestFit="1" customWidth="1"/>
    <col min="32" max="32" width="18.6640625" style="2" bestFit="1" customWidth="1"/>
    <col min="33" max="33" width="29.21875" style="2" customWidth="1"/>
    <col min="34" max="34" width="16.44140625" style="2" bestFit="1" customWidth="1"/>
    <col min="35" max="35" width="190.6640625" style="2" customWidth="1"/>
    <col min="36" max="36" width="120.6640625" style="2" customWidth="1"/>
    <col min="37" max="37" width="29" style="2" customWidth="1"/>
    <col min="38" max="38" width="26.77734375" style="2" bestFit="1" customWidth="1"/>
    <col min="39" max="39" width="27.21875" style="2" customWidth="1"/>
    <col min="40" max="16384" width="8.88671875" style="3"/>
  </cols>
  <sheetData>
    <row r="1" spans="1:39" s="74" customFormat="1" ht="100.05" customHeight="1" x14ac:dyDescent="0.95">
      <c r="A1" s="107"/>
      <c r="B1" s="107"/>
      <c r="C1" s="107"/>
      <c r="D1" s="72"/>
      <c r="E1" s="72"/>
      <c r="F1" s="72"/>
      <c r="G1" s="72"/>
      <c r="H1" s="72"/>
      <c r="I1" s="72"/>
      <c r="J1" s="73" t="s">
        <v>16</v>
      </c>
      <c r="K1" s="108">
        <v>45967</v>
      </c>
      <c r="L1" s="108"/>
      <c r="M1" s="108"/>
      <c r="N1" s="108"/>
      <c r="P1" s="107"/>
      <c r="Q1" s="107"/>
      <c r="R1" s="107"/>
      <c r="S1" s="72"/>
      <c r="T1" s="72"/>
      <c r="U1" s="72"/>
      <c r="V1" s="72"/>
      <c r="W1" s="72"/>
      <c r="X1" s="72"/>
      <c r="Y1" s="73" t="s">
        <v>16</v>
      </c>
      <c r="Z1" s="108">
        <f>K1</f>
        <v>45967</v>
      </c>
      <c r="AA1" s="108"/>
      <c r="AB1" s="108"/>
      <c r="AC1" s="108"/>
      <c r="AE1" s="107"/>
      <c r="AF1" s="107"/>
      <c r="AG1" s="107"/>
      <c r="AH1" s="72"/>
      <c r="AI1" s="72"/>
      <c r="AJ1" s="72"/>
      <c r="AK1" s="108"/>
      <c r="AL1" s="108"/>
      <c r="AM1" s="108"/>
    </row>
    <row r="2" spans="1:39" s="75" customFormat="1" ht="100.05" customHeight="1" x14ac:dyDescent="0.3">
      <c r="A2" s="109" t="s">
        <v>100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1"/>
      <c r="P2" s="109" t="s">
        <v>98</v>
      </c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  <c r="AB2" s="110"/>
      <c r="AC2" s="111"/>
      <c r="AE2" s="109" t="s">
        <v>97</v>
      </c>
      <c r="AF2" s="110"/>
      <c r="AG2" s="110"/>
      <c r="AH2" s="110"/>
      <c r="AI2" s="110"/>
      <c r="AJ2" s="110"/>
      <c r="AK2" s="110"/>
      <c r="AL2" s="110"/>
      <c r="AM2" s="111"/>
    </row>
    <row r="3" spans="1:39" s="83" customFormat="1" ht="100.05" customHeight="1" x14ac:dyDescent="0.3">
      <c r="A3" s="81" t="s">
        <v>0</v>
      </c>
      <c r="B3" s="81" t="s">
        <v>9</v>
      </c>
      <c r="C3" s="82" t="s">
        <v>11</v>
      </c>
      <c r="D3" s="81" t="s">
        <v>2</v>
      </c>
      <c r="E3" s="81" t="s">
        <v>1</v>
      </c>
      <c r="F3" s="81" t="s">
        <v>14</v>
      </c>
      <c r="G3" s="81" t="s">
        <v>8</v>
      </c>
      <c r="H3" s="82" t="s">
        <v>10</v>
      </c>
      <c r="I3" s="51" t="s">
        <v>12</v>
      </c>
      <c r="J3" s="82" t="s">
        <v>13</v>
      </c>
      <c r="K3" s="81" t="s">
        <v>3</v>
      </c>
      <c r="L3" s="81" t="s">
        <v>7</v>
      </c>
      <c r="M3" s="81" t="s">
        <v>5</v>
      </c>
      <c r="N3" s="81" t="s">
        <v>6</v>
      </c>
      <c r="P3" s="81" t="s">
        <v>0</v>
      </c>
      <c r="Q3" s="81" t="s">
        <v>9</v>
      </c>
      <c r="R3" s="82" t="s">
        <v>11</v>
      </c>
      <c r="S3" s="81" t="s">
        <v>2</v>
      </c>
      <c r="T3" s="81" t="s">
        <v>1</v>
      </c>
      <c r="U3" s="81" t="s">
        <v>14</v>
      </c>
      <c r="V3" s="81" t="s">
        <v>8</v>
      </c>
      <c r="W3" s="82" t="s">
        <v>10</v>
      </c>
      <c r="X3" s="82" t="s">
        <v>12</v>
      </c>
      <c r="Y3" s="82" t="s">
        <v>13</v>
      </c>
      <c r="Z3" s="81" t="s">
        <v>3</v>
      </c>
      <c r="AA3" s="81" t="s">
        <v>7</v>
      </c>
      <c r="AB3" s="81" t="s">
        <v>5</v>
      </c>
      <c r="AC3" s="81" t="s">
        <v>6</v>
      </c>
      <c r="AE3" s="81" t="s">
        <v>0</v>
      </c>
      <c r="AF3" s="81" t="s">
        <v>9</v>
      </c>
      <c r="AG3" s="82" t="s">
        <v>11</v>
      </c>
      <c r="AH3" s="81" t="s">
        <v>2</v>
      </c>
      <c r="AI3" s="81" t="s">
        <v>1</v>
      </c>
      <c r="AJ3" s="84" t="s">
        <v>94</v>
      </c>
      <c r="AK3" s="81" t="s">
        <v>7</v>
      </c>
      <c r="AL3" s="81" t="s">
        <v>5</v>
      </c>
      <c r="AM3" s="81" t="s">
        <v>6</v>
      </c>
    </row>
    <row r="4" spans="1:39" s="76" customFormat="1" ht="100.05" customHeight="1" x14ac:dyDescent="0.3">
      <c r="A4" s="97">
        <v>250058</v>
      </c>
      <c r="B4" s="62">
        <v>304</v>
      </c>
      <c r="C4" s="64">
        <v>0.7</v>
      </c>
      <c r="D4" s="62">
        <v>315</v>
      </c>
      <c r="E4" s="91" t="s">
        <v>334</v>
      </c>
      <c r="F4" s="62" t="s">
        <v>338</v>
      </c>
      <c r="G4" s="62">
        <v>304</v>
      </c>
      <c r="H4" s="64">
        <v>0.6</v>
      </c>
      <c r="I4" s="62">
        <v>111</v>
      </c>
      <c r="J4" s="62">
        <v>4</v>
      </c>
      <c r="K4" s="62" t="s">
        <v>335</v>
      </c>
      <c r="L4" s="66">
        <v>785</v>
      </c>
      <c r="M4" s="67"/>
      <c r="N4" s="66">
        <f>L4-M4</f>
        <v>785</v>
      </c>
      <c r="P4" s="62"/>
      <c r="Q4" s="62"/>
      <c r="R4" s="64"/>
      <c r="S4" s="62"/>
      <c r="T4" s="128" t="s">
        <v>327</v>
      </c>
      <c r="U4" s="62"/>
      <c r="V4" s="62"/>
      <c r="W4" s="64"/>
      <c r="X4" s="62"/>
      <c r="Y4" s="62"/>
      <c r="Z4" s="62"/>
      <c r="AA4" s="66"/>
      <c r="AB4" s="67"/>
      <c r="AC4" s="66">
        <f>AA4-AB4</f>
        <v>0</v>
      </c>
      <c r="AE4" s="62">
        <v>311025</v>
      </c>
      <c r="AF4" s="62">
        <v>304</v>
      </c>
      <c r="AG4" s="64"/>
      <c r="AH4" s="67"/>
      <c r="AI4" s="65" t="s">
        <v>331</v>
      </c>
      <c r="AJ4" s="78" t="s">
        <v>328</v>
      </c>
      <c r="AK4" s="66">
        <v>3200</v>
      </c>
      <c r="AL4" s="67"/>
      <c r="AM4" s="66">
        <f t="shared" ref="AM4:AM45" si="0">AK4-AL4</f>
        <v>3200</v>
      </c>
    </row>
    <row r="5" spans="1:39" s="76" customFormat="1" ht="100.05" customHeight="1" x14ac:dyDescent="0.3">
      <c r="A5" s="97">
        <v>250058</v>
      </c>
      <c r="B5" s="62">
        <v>304</v>
      </c>
      <c r="C5" s="64" t="s">
        <v>337</v>
      </c>
      <c r="D5" s="62">
        <v>315</v>
      </c>
      <c r="E5" s="91" t="s">
        <v>336</v>
      </c>
      <c r="F5" s="62" t="s">
        <v>338</v>
      </c>
      <c r="G5" s="62">
        <v>304</v>
      </c>
      <c r="H5" s="64">
        <v>0.6</v>
      </c>
      <c r="I5" s="62">
        <v>111</v>
      </c>
      <c r="J5" s="62">
        <v>6</v>
      </c>
      <c r="K5" s="62" t="s">
        <v>335</v>
      </c>
      <c r="L5" s="66">
        <v>15</v>
      </c>
      <c r="M5" s="67"/>
      <c r="N5" s="66">
        <f t="shared" ref="N5:N7" si="1">L5-M5</f>
        <v>15</v>
      </c>
      <c r="P5" s="62"/>
      <c r="Q5" s="62"/>
      <c r="R5" s="64"/>
      <c r="S5" s="62"/>
      <c r="T5" s="129"/>
      <c r="U5" s="62"/>
      <c r="V5" s="62"/>
      <c r="W5" s="64"/>
      <c r="X5" s="62"/>
      <c r="Y5" s="62"/>
      <c r="Z5" s="62"/>
      <c r="AA5" s="66"/>
      <c r="AB5" s="67"/>
      <c r="AC5" s="66">
        <f>AA5-AB5</f>
        <v>0</v>
      </c>
      <c r="AE5" s="62">
        <v>241025</v>
      </c>
      <c r="AF5" s="62">
        <v>304</v>
      </c>
      <c r="AG5" s="64"/>
      <c r="AH5" s="62"/>
      <c r="AI5" s="93" t="s">
        <v>329</v>
      </c>
      <c r="AJ5" s="78" t="s">
        <v>328</v>
      </c>
      <c r="AK5" s="66">
        <v>2000</v>
      </c>
      <c r="AL5" s="67"/>
      <c r="AM5" s="66">
        <f t="shared" si="0"/>
        <v>2000</v>
      </c>
    </row>
    <row r="6" spans="1:39" s="76" customFormat="1" ht="100.05" customHeight="1" x14ac:dyDescent="0.3">
      <c r="A6" s="97">
        <v>250059</v>
      </c>
      <c r="B6" s="62">
        <v>304</v>
      </c>
      <c r="C6" s="64">
        <v>0.7</v>
      </c>
      <c r="D6" s="62">
        <v>315</v>
      </c>
      <c r="E6" s="91" t="s">
        <v>339</v>
      </c>
      <c r="F6" s="62" t="s">
        <v>338</v>
      </c>
      <c r="G6" s="62">
        <v>304</v>
      </c>
      <c r="H6" s="64">
        <v>0.6</v>
      </c>
      <c r="I6" s="62">
        <v>111</v>
      </c>
      <c r="J6" s="62">
        <v>4</v>
      </c>
      <c r="K6" s="62" t="s">
        <v>335</v>
      </c>
      <c r="L6" s="66">
        <v>660</v>
      </c>
      <c r="M6" s="67"/>
      <c r="N6" s="66">
        <f t="shared" si="1"/>
        <v>660</v>
      </c>
      <c r="P6" s="62"/>
      <c r="Q6" s="62"/>
      <c r="R6" s="64"/>
      <c r="S6" s="62"/>
      <c r="T6" s="130"/>
      <c r="U6" s="62"/>
      <c r="V6" s="62"/>
      <c r="W6" s="64"/>
      <c r="X6" s="62"/>
      <c r="Y6" s="62"/>
      <c r="Z6" s="62"/>
      <c r="AA6" s="66"/>
      <c r="AB6" s="67"/>
      <c r="AC6" s="66">
        <f t="shared" ref="AC6:AC16" si="2">AA6-AB6</f>
        <v>0</v>
      </c>
      <c r="AE6" s="62">
        <v>241025</v>
      </c>
      <c r="AF6" s="62">
        <v>304</v>
      </c>
      <c r="AG6" s="64"/>
      <c r="AH6" s="62"/>
      <c r="AI6" s="93" t="s">
        <v>330</v>
      </c>
      <c r="AJ6" s="78" t="s">
        <v>328</v>
      </c>
      <c r="AK6" s="66">
        <v>2000</v>
      </c>
      <c r="AL6" s="67"/>
      <c r="AM6" s="66">
        <f t="shared" si="0"/>
        <v>2000</v>
      </c>
    </row>
    <row r="7" spans="1:39" s="76" customFormat="1" ht="100.05" customHeight="1" x14ac:dyDescent="0.3">
      <c r="A7" s="97">
        <v>250059</v>
      </c>
      <c r="B7" s="62">
        <v>304</v>
      </c>
      <c r="C7" s="64" t="s">
        <v>337</v>
      </c>
      <c r="D7" s="62">
        <v>315</v>
      </c>
      <c r="E7" s="91" t="s">
        <v>340</v>
      </c>
      <c r="F7" s="62" t="s">
        <v>338</v>
      </c>
      <c r="G7" s="62">
        <v>304</v>
      </c>
      <c r="H7" s="64">
        <v>0.6</v>
      </c>
      <c r="I7" s="62">
        <v>111</v>
      </c>
      <c r="J7" s="62">
        <v>6</v>
      </c>
      <c r="K7" s="62" t="s">
        <v>335</v>
      </c>
      <c r="L7" s="66">
        <v>20</v>
      </c>
      <c r="M7" s="67"/>
      <c r="N7" s="66">
        <f t="shared" si="1"/>
        <v>20</v>
      </c>
      <c r="P7" s="62"/>
      <c r="Q7" s="62"/>
      <c r="R7" s="64"/>
      <c r="S7" s="62"/>
      <c r="T7" s="65"/>
      <c r="U7" s="62"/>
      <c r="V7" s="62"/>
      <c r="W7" s="64"/>
      <c r="X7" s="62"/>
      <c r="Y7" s="62"/>
      <c r="Z7" s="62"/>
      <c r="AA7" s="66"/>
      <c r="AB7" s="67"/>
      <c r="AC7" s="66">
        <f t="shared" si="2"/>
        <v>0</v>
      </c>
      <c r="AE7" s="62">
        <v>311025</v>
      </c>
      <c r="AF7" s="62">
        <v>304</v>
      </c>
      <c r="AG7" s="64"/>
      <c r="AH7" s="67"/>
      <c r="AI7" s="65" t="s">
        <v>332</v>
      </c>
      <c r="AJ7" s="78" t="s">
        <v>328</v>
      </c>
      <c r="AK7" s="66">
        <v>3200</v>
      </c>
      <c r="AL7" s="67"/>
      <c r="AM7" s="66">
        <f t="shared" si="0"/>
        <v>3200</v>
      </c>
    </row>
    <row r="8" spans="1:39" s="76" customFormat="1" ht="100.05" customHeight="1" x14ac:dyDescent="0.3">
      <c r="A8" s="97">
        <v>250060</v>
      </c>
      <c r="B8" s="62">
        <v>304</v>
      </c>
      <c r="C8" s="64">
        <v>0.7</v>
      </c>
      <c r="D8" s="62">
        <v>315</v>
      </c>
      <c r="E8" s="91" t="s">
        <v>341</v>
      </c>
      <c r="F8" s="62" t="s">
        <v>338</v>
      </c>
      <c r="G8" s="62">
        <v>304</v>
      </c>
      <c r="H8" s="64">
        <v>0.6</v>
      </c>
      <c r="I8" s="62">
        <v>111</v>
      </c>
      <c r="J8" s="62">
        <v>4</v>
      </c>
      <c r="K8" s="62" t="s">
        <v>335</v>
      </c>
      <c r="L8" s="66">
        <v>665</v>
      </c>
      <c r="M8" s="67"/>
      <c r="N8" s="66">
        <f>L8-M8</f>
        <v>665</v>
      </c>
      <c r="P8" s="62"/>
      <c r="Q8" s="62"/>
      <c r="R8" s="64"/>
      <c r="S8" s="62"/>
      <c r="T8" s="65"/>
      <c r="U8" s="62"/>
      <c r="V8" s="62"/>
      <c r="W8" s="64"/>
      <c r="X8" s="62"/>
      <c r="Y8" s="62"/>
      <c r="Z8" s="62"/>
      <c r="AA8" s="66"/>
      <c r="AB8" s="67"/>
      <c r="AC8" s="66">
        <f t="shared" si="2"/>
        <v>0</v>
      </c>
      <c r="AE8" s="62">
        <v>250059</v>
      </c>
      <c r="AF8" s="62">
        <v>304</v>
      </c>
      <c r="AG8" s="64"/>
      <c r="AH8" s="67"/>
      <c r="AI8" s="65" t="s">
        <v>379</v>
      </c>
      <c r="AJ8" s="78" t="s">
        <v>328</v>
      </c>
      <c r="AK8" s="66">
        <v>680</v>
      </c>
      <c r="AL8" s="67"/>
      <c r="AM8" s="66">
        <f t="shared" si="0"/>
        <v>680</v>
      </c>
    </row>
    <row r="9" spans="1:39" s="76" customFormat="1" ht="100.05" customHeight="1" x14ac:dyDescent="0.3">
      <c r="A9" s="97">
        <v>250060</v>
      </c>
      <c r="B9" s="62">
        <v>304</v>
      </c>
      <c r="C9" s="64" t="s">
        <v>337</v>
      </c>
      <c r="D9" s="62">
        <v>315</v>
      </c>
      <c r="E9" s="91" t="s">
        <v>342</v>
      </c>
      <c r="F9" s="62" t="s">
        <v>338</v>
      </c>
      <c r="G9" s="62">
        <v>304</v>
      </c>
      <c r="H9" s="64">
        <v>0.6</v>
      </c>
      <c r="I9" s="62">
        <v>111</v>
      </c>
      <c r="J9" s="62">
        <v>6</v>
      </c>
      <c r="K9" s="62" t="s">
        <v>335</v>
      </c>
      <c r="L9" s="66">
        <v>15</v>
      </c>
      <c r="M9" s="67"/>
      <c r="N9" s="66">
        <f t="shared" ref="N9:N16" si="3">L9-M9</f>
        <v>15</v>
      </c>
      <c r="P9" s="62"/>
      <c r="Q9" s="62"/>
      <c r="R9" s="64"/>
      <c r="S9" s="62"/>
      <c r="T9" s="65"/>
      <c r="U9" s="62"/>
      <c r="V9" s="62"/>
      <c r="W9" s="64"/>
      <c r="X9" s="62"/>
      <c r="Y9" s="62"/>
      <c r="Z9" s="62"/>
      <c r="AA9" s="66"/>
      <c r="AB9" s="67"/>
      <c r="AC9" s="66">
        <f t="shared" si="2"/>
        <v>0</v>
      </c>
      <c r="AE9" s="97">
        <v>250058</v>
      </c>
      <c r="AF9" s="62">
        <v>304</v>
      </c>
      <c r="AG9" s="64">
        <v>0.7</v>
      </c>
      <c r="AH9" s="62"/>
      <c r="AI9" s="91" t="s">
        <v>334</v>
      </c>
      <c r="AJ9" s="78" t="s">
        <v>328</v>
      </c>
      <c r="AK9" s="66">
        <v>785</v>
      </c>
      <c r="AL9" s="67"/>
      <c r="AM9" s="66">
        <f t="shared" si="0"/>
        <v>785</v>
      </c>
    </row>
    <row r="10" spans="1:39" s="76" customFormat="1" ht="100.05" customHeight="1" x14ac:dyDescent="0.3">
      <c r="A10" s="97">
        <v>250058</v>
      </c>
      <c r="B10" s="62">
        <v>304</v>
      </c>
      <c r="C10" s="64">
        <v>0.7</v>
      </c>
      <c r="D10" s="62">
        <v>500</v>
      </c>
      <c r="E10" s="91" t="s">
        <v>358</v>
      </c>
      <c r="F10" s="62" t="s">
        <v>181</v>
      </c>
      <c r="G10" s="62">
        <v>304</v>
      </c>
      <c r="H10" s="64">
        <v>0.6</v>
      </c>
      <c r="I10" s="62" t="s">
        <v>24</v>
      </c>
      <c r="J10" s="62" t="s">
        <v>24</v>
      </c>
      <c r="K10" s="62" t="s">
        <v>86</v>
      </c>
      <c r="L10" s="66">
        <v>785</v>
      </c>
      <c r="M10" s="67"/>
      <c r="N10" s="66">
        <f t="shared" si="3"/>
        <v>785</v>
      </c>
      <c r="P10" s="62"/>
      <c r="Q10" s="62"/>
      <c r="R10" s="64"/>
      <c r="S10" s="62"/>
      <c r="T10" s="65"/>
      <c r="U10" s="62"/>
      <c r="V10" s="62"/>
      <c r="W10" s="64"/>
      <c r="X10" s="62"/>
      <c r="Y10" s="62"/>
      <c r="Z10" s="62"/>
      <c r="AA10" s="66"/>
      <c r="AB10" s="67"/>
      <c r="AC10" s="66">
        <f t="shared" si="2"/>
        <v>0</v>
      </c>
      <c r="AE10" s="97">
        <v>250058</v>
      </c>
      <c r="AF10" s="62">
        <v>304</v>
      </c>
      <c r="AG10" s="64" t="s">
        <v>337</v>
      </c>
      <c r="AH10" s="62"/>
      <c r="AI10" s="91" t="s">
        <v>336</v>
      </c>
      <c r="AJ10" s="78" t="s">
        <v>328</v>
      </c>
      <c r="AK10" s="66">
        <v>15</v>
      </c>
      <c r="AL10" s="67"/>
      <c r="AM10" s="66">
        <f t="shared" si="0"/>
        <v>15</v>
      </c>
    </row>
    <row r="11" spans="1:39" s="76" customFormat="1" ht="100.05" customHeight="1" x14ac:dyDescent="0.3">
      <c r="A11" s="97">
        <v>250058</v>
      </c>
      <c r="B11" s="62">
        <v>304</v>
      </c>
      <c r="C11" s="64" t="s">
        <v>337</v>
      </c>
      <c r="D11" s="62">
        <v>500</v>
      </c>
      <c r="E11" s="91" t="s">
        <v>359</v>
      </c>
      <c r="F11" s="62" t="s">
        <v>181</v>
      </c>
      <c r="G11" s="62">
        <v>304</v>
      </c>
      <c r="H11" s="64">
        <v>0.6</v>
      </c>
      <c r="I11" s="62" t="s">
        <v>24</v>
      </c>
      <c r="J11" s="62" t="s">
        <v>24</v>
      </c>
      <c r="K11" s="62" t="s">
        <v>86</v>
      </c>
      <c r="L11" s="66">
        <v>15</v>
      </c>
      <c r="M11" s="67"/>
      <c r="N11" s="66">
        <f t="shared" si="3"/>
        <v>15</v>
      </c>
      <c r="P11" s="62"/>
      <c r="Q11" s="62"/>
      <c r="R11" s="64"/>
      <c r="S11" s="62"/>
      <c r="T11" s="65"/>
      <c r="U11" s="62"/>
      <c r="V11" s="62"/>
      <c r="W11" s="64"/>
      <c r="X11" s="62"/>
      <c r="Y11" s="62"/>
      <c r="Z11" s="62"/>
      <c r="AA11" s="66"/>
      <c r="AB11" s="67"/>
      <c r="AC11" s="66">
        <f t="shared" si="2"/>
        <v>0</v>
      </c>
      <c r="AE11" s="97">
        <v>250059</v>
      </c>
      <c r="AF11" s="62">
        <v>304</v>
      </c>
      <c r="AG11" s="64">
        <v>0.7</v>
      </c>
      <c r="AH11" s="62"/>
      <c r="AI11" s="91" t="s">
        <v>339</v>
      </c>
      <c r="AJ11" s="78" t="s">
        <v>328</v>
      </c>
      <c r="AK11" s="66">
        <v>660</v>
      </c>
      <c r="AL11" s="67"/>
      <c r="AM11" s="66">
        <f t="shared" si="0"/>
        <v>660</v>
      </c>
    </row>
    <row r="12" spans="1:39" s="76" customFormat="1" ht="100.05" customHeight="1" x14ac:dyDescent="0.3">
      <c r="A12" s="97">
        <v>250059</v>
      </c>
      <c r="B12" s="62">
        <v>304</v>
      </c>
      <c r="C12" s="64">
        <v>0.7</v>
      </c>
      <c r="D12" s="62">
        <v>500</v>
      </c>
      <c r="E12" s="91" t="s">
        <v>360</v>
      </c>
      <c r="F12" s="62" t="s">
        <v>121</v>
      </c>
      <c r="G12" s="62">
        <v>304</v>
      </c>
      <c r="H12" s="64">
        <v>0.6</v>
      </c>
      <c r="I12" s="62" t="s">
        <v>24</v>
      </c>
      <c r="J12" s="62" t="s">
        <v>24</v>
      </c>
      <c r="K12" s="62" t="s">
        <v>86</v>
      </c>
      <c r="L12" s="66">
        <v>660</v>
      </c>
      <c r="M12" s="67">
        <v>650</v>
      </c>
      <c r="N12" s="66">
        <f t="shared" si="3"/>
        <v>10</v>
      </c>
      <c r="P12" s="62"/>
      <c r="Q12" s="62"/>
      <c r="R12" s="64"/>
      <c r="S12" s="62"/>
      <c r="T12" s="65"/>
      <c r="U12" s="62"/>
      <c r="V12" s="62"/>
      <c r="W12" s="64"/>
      <c r="X12" s="62"/>
      <c r="Y12" s="62"/>
      <c r="Z12" s="62"/>
      <c r="AA12" s="66"/>
      <c r="AB12" s="67"/>
      <c r="AC12" s="66">
        <f t="shared" si="2"/>
        <v>0</v>
      </c>
      <c r="AE12" s="97">
        <v>250059</v>
      </c>
      <c r="AF12" s="62">
        <v>304</v>
      </c>
      <c r="AG12" s="64" t="s">
        <v>337</v>
      </c>
      <c r="AH12" s="62"/>
      <c r="AI12" s="91" t="s">
        <v>340</v>
      </c>
      <c r="AJ12" s="78" t="s">
        <v>328</v>
      </c>
      <c r="AK12" s="66">
        <v>20</v>
      </c>
      <c r="AL12" s="67"/>
      <c r="AM12" s="66">
        <f t="shared" si="0"/>
        <v>20</v>
      </c>
    </row>
    <row r="13" spans="1:39" s="76" customFormat="1" ht="100.05" customHeight="1" x14ac:dyDescent="0.3">
      <c r="A13" s="97">
        <v>250059</v>
      </c>
      <c r="B13" s="62">
        <v>304</v>
      </c>
      <c r="C13" s="64" t="s">
        <v>337</v>
      </c>
      <c r="D13" s="62">
        <v>500</v>
      </c>
      <c r="E13" s="91" t="s">
        <v>361</v>
      </c>
      <c r="F13" s="62" t="s">
        <v>121</v>
      </c>
      <c r="G13" s="62">
        <v>304</v>
      </c>
      <c r="H13" s="64">
        <v>0.6</v>
      </c>
      <c r="I13" s="62" t="s">
        <v>24</v>
      </c>
      <c r="J13" s="62" t="s">
        <v>24</v>
      </c>
      <c r="K13" s="62" t="s">
        <v>86</v>
      </c>
      <c r="L13" s="66">
        <v>20</v>
      </c>
      <c r="M13" s="67"/>
      <c r="N13" s="66">
        <f t="shared" si="3"/>
        <v>20</v>
      </c>
      <c r="P13" s="62"/>
      <c r="Q13" s="62"/>
      <c r="R13" s="64"/>
      <c r="S13" s="62"/>
      <c r="T13" s="65"/>
      <c r="U13" s="62"/>
      <c r="V13" s="62"/>
      <c r="W13" s="64"/>
      <c r="X13" s="62"/>
      <c r="Y13" s="62"/>
      <c r="Z13" s="62"/>
      <c r="AA13" s="66"/>
      <c r="AB13" s="67"/>
      <c r="AC13" s="66">
        <f t="shared" si="2"/>
        <v>0</v>
      </c>
      <c r="AE13" s="97">
        <v>250060</v>
      </c>
      <c r="AF13" s="62">
        <v>304</v>
      </c>
      <c r="AG13" s="64">
        <v>0.7</v>
      </c>
      <c r="AH13" s="62"/>
      <c r="AI13" s="91" t="s">
        <v>341</v>
      </c>
      <c r="AJ13" s="78" t="s">
        <v>328</v>
      </c>
      <c r="AK13" s="66">
        <v>665</v>
      </c>
      <c r="AL13" s="67"/>
      <c r="AM13" s="66">
        <f t="shared" si="0"/>
        <v>665</v>
      </c>
    </row>
    <row r="14" spans="1:39" s="76" customFormat="1" ht="100.05" customHeight="1" x14ac:dyDescent="0.3">
      <c r="A14" s="97">
        <v>250060</v>
      </c>
      <c r="B14" s="62">
        <v>304</v>
      </c>
      <c r="C14" s="64">
        <v>0.8</v>
      </c>
      <c r="D14" s="62">
        <v>560</v>
      </c>
      <c r="E14" s="91" t="s">
        <v>376</v>
      </c>
      <c r="F14" s="62" t="s">
        <v>121</v>
      </c>
      <c r="G14" s="62">
        <v>304</v>
      </c>
      <c r="H14" s="64">
        <v>0.6</v>
      </c>
      <c r="I14" s="62" t="s">
        <v>24</v>
      </c>
      <c r="J14" s="62" t="s">
        <v>24</v>
      </c>
      <c r="K14" s="62" t="s">
        <v>86</v>
      </c>
      <c r="L14" s="66">
        <v>665</v>
      </c>
      <c r="M14" s="67"/>
      <c r="N14" s="66">
        <f t="shared" si="3"/>
        <v>665</v>
      </c>
      <c r="P14" s="62"/>
      <c r="Q14" s="62"/>
      <c r="R14" s="64"/>
      <c r="S14" s="62"/>
      <c r="T14" s="65"/>
      <c r="U14" s="62"/>
      <c r="V14" s="62"/>
      <c r="W14" s="64"/>
      <c r="X14" s="62"/>
      <c r="Y14" s="62"/>
      <c r="Z14" s="62"/>
      <c r="AA14" s="66"/>
      <c r="AB14" s="67"/>
      <c r="AC14" s="66">
        <f t="shared" si="2"/>
        <v>0</v>
      </c>
      <c r="AE14" s="97">
        <v>250060</v>
      </c>
      <c r="AF14" s="62">
        <v>304</v>
      </c>
      <c r="AG14" s="64" t="s">
        <v>337</v>
      </c>
      <c r="AH14" s="62"/>
      <c r="AI14" s="91" t="s">
        <v>342</v>
      </c>
      <c r="AJ14" s="78" t="s">
        <v>328</v>
      </c>
      <c r="AK14" s="66">
        <v>15</v>
      </c>
      <c r="AL14" s="67"/>
      <c r="AM14" s="66">
        <f t="shared" si="0"/>
        <v>15</v>
      </c>
    </row>
    <row r="15" spans="1:39" s="76" customFormat="1" ht="100.05" customHeight="1" x14ac:dyDescent="0.3">
      <c r="A15" s="97">
        <v>250060</v>
      </c>
      <c r="B15" s="62">
        <v>304</v>
      </c>
      <c r="C15" s="64" t="s">
        <v>337</v>
      </c>
      <c r="D15" s="62">
        <v>560</v>
      </c>
      <c r="E15" s="91" t="s">
        <v>377</v>
      </c>
      <c r="F15" s="62" t="s">
        <v>121</v>
      </c>
      <c r="G15" s="62">
        <v>304</v>
      </c>
      <c r="H15" s="64">
        <v>0.6</v>
      </c>
      <c r="I15" s="62" t="s">
        <v>24</v>
      </c>
      <c r="J15" s="62" t="s">
        <v>24</v>
      </c>
      <c r="K15" s="62" t="s">
        <v>86</v>
      </c>
      <c r="L15" s="90">
        <v>15</v>
      </c>
      <c r="M15" s="67"/>
      <c r="N15" s="66">
        <f t="shared" si="3"/>
        <v>15</v>
      </c>
      <c r="P15" s="62"/>
      <c r="Q15" s="62"/>
      <c r="R15" s="64"/>
      <c r="S15" s="62"/>
      <c r="T15" s="65"/>
      <c r="U15" s="62"/>
      <c r="V15" s="62"/>
      <c r="W15" s="64"/>
      <c r="X15" s="62"/>
      <c r="Y15" s="62"/>
      <c r="Z15" s="62"/>
      <c r="AA15" s="66"/>
      <c r="AB15" s="67"/>
      <c r="AC15" s="66">
        <f t="shared" si="2"/>
        <v>0</v>
      </c>
      <c r="AE15" s="62"/>
      <c r="AF15" s="62"/>
      <c r="AG15" s="64"/>
      <c r="AH15" s="67"/>
      <c r="AI15" s="65"/>
      <c r="AJ15" s="78"/>
      <c r="AK15" s="66"/>
      <c r="AL15" s="67"/>
      <c r="AM15" s="66">
        <f t="shared" si="0"/>
        <v>0</v>
      </c>
    </row>
    <row r="16" spans="1:39" s="76" customFormat="1" ht="100.05" customHeight="1" x14ac:dyDescent="0.3">
      <c r="A16" s="97"/>
      <c r="B16" s="62"/>
      <c r="C16" s="64"/>
      <c r="D16" s="62"/>
      <c r="E16" s="65"/>
      <c r="F16" s="62"/>
      <c r="G16" s="62"/>
      <c r="H16" s="64"/>
      <c r="I16" s="62"/>
      <c r="J16" s="62"/>
      <c r="K16" s="62"/>
      <c r="L16" s="62"/>
      <c r="M16" s="67"/>
      <c r="N16" s="66">
        <f t="shared" si="3"/>
        <v>0</v>
      </c>
      <c r="P16" s="62"/>
      <c r="Q16" s="62"/>
      <c r="R16" s="64"/>
      <c r="S16" s="62"/>
      <c r="T16" s="65"/>
      <c r="U16" s="62"/>
      <c r="V16" s="62"/>
      <c r="W16" s="64"/>
      <c r="X16" s="62"/>
      <c r="Y16" s="62"/>
      <c r="Z16" s="62"/>
      <c r="AA16" s="62"/>
      <c r="AB16" s="67"/>
      <c r="AC16" s="66">
        <f t="shared" si="2"/>
        <v>0</v>
      </c>
      <c r="AE16" s="62"/>
      <c r="AF16" s="62"/>
      <c r="AG16" s="64"/>
      <c r="AH16" s="67"/>
      <c r="AI16" s="65"/>
      <c r="AJ16" s="78"/>
      <c r="AK16" s="66"/>
      <c r="AL16" s="67"/>
      <c r="AM16" s="66">
        <f t="shared" si="0"/>
        <v>0</v>
      </c>
    </row>
    <row r="17" spans="1:40" s="76" customFormat="1" ht="100.05" customHeight="1" x14ac:dyDescent="0.3">
      <c r="A17" s="68"/>
      <c r="B17" s="68"/>
      <c r="C17" s="69"/>
      <c r="D17" s="68"/>
      <c r="E17" s="70"/>
      <c r="F17" s="68"/>
      <c r="G17" s="68"/>
      <c r="H17" s="69"/>
      <c r="I17" s="68"/>
      <c r="J17" s="68"/>
      <c r="K17" s="68"/>
      <c r="L17" s="66">
        <f>SUM(L4:L16)</f>
        <v>4320</v>
      </c>
      <c r="M17" s="71">
        <f>SUM(M4:M16)</f>
        <v>650</v>
      </c>
      <c r="N17" s="66">
        <f>SUM(N4:N16)</f>
        <v>3670</v>
      </c>
      <c r="P17" s="68"/>
      <c r="Q17" s="68"/>
      <c r="R17" s="69"/>
      <c r="S17" s="68"/>
      <c r="T17" s="70"/>
      <c r="U17" s="68"/>
      <c r="V17" s="68"/>
      <c r="W17" s="69"/>
      <c r="X17" s="68"/>
      <c r="Y17" s="68"/>
      <c r="Z17" s="68"/>
      <c r="AA17" s="66">
        <f>AA4+AA6+AA7+AA8+AA16</f>
        <v>0</v>
      </c>
      <c r="AB17" s="71">
        <f>SUM(AB4:AB16)</f>
        <v>0</v>
      </c>
      <c r="AC17" s="66">
        <f>SUM(AC4:AC16)</f>
        <v>0</v>
      </c>
      <c r="AE17" s="62"/>
      <c r="AF17" s="62"/>
      <c r="AG17" s="64"/>
      <c r="AH17" s="67"/>
      <c r="AI17" s="65"/>
      <c r="AJ17" s="78"/>
      <c r="AK17" s="66"/>
      <c r="AL17" s="67"/>
      <c r="AM17" s="66">
        <f t="shared" si="0"/>
        <v>0</v>
      </c>
    </row>
    <row r="18" spans="1:40" s="75" customFormat="1" ht="100.05" customHeight="1" x14ac:dyDescent="0.3">
      <c r="A18" s="79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6"/>
      <c r="AE18" s="62"/>
      <c r="AF18" s="62"/>
      <c r="AG18" s="64"/>
      <c r="AH18" s="67"/>
      <c r="AI18" s="65"/>
      <c r="AJ18" s="78"/>
      <c r="AK18" s="66"/>
      <c r="AL18" s="67"/>
      <c r="AM18" s="66">
        <f t="shared" si="0"/>
        <v>0</v>
      </c>
      <c r="AN18" s="76"/>
    </row>
    <row r="19" spans="1:40" s="75" customFormat="1" ht="100.05" customHeight="1" x14ac:dyDescent="0.3">
      <c r="A19" s="109" t="s">
        <v>333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1"/>
      <c r="P19" s="109" t="s">
        <v>99</v>
      </c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1"/>
      <c r="AD19" s="76"/>
      <c r="AE19" s="62"/>
      <c r="AF19" s="62"/>
      <c r="AG19" s="64"/>
      <c r="AH19" s="67"/>
      <c r="AI19" s="65"/>
      <c r="AJ19" s="78"/>
      <c r="AK19" s="66"/>
      <c r="AL19" s="67"/>
      <c r="AM19" s="66">
        <f t="shared" si="0"/>
        <v>0</v>
      </c>
      <c r="AN19" s="76"/>
    </row>
    <row r="20" spans="1:40" s="75" customFormat="1" ht="145.80000000000001" x14ac:dyDescent="0.3">
      <c r="A20" s="81" t="s">
        <v>0</v>
      </c>
      <c r="B20" s="81" t="s">
        <v>9</v>
      </c>
      <c r="C20" s="82" t="s">
        <v>11</v>
      </c>
      <c r="D20" s="81" t="s">
        <v>2</v>
      </c>
      <c r="E20" s="81" t="s">
        <v>1</v>
      </c>
      <c r="F20" s="81" t="s">
        <v>14</v>
      </c>
      <c r="G20" s="81" t="s">
        <v>8</v>
      </c>
      <c r="H20" s="82" t="s">
        <v>10</v>
      </c>
      <c r="I20" s="82" t="s">
        <v>12</v>
      </c>
      <c r="J20" s="82" t="s">
        <v>13</v>
      </c>
      <c r="K20" s="81" t="s">
        <v>3</v>
      </c>
      <c r="L20" s="81" t="s">
        <v>7</v>
      </c>
      <c r="M20" s="81" t="s">
        <v>5</v>
      </c>
      <c r="N20" s="81" t="s">
        <v>6</v>
      </c>
      <c r="P20" s="81" t="s">
        <v>0</v>
      </c>
      <c r="Q20" s="81" t="s">
        <v>9</v>
      </c>
      <c r="R20" s="82" t="s">
        <v>11</v>
      </c>
      <c r="S20" s="81" t="s">
        <v>2</v>
      </c>
      <c r="T20" s="81" t="s">
        <v>1</v>
      </c>
      <c r="U20" s="81" t="s">
        <v>14</v>
      </c>
      <c r="V20" s="81" t="s">
        <v>8</v>
      </c>
      <c r="W20" s="82" t="s">
        <v>10</v>
      </c>
      <c r="X20" s="82" t="s">
        <v>12</v>
      </c>
      <c r="Y20" s="82" t="s">
        <v>13</v>
      </c>
      <c r="Z20" s="81" t="s">
        <v>3</v>
      </c>
      <c r="AA20" s="81" t="s">
        <v>7</v>
      </c>
      <c r="AB20" s="81" t="s">
        <v>5</v>
      </c>
      <c r="AC20" s="81" t="s">
        <v>6</v>
      </c>
      <c r="AD20" s="76"/>
      <c r="AE20" s="62"/>
      <c r="AF20" s="62"/>
      <c r="AG20" s="64"/>
      <c r="AH20" s="67"/>
      <c r="AI20" s="65"/>
      <c r="AJ20" s="78"/>
      <c r="AK20" s="66"/>
      <c r="AL20" s="67"/>
      <c r="AM20" s="66">
        <f t="shared" si="0"/>
        <v>0</v>
      </c>
      <c r="AN20" s="76"/>
    </row>
    <row r="21" spans="1:40" s="76" customFormat="1" ht="100.05" customHeight="1" x14ac:dyDescent="0.3">
      <c r="A21" s="97">
        <v>250081</v>
      </c>
      <c r="B21" s="97">
        <v>304</v>
      </c>
      <c r="C21" s="64">
        <v>0.6</v>
      </c>
      <c r="D21" s="62">
        <v>467</v>
      </c>
      <c r="E21" s="91" t="s">
        <v>310</v>
      </c>
      <c r="F21" s="62" t="s">
        <v>181</v>
      </c>
      <c r="G21" s="62">
        <v>430</v>
      </c>
      <c r="H21" s="64">
        <v>0.6</v>
      </c>
      <c r="I21" s="62" t="s">
        <v>24</v>
      </c>
      <c r="J21" s="62" t="s">
        <v>24</v>
      </c>
      <c r="K21" s="62" t="s">
        <v>86</v>
      </c>
      <c r="L21" s="66">
        <v>500</v>
      </c>
      <c r="M21" s="67"/>
      <c r="N21" s="66">
        <f t="shared" ref="N21" si="4">L21-M21</f>
        <v>500</v>
      </c>
      <c r="P21" s="62">
        <v>250059</v>
      </c>
      <c r="Q21" s="62">
        <v>304</v>
      </c>
      <c r="R21" s="64">
        <v>0.9</v>
      </c>
      <c r="S21" s="62">
        <v>290</v>
      </c>
      <c r="T21" s="93" t="s">
        <v>378</v>
      </c>
      <c r="U21" s="62" t="s">
        <v>42</v>
      </c>
      <c r="V21" s="62">
        <v>304</v>
      </c>
      <c r="W21" s="64">
        <v>0.5</v>
      </c>
      <c r="X21" s="62" t="s">
        <v>24</v>
      </c>
      <c r="Y21" s="62" t="s">
        <v>24</v>
      </c>
      <c r="Z21" s="62" t="s">
        <v>74</v>
      </c>
      <c r="AA21" s="66">
        <v>680</v>
      </c>
      <c r="AB21" s="67">
        <v>200</v>
      </c>
      <c r="AC21" s="66">
        <f t="shared" ref="AC21:AC45" si="5">AA21-AB21</f>
        <v>480</v>
      </c>
      <c r="AE21" s="62"/>
      <c r="AF21" s="62"/>
      <c r="AG21" s="64"/>
      <c r="AH21" s="67"/>
      <c r="AI21" s="65"/>
      <c r="AJ21" s="78"/>
      <c r="AK21" s="66"/>
      <c r="AL21" s="67"/>
      <c r="AM21" s="66">
        <f t="shared" si="0"/>
        <v>0</v>
      </c>
    </row>
    <row r="22" spans="1:40" s="76" customFormat="1" ht="100.05" customHeight="1" x14ac:dyDescent="0.3">
      <c r="A22" s="97" t="s">
        <v>300</v>
      </c>
      <c r="B22" s="97">
        <v>304</v>
      </c>
      <c r="C22" s="64">
        <v>0.7</v>
      </c>
      <c r="D22" s="62">
        <v>289</v>
      </c>
      <c r="E22" s="91" t="s">
        <v>303</v>
      </c>
      <c r="F22" s="62" t="s">
        <v>121</v>
      </c>
      <c r="G22" s="62">
        <v>430</v>
      </c>
      <c r="H22" s="64">
        <v>0.6</v>
      </c>
      <c r="I22" s="62" t="s">
        <v>24</v>
      </c>
      <c r="J22" s="62" t="s">
        <v>24</v>
      </c>
      <c r="K22" s="62" t="s">
        <v>86</v>
      </c>
      <c r="L22" s="66">
        <v>1000</v>
      </c>
      <c r="M22" s="67"/>
      <c r="N22" s="66">
        <f>L22-M22</f>
        <v>1000</v>
      </c>
      <c r="P22" s="62"/>
      <c r="Q22" s="62"/>
      <c r="R22" s="64"/>
      <c r="S22" s="62"/>
      <c r="T22" s="93"/>
      <c r="U22" s="62"/>
      <c r="V22" s="62"/>
      <c r="W22" s="64"/>
      <c r="X22" s="62"/>
      <c r="Y22" s="62"/>
      <c r="Z22" s="62"/>
      <c r="AA22" s="66"/>
      <c r="AB22" s="67"/>
      <c r="AC22" s="66">
        <f t="shared" si="5"/>
        <v>0</v>
      </c>
      <c r="AD22" s="75"/>
      <c r="AE22" s="62"/>
      <c r="AF22" s="62"/>
      <c r="AG22" s="64"/>
      <c r="AH22" s="67"/>
      <c r="AI22" s="65"/>
      <c r="AJ22" s="78"/>
      <c r="AK22" s="66"/>
      <c r="AL22" s="67"/>
      <c r="AM22" s="66">
        <f t="shared" si="0"/>
        <v>0</v>
      </c>
      <c r="AN22" s="75"/>
    </row>
    <row r="23" spans="1:40" s="76" customFormat="1" ht="100.05" customHeight="1" x14ac:dyDescent="0.3">
      <c r="A23" s="97">
        <v>250060</v>
      </c>
      <c r="B23" s="97">
        <v>304</v>
      </c>
      <c r="C23" s="64">
        <v>0.8</v>
      </c>
      <c r="D23" s="62">
        <v>289</v>
      </c>
      <c r="E23" s="91" t="s">
        <v>343</v>
      </c>
      <c r="F23" s="62" t="s">
        <v>121</v>
      </c>
      <c r="G23" s="62">
        <v>304</v>
      </c>
      <c r="H23" s="64">
        <v>0.6</v>
      </c>
      <c r="I23" s="62" t="s">
        <v>24</v>
      </c>
      <c r="J23" s="62" t="s">
        <v>24</v>
      </c>
      <c r="K23" s="62" t="s">
        <v>86</v>
      </c>
      <c r="L23" s="66">
        <v>665</v>
      </c>
      <c r="M23" s="67"/>
      <c r="N23" s="66">
        <f>L23-M23</f>
        <v>665</v>
      </c>
      <c r="P23" s="62"/>
      <c r="Q23" s="62"/>
      <c r="R23" s="64"/>
      <c r="S23" s="62"/>
      <c r="T23" s="93"/>
      <c r="U23" s="62"/>
      <c r="V23" s="62"/>
      <c r="W23" s="64"/>
      <c r="X23" s="62"/>
      <c r="Y23" s="62"/>
      <c r="Z23" s="62"/>
      <c r="AA23" s="66"/>
      <c r="AB23" s="67"/>
      <c r="AC23" s="66">
        <f t="shared" si="5"/>
        <v>0</v>
      </c>
      <c r="AD23" s="75"/>
      <c r="AE23" s="62"/>
      <c r="AF23" s="62"/>
      <c r="AG23" s="64"/>
      <c r="AH23" s="67"/>
      <c r="AI23" s="65"/>
      <c r="AJ23" s="78"/>
      <c r="AK23" s="66"/>
      <c r="AL23" s="67"/>
      <c r="AM23" s="66">
        <f t="shared" si="0"/>
        <v>0</v>
      </c>
      <c r="AN23" s="75"/>
    </row>
    <row r="24" spans="1:40" s="76" customFormat="1" ht="100.05" customHeight="1" x14ac:dyDescent="0.3">
      <c r="A24" s="97">
        <v>250060</v>
      </c>
      <c r="B24" s="97">
        <v>304</v>
      </c>
      <c r="C24" s="64" t="s">
        <v>337</v>
      </c>
      <c r="D24" s="62">
        <v>289</v>
      </c>
      <c r="E24" s="91" t="s">
        <v>344</v>
      </c>
      <c r="F24" s="62" t="s">
        <v>121</v>
      </c>
      <c r="G24" s="62">
        <v>304</v>
      </c>
      <c r="H24" s="64">
        <v>0.6</v>
      </c>
      <c r="I24" s="62" t="s">
        <v>24</v>
      </c>
      <c r="J24" s="62" t="s">
        <v>24</v>
      </c>
      <c r="K24" s="62" t="s">
        <v>86</v>
      </c>
      <c r="L24" s="66">
        <v>15</v>
      </c>
      <c r="M24" s="67"/>
      <c r="N24" s="66">
        <f>L24-M24</f>
        <v>15</v>
      </c>
      <c r="P24" s="62"/>
      <c r="Q24" s="62"/>
      <c r="R24" s="64"/>
      <c r="S24" s="62"/>
      <c r="T24" s="93"/>
      <c r="U24" s="62"/>
      <c r="V24" s="62"/>
      <c r="W24" s="64"/>
      <c r="X24" s="62"/>
      <c r="Y24" s="62"/>
      <c r="Z24" s="62"/>
      <c r="AA24" s="66"/>
      <c r="AB24" s="67"/>
      <c r="AC24" s="66">
        <f t="shared" si="5"/>
        <v>0</v>
      </c>
      <c r="AD24" s="75"/>
      <c r="AE24" s="62"/>
      <c r="AF24" s="62"/>
      <c r="AG24" s="64"/>
      <c r="AH24" s="67"/>
      <c r="AI24" s="65"/>
      <c r="AJ24" s="78"/>
      <c r="AK24" s="66"/>
      <c r="AL24" s="67"/>
      <c r="AM24" s="66">
        <f t="shared" si="0"/>
        <v>0</v>
      </c>
      <c r="AN24" s="75"/>
    </row>
    <row r="25" spans="1:40" s="76" customFormat="1" ht="99.6" customHeight="1" x14ac:dyDescent="0.3">
      <c r="A25" s="97">
        <v>250059</v>
      </c>
      <c r="B25" s="97">
        <v>304</v>
      </c>
      <c r="C25" s="64">
        <v>0.7</v>
      </c>
      <c r="D25" s="62">
        <v>433</v>
      </c>
      <c r="E25" s="91" t="s">
        <v>350</v>
      </c>
      <c r="F25" s="62" t="s">
        <v>121</v>
      </c>
      <c r="G25" s="62">
        <v>304</v>
      </c>
      <c r="H25" s="64">
        <v>0.6</v>
      </c>
      <c r="I25" s="62" t="s">
        <v>24</v>
      </c>
      <c r="J25" s="62" t="s">
        <v>24</v>
      </c>
      <c r="K25" s="62" t="s">
        <v>86</v>
      </c>
      <c r="L25" s="66">
        <v>660</v>
      </c>
      <c r="M25" s="67">
        <v>200</v>
      </c>
      <c r="N25" s="90">
        <f t="shared" ref="N25:N45" si="6">L25-M25</f>
        <v>460</v>
      </c>
      <c r="P25" s="62"/>
      <c r="Q25" s="62"/>
      <c r="R25" s="64"/>
      <c r="S25" s="62"/>
      <c r="T25" s="93"/>
      <c r="U25" s="62"/>
      <c r="V25" s="62"/>
      <c r="W25" s="64"/>
      <c r="X25" s="62"/>
      <c r="Y25" s="62"/>
      <c r="Z25" s="62"/>
      <c r="AA25" s="66"/>
      <c r="AB25" s="67"/>
      <c r="AC25" s="66">
        <f t="shared" si="5"/>
        <v>0</v>
      </c>
      <c r="AD25" s="75"/>
      <c r="AE25" s="62"/>
      <c r="AF25" s="62"/>
      <c r="AG25" s="64"/>
      <c r="AH25" s="67"/>
      <c r="AI25" s="65"/>
      <c r="AJ25" s="78"/>
      <c r="AK25" s="66"/>
      <c r="AL25" s="67"/>
      <c r="AM25" s="66">
        <f t="shared" si="0"/>
        <v>0</v>
      </c>
      <c r="AN25" s="75"/>
    </row>
    <row r="26" spans="1:40" s="76" customFormat="1" ht="100.05" customHeight="1" x14ac:dyDescent="0.3">
      <c r="A26" s="97">
        <v>250059</v>
      </c>
      <c r="B26" s="97">
        <v>304</v>
      </c>
      <c r="C26" s="64" t="s">
        <v>337</v>
      </c>
      <c r="D26" s="62">
        <v>433</v>
      </c>
      <c r="E26" s="91" t="s">
        <v>351</v>
      </c>
      <c r="F26" s="62" t="s">
        <v>121</v>
      </c>
      <c r="G26" s="62">
        <v>304</v>
      </c>
      <c r="H26" s="64">
        <v>0.6</v>
      </c>
      <c r="I26" s="62" t="s">
        <v>24</v>
      </c>
      <c r="J26" s="62" t="s">
        <v>24</v>
      </c>
      <c r="K26" s="62" t="s">
        <v>86</v>
      </c>
      <c r="L26" s="66">
        <v>20</v>
      </c>
      <c r="M26" s="67"/>
      <c r="N26" s="66">
        <f t="shared" si="6"/>
        <v>20</v>
      </c>
      <c r="P26" s="62"/>
      <c r="Q26" s="62"/>
      <c r="R26" s="64"/>
      <c r="S26" s="62"/>
      <c r="T26" s="93"/>
      <c r="U26" s="62"/>
      <c r="V26" s="62"/>
      <c r="W26" s="64"/>
      <c r="X26" s="62"/>
      <c r="Y26" s="62"/>
      <c r="Z26" s="62"/>
      <c r="AA26" s="66"/>
      <c r="AB26" s="67"/>
      <c r="AC26" s="66">
        <f t="shared" si="5"/>
        <v>0</v>
      </c>
      <c r="AD26" s="75"/>
      <c r="AE26" s="62"/>
      <c r="AF26" s="62"/>
      <c r="AG26" s="64"/>
      <c r="AH26" s="67"/>
      <c r="AI26" s="65"/>
      <c r="AJ26" s="78"/>
      <c r="AK26" s="66"/>
      <c r="AL26" s="67"/>
      <c r="AM26" s="66">
        <f t="shared" si="0"/>
        <v>0</v>
      </c>
      <c r="AN26" s="75"/>
    </row>
    <row r="27" spans="1:40" s="76" customFormat="1" ht="100.05" customHeight="1" x14ac:dyDescent="0.3">
      <c r="A27" s="97">
        <v>250060</v>
      </c>
      <c r="B27" s="97">
        <v>304</v>
      </c>
      <c r="C27" s="64">
        <v>0.8</v>
      </c>
      <c r="D27" s="62">
        <v>433</v>
      </c>
      <c r="E27" s="91" t="s">
        <v>352</v>
      </c>
      <c r="F27" s="62" t="s">
        <v>121</v>
      </c>
      <c r="G27" s="62">
        <v>304</v>
      </c>
      <c r="H27" s="64">
        <v>0.6</v>
      </c>
      <c r="I27" s="62" t="s">
        <v>24</v>
      </c>
      <c r="J27" s="62" t="s">
        <v>24</v>
      </c>
      <c r="K27" s="62" t="s">
        <v>86</v>
      </c>
      <c r="L27" s="66">
        <v>665</v>
      </c>
      <c r="M27" s="67"/>
      <c r="N27" s="66">
        <f t="shared" si="6"/>
        <v>665</v>
      </c>
      <c r="P27" s="62"/>
      <c r="Q27" s="62"/>
      <c r="R27" s="64"/>
      <c r="S27" s="62"/>
      <c r="T27" s="93"/>
      <c r="U27" s="62"/>
      <c r="V27" s="62"/>
      <c r="W27" s="64"/>
      <c r="X27" s="62"/>
      <c r="Y27" s="62"/>
      <c r="Z27" s="62"/>
      <c r="AA27" s="66"/>
      <c r="AB27" s="67"/>
      <c r="AC27" s="66">
        <f t="shared" si="5"/>
        <v>0</v>
      </c>
      <c r="AD27" s="75"/>
      <c r="AE27" s="62"/>
      <c r="AF27" s="62"/>
      <c r="AG27" s="64"/>
      <c r="AH27" s="67"/>
      <c r="AI27" s="65"/>
      <c r="AJ27" s="78"/>
      <c r="AK27" s="66"/>
      <c r="AL27" s="67"/>
      <c r="AM27" s="66">
        <f t="shared" si="0"/>
        <v>0</v>
      </c>
      <c r="AN27" s="75"/>
    </row>
    <row r="28" spans="1:40" s="76" customFormat="1" ht="100.05" customHeight="1" x14ac:dyDescent="0.3">
      <c r="A28" s="97">
        <v>250060</v>
      </c>
      <c r="B28" s="97">
        <v>304</v>
      </c>
      <c r="C28" s="64" t="s">
        <v>354</v>
      </c>
      <c r="D28" s="62">
        <v>433</v>
      </c>
      <c r="E28" s="91" t="s">
        <v>355</v>
      </c>
      <c r="F28" s="62" t="s">
        <v>121</v>
      </c>
      <c r="G28" s="62">
        <v>304</v>
      </c>
      <c r="H28" s="64">
        <v>0.6</v>
      </c>
      <c r="I28" s="62" t="s">
        <v>24</v>
      </c>
      <c r="J28" s="62" t="s">
        <v>24</v>
      </c>
      <c r="K28" s="62" t="s">
        <v>86</v>
      </c>
      <c r="L28" s="66">
        <v>15</v>
      </c>
      <c r="M28" s="67"/>
      <c r="N28" s="66">
        <f t="shared" si="6"/>
        <v>15</v>
      </c>
      <c r="P28" s="62"/>
      <c r="Q28" s="62"/>
      <c r="R28" s="64"/>
      <c r="S28" s="62"/>
      <c r="T28" s="93"/>
      <c r="U28" s="62"/>
      <c r="V28" s="62"/>
      <c r="W28" s="64"/>
      <c r="X28" s="62"/>
      <c r="Y28" s="62"/>
      <c r="Z28" s="62"/>
      <c r="AA28" s="66"/>
      <c r="AB28" s="67"/>
      <c r="AC28" s="66">
        <f t="shared" si="5"/>
        <v>0</v>
      </c>
      <c r="AD28" s="75"/>
      <c r="AE28" s="62"/>
      <c r="AF28" s="62"/>
      <c r="AG28" s="64"/>
      <c r="AH28" s="67"/>
      <c r="AI28" s="65"/>
      <c r="AJ28" s="78"/>
      <c r="AK28" s="66"/>
      <c r="AL28" s="67"/>
      <c r="AM28" s="66">
        <f t="shared" si="0"/>
        <v>0</v>
      </c>
      <c r="AN28" s="75"/>
    </row>
    <row r="29" spans="1:40" s="76" customFormat="1" ht="100.05" customHeight="1" x14ac:dyDescent="0.3">
      <c r="A29" s="97">
        <v>250059</v>
      </c>
      <c r="B29" s="97">
        <v>304</v>
      </c>
      <c r="C29" s="64">
        <v>0.7</v>
      </c>
      <c r="D29" s="62">
        <v>323</v>
      </c>
      <c r="E29" s="91" t="s">
        <v>349</v>
      </c>
      <c r="F29" s="62" t="s">
        <v>121</v>
      </c>
      <c r="G29" s="62">
        <v>304</v>
      </c>
      <c r="H29" s="64">
        <v>0.6</v>
      </c>
      <c r="I29" s="62" t="s">
        <v>24</v>
      </c>
      <c r="J29" s="62" t="s">
        <v>24</v>
      </c>
      <c r="K29" s="62" t="s">
        <v>86</v>
      </c>
      <c r="L29" s="66">
        <v>660</v>
      </c>
      <c r="M29" s="67"/>
      <c r="N29" s="66">
        <f t="shared" si="6"/>
        <v>660</v>
      </c>
      <c r="P29" s="62"/>
      <c r="Q29" s="62"/>
      <c r="R29" s="64"/>
      <c r="S29" s="62"/>
      <c r="T29" s="93"/>
      <c r="U29" s="62"/>
      <c r="V29" s="62"/>
      <c r="W29" s="64"/>
      <c r="X29" s="62"/>
      <c r="Y29" s="62"/>
      <c r="Z29" s="62"/>
      <c r="AA29" s="66"/>
      <c r="AB29" s="67"/>
      <c r="AC29" s="66">
        <f t="shared" si="5"/>
        <v>0</v>
      </c>
      <c r="AD29" s="75"/>
      <c r="AE29" s="62"/>
      <c r="AF29" s="62"/>
      <c r="AG29" s="64"/>
      <c r="AH29" s="67"/>
      <c r="AI29" s="65"/>
      <c r="AJ29" s="78"/>
      <c r="AK29" s="66"/>
      <c r="AL29" s="67"/>
      <c r="AM29" s="66">
        <f t="shared" si="0"/>
        <v>0</v>
      </c>
      <c r="AN29" s="75"/>
    </row>
    <row r="30" spans="1:40" s="76" customFormat="1" ht="100.05" customHeight="1" x14ac:dyDescent="0.3">
      <c r="A30" s="97">
        <v>250059</v>
      </c>
      <c r="B30" s="97">
        <v>304</v>
      </c>
      <c r="C30" s="64" t="s">
        <v>337</v>
      </c>
      <c r="D30" s="62">
        <v>323</v>
      </c>
      <c r="E30" s="91" t="s">
        <v>353</v>
      </c>
      <c r="F30" s="62" t="s">
        <v>121</v>
      </c>
      <c r="G30" s="62">
        <v>304</v>
      </c>
      <c r="H30" s="64">
        <v>0.6</v>
      </c>
      <c r="I30" s="62" t="s">
        <v>24</v>
      </c>
      <c r="J30" s="62" t="s">
        <v>24</v>
      </c>
      <c r="K30" s="62" t="s">
        <v>86</v>
      </c>
      <c r="L30" s="66">
        <v>20</v>
      </c>
      <c r="M30" s="67"/>
      <c r="N30" s="66">
        <f t="shared" si="6"/>
        <v>20</v>
      </c>
      <c r="P30" s="62"/>
      <c r="Q30" s="62"/>
      <c r="R30" s="64"/>
      <c r="S30" s="62"/>
      <c r="T30" s="93"/>
      <c r="U30" s="62"/>
      <c r="V30" s="62"/>
      <c r="W30" s="64"/>
      <c r="X30" s="62"/>
      <c r="Y30" s="62"/>
      <c r="Z30" s="62"/>
      <c r="AA30" s="66"/>
      <c r="AB30" s="67"/>
      <c r="AC30" s="66">
        <f t="shared" si="5"/>
        <v>0</v>
      </c>
      <c r="AD30" s="75"/>
      <c r="AE30" s="62"/>
      <c r="AF30" s="62"/>
      <c r="AG30" s="64"/>
      <c r="AH30" s="67"/>
      <c r="AI30" s="65"/>
      <c r="AJ30" s="78"/>
      <c r="AK30" s="66"/>
      <c r="AL30" s="67"/>
      <c r="AM30" s="66">
        <f t="shared" si="0"/>
        <v>0</v>
      </c>
      <c r="AN30" s="75"/>
    </row>
    <row r="31" spans="1:40" s="76" customFormat="1" ht="100.05" customHeight="1" x14ac:dyDescent="0.3">
      <c r="A31" s="97">
        <v>250060</v>
      </c>
      <c r="B31" s="97">
        <v>304</v>
      </c>
      <c r="C31" s="64">
        <v>0.8</v>
      </c>
      <c r="D31" s="62">
        <v>323</v>
      </c>
      <c r="E31" s="91" t="s">
        <v>356</v>
      </c>
      <c r="F31" s="62" t="s">
        <v>121</v>
      </c>
      <c r="G31" s="62">
        <v>304</v>
      </c>
      <c r="H31" s="64">
        <v>0.6</v>
      </c>
      <c r="I31" s="62" t="s">
        <v>24</v>
      </c>
      <c r="J31" s="62" t="s">
        <v>24</v>
      </c>
      <c r="K31" s="62" t="s">
        <v>86</v>
      </c>
      <c r="L31" s="66">
        <v>665</v>
      </c>
      <c r="M31" s="67"/>
      <c r="N31" s="66">
        <f t="shared" si="6"/>
        <v>665</v>
      </c>
      <c r="P31" s="62"/>
      <c r="Q31" s="62"/>
      <c r="R31" s="64"/>
      <c r="S31" s="62"/>
      <c r="T31" s="93"/>
      <c r="U31" s="62"/>
      <c r="V31" s="62"/>
      <c r="W31" s="64"/>
      <c r="X31" s="62"/>
      <c r="Y31" s="62"/>
      <c r="Z31" s="62"/>
      <c r="AA31" s="66"/>
      <c r="AB31" s="67"/>
      <c r="AC31" s="66">
        <f t="shared" si="5"/>
        <v>0</v>
      </c>
      <c r="AD31" s="75"/>
      <c r="AE31" s="62"/>
      <c r="AF31" s="62"/>
      <c r="AG31" s="64"/>
      <c r="AH31" s="67"/>
      <c r="AI31" s="65"/>
      <c r="AJ31" s="78"/>
      <c r="AK31" s="66"/>
      <c r="AL31" s="67"/>
      <c r="AM31" s="66">
        <f t="shared" si="0"/>
        <v>0</v>
      </c>
      <c r="AN31" s="75"/>
    </row>
    <row r="32" spans="1:40" s="76" customFormat="1" ht="100.05" customHeight="1" x14ac:dyDescent="0.3">
      <c r="A32" s="97">
        <v>250060</v>
      </c>
      <c r="B32" s="97">
        <v>304</v>
      </c>
      <c r="C32" s="64" t="s">
        <v>337</v>
      </c>
      <c r="D32" s="62">
        <v>323</v>
      </c>
      <c r="E32" s="91" t="s">
        <v>357</v>
      </c>
      <c r="F32" s="62" t="s">
        <v>121</v>
      </c>
      <c r="G32" s="62">
        <v>304</v>
      </c>
      <c r="H32" s="64">
        <v>0.6</v>
      </c>
      <c r="I32" s="62" t="s">
        <v>24</v>
      </c>
      <c r="J32" s="62" t="s">
        <v>24</v>
      </c>
      <c r="K32" s="62" t="s">
        <v>86</v>
      </c>
      <c r="L32" s="66">
        <v>15</v>
      </c>
      <c r="M32" s="67"/>
      <c r="N32" s="66">
        <f t="shared" si="6"/>
        <v>15</v>
      </c>
      <c r="P32" s="62"/>
      <c r="Q32" s="62"/>
      <c r="R32" s="64"/>
      <c r="S32" s="62"/>
      <c r="T32" s="93"/>
      <c r="U32" s="62"/>
      <c r="V32" s="62"/>
      <c r="W32" s="64"/>
      <c r="X32" s="62"/>
      <c r="Y32" s="62"/>
      <c r="Z32" s="62"/>
      <c r="AA32" s="66"/>
      <c r="AB32" s="67"/>
      <c r="AC32" s="66">
        <f t="shared" si="5"/>
        <v>0</v>
      </c>
      <c r="AD32" s="75"/>
      <c r="AE32" s="62"/>
      <c r="AF32" s="62"/>
      <c r="AG32" s="64"/>
      <c r="AH32" s="67"/>
      <c r="AI32" s="65"/>
      <c r="AJ32" s="78"/>
      <c r="AK32" s="66"/>
      <c r="AL32" s="67"/>
      <c r="AM32" s="66">
        <f t="shared" si="0"/>
        <v>0</v>
      </c>
      <c r="AN32" s="75"/>
    </row>
    <row r="33" spans="1:40" s="76" customFormat="1" ht="100.05" customHeight="1" x14ac:dyDescent="0.3">
      <c r="A33" s="97">
        <v>250058</v>
      </c>
      <c r="B33" s="97">
        <v>304</v>
      </c>
      <c r="C33" s="64">
        <v>0.7</v>
      </c>
      <c r="D33" s="62">
        <v>350</v>
      </c>
      <c r="E33" s="91" t="s">
        <v>362</v>
      </c>
      <c r="F33" s="62" t="s">
        <v>181</v>
      </c>
      <c r="G33" s="62">
        <v>304</v>
      </c>
      <c r="H33" s="64">
        <v>0.6</v>
      </c>
      <c r="I33" s="62" t="s">
        <v>24</v>
      </c>
      <c r="J33" s="62" t="s">
        <v>24</v>
      </c>
      <c r="K33" s="62" t="s">
        <v>86</v>
      </c>
      <c r="L33" s="66">
        <v>785</v>
      </c>
      <c r="M33" s="67"/>
      <c r="N33" s="66">
        <f t="shared" si="6"/>
        <v>785</v>
      </c>
      <c r="P33" s="62"/>
      <c r="Q33" s="62"/>
      <c r="R33" s="64"/>
      <c r="S33" s="62"/>
      <c r="T33" s="93"/>
      <c r="U33" s="62"/>
      <c r="V33" s="62"/>
      <c r="W33" s="64"/>
      <c r="X33" s="62"/>
      <c r="Y33" s="62"/>
      <c r="Z33" s="62"/>
      <c r="AA33" s="66"/>
      <c r="AB33" s="67"/>
      <c r="AC33" s="66">
        <f t="shared" si="5"/>
        <v>0</v>
      </c>
      <c r="AD33" s="75"/>
      <c r="AE33" s="62"/>
      <c r="AF33" s="62"/>
      <c r="AG33" s="64"/>
      <c r="AH33" s="67"/>
      <c r="AI33" s="65"/>
      <c r="AJ33" s="78"/>
      <c r="AK33" s="66"/>
      <c r="AL33" s="67"/>
      <c r="AM33" s="66">
        <f t="shared" si="0"/>
        <v>0</v>
      </c>
      <c r="AN33" s="75"/>
    </row>
    <row r="34" spans="1:40" s="76" customFormat="1" ht="100.05" customHeight="1" x14ac:dyDescent="0.3">
      <c r="A34" s="97">
        <v>250058</v>
      </c>
      <c r="B34" s="97">
        <v>304</v>
      </c>
      <c r="C34" s="64" t="s">
        <v>354</v>
      </c>
      <c r="D34" s="62">
        <v>350</v>
      </c>
      <c r="E34" s="91" t="s">
        <v>363</v>
      </c>
      <c r="F34" s="62" t="s">
        <v>181</v>
      </c>
      <c r="G34" s="62">
        <v>304</v>
      </c>
      <c r="H34" s="64">
        <v>0.6</v>
      </c>
      <c r="I34" s="62" t="s">
        <v>24</v>
      </c>
      <c r="J34" s="62" t="s">
        <v>24</v>
      </c>
      <c r="K34" s="62" t="s">
        <v>86</v>
      </c>
      <c r="L34" s="66">
        <v>15</v>
      </c>
      <c r="M34" s="67"/>
      <c r="N34" s="66">
        <f t="shared" si="6"/>
        <v>15</v>
      </c>
      <c r="P34" s="62"/>
      <c r="Q34" s="62"/>
      <c r="R34" s="64"/>
      <c r="S34" s="62"/>
      <c r="T34" s="93"/>
      <c r="U34" s="62"/>
      <c r="V34" s="62"/>
      <c r="W34" s="64"/>
      <c r="X34" s="62"/>
      <c r="Y34" s="62"/>
      <c r="Z34" s="62"/>
      <c r="AA34" s="66"/>
      <c r="AB34" s="67"/>
      <c r="AC34" s="66">
        <f t="shared" si="5"/>
        <v>0</v>
      </c>
      <c r="AD34" s="75"/>
      <c r="AE34" s="62"/>
      <c r="AF34" s="62"/>
      <c r="AG34" s="64"/>
      <c r="AH34" s="67"/>
      <c r="AI34" s="65"/>
      <c r="AJ34" s="78"/>
      <c r="AK34" s="66"/>
      <c r="AL34" s="67"/>
      <c r="AM34" s="66">
        <f t="shared" si="0"/>
        <v>0</v>
      </c>
      <c r="AN34" s="75"/>
    </row>
    <row r="35" spans="1:40" s="76" customFormat="1" ht="100.05" customHeight="1" x14ac:dyDescent="0.3">
      <c r="A35" s="97">
        <v>250059</v>
      </c>
      <c r="B35" s="97">
        <v>304</v>
      </c>
      <c r="C35" s="64">
        <v>0.7</v>
      </c>
      <c r="D35" s="62">
        <v>350</v>
      </c>
      <c r="E35" s="91" t="s">
        <v>367</v>
      </c>
      <c r="F35" s="62" t="s">
        <v>121</v>
      </c>
      <c r="G35" s="62">
        <v>304</v>
      </c>
      <c r="H35" s="64">
        <v>0.6</v>
      </c>
      <c r="I35" s="62" t="s">
        <v>24</v>
      </c>
      <c r="J35" s="62" t="s">
        <v>24</v>
      </c>
      <c r="K35" s="62" t="s">
        <v>86</v>
      </c>
      <c r="L35" s="66">
        <v>660</v>
      </c>
      <c r="M35" s="67"/>
      <c r="N35" s="66">
        <f t="shared" si="6"/>
        <v>660</v>
      </c>
      <c r="P35" s="62"/>
      <c r="Q35" s="62"/>
      <c r="R35" s="64"/>
      <c r="S35" s="62"/>
      <c r="T35" s="93"/>
      <c r="U35" s="62"/>
      <c r="V35" s="62"/>
      <c r="W35" s="64"/>
      <c r="X35" s="62"/>
      <c r="Y35" s="62"/>
      <c r="Z35" s="62"/>
      <c r="AA35" s="66"/>
      <c r="AB35" s="67"/>
      <c r="AC35" s="66">
        <f t="shared" si="5"/>
        <v>0</v>
      </c>
      <c r="AD35" s="75"/>
      <c r="AE35" s="62"/>
      <c r="AF35" s="62"/>
      <c r="AG35" s="64"/>
      <c r="AH35" s="67"/>
      <c r="AI35" s="65"/>
      <c r="AJ35" s="78"/>
      <c r="AK35" s="66"/>
      <c r="AL35" s="67"/>
      <c r="AM35" s="66">
        <f t="shared" si="0"/>
        <v>0</v>
      </c>
      <c r="AN35" s="75"/>
    </row>
    <row r="36" spans="1:40" s="76" customFormat="1" ht="100.05" customHeight="1" x14ac:dyDescent="0.3">
      <c r="A36" s="97">
        <v>250059</v>
      </c>
      <c r="B36" s="97">
        <v>304</v>
      </c>
      <c r="C36" s="64" t="s">
        <v>337</v>
      </c>
      <c r="D36" s="62">
        <v>350</v>
      </c>
      <c r="E36" s="91" t="s">
        <v>366</v>
      </c>
      <c r="F36" s="62" t="s">
        <v>121</v>
      </c>
      <c r="G36" s="62">
        <v>304</v>
      </c>
      <c r="H36" s="64">
        <v>0.6</v>
      </c>
      <c r="I36" s="62" t="s">
        <v>24</v>
      </c>
      <c r="J36" s="62" t="s">
        <v>24</v>
      </c>
      <c r="K36" s="62" t="s">
        <v>86</v>
      </c>
      <c r="L36" s="66">
        <v>20</v>
      </c>
      <c r="M36" s="67"/>
      <c r="N36" s="66">
        <f t="shared" si="6"/>
        <v>20</v>
      </c>
      <c r="P36" s="62"/>
      <c r="Q36" s="62"/>
      <c r="R36" s="64"/>
      <c r="S36" s="62"/>
      <c r="T36" s="93"/>
      <c r="U36" s="62"/>
      <c r="V36" s="62"/>
      <c r="W36" s="64"/>
      <c r="X36" s="62"/>
      <c r="Y36" s="62"/>
      <c r="Z36" s="62"/>
      <c r="AA36" s="66"/>
      <c r="AB36" s="67"/>
      <c r="AC36" s="66">
        <f t="shared" si="5"/>
        <v>0</v>
      </c>
      <c r="AD36" s="75"/>
      <c r="AE36" s="62"/>
      <c r="AF36" s="62"/>
      <c r="AG36" s="64"/>
      <c r="AH36" s="67"/>
      <c r="AI36" s="65"/>
      <c r="AJ36" s="78"/>
      <c r="AK36" s="66"/>
      <c r="AL36" s="67"/>
      <c r="AM36" s="66">
        <f t="shared" si="0"/>
        <v>0</v>
      </c>
      <c r="AN36" s="75"/>
    </row>
    <row r="37" spans="1:40" s="76" customFormat="1" ht="100.05" customHeight="1" x14ac:dyDescent="0.3">
      <c r="A37" s="97">
        <v>250060</v>
      </c>
      <c r="B37" s="97">
        <v>304</v>
      </c>
      <c r="C37" s="64">
        <v>0.8</v>
      </c>
      <c r="D37" s="62">
        <v>350</v>
      </c>
      <c r="E37" s="91" t="s">
        <v>364</v>
      </c>
      <c r="F37" s="62" t="s">
        <v>121</v>
      </c>
      <c r="G37" s="62">
        <v>304</v>
      </c>
      <c r="H37" s="64">
        <v>0.6</v>
      </c>
      <c r="I37" s="62" t="s">
        <v>24</v>
      </c>
      <c r="J37" s="62" t="s">
        <v>24</v>
      </c>
      <c r="K37" s="62" t="s">
        <v>86</v>
      </c>
      <c r="L37" s="66">
        <v>665</v>
      </c>
      <c r="M37" s="67"/>
      <c r="N37" s="66">
        <f t="shared" si="6"/>
        <v>665</v>
      </c>
      <c r="P37" s="62"/>
      <c r="Q37" s="62"/>
      <c r="R37" s="64"/>
      <c r="S37" s="62"/>
      <c r="T37" s="93"/>
      <c r="U37" s="62"/>
      <c r="V37" s="62"/>
      <c r="W37" s="64"/>
      <c r="X37" s="62"/>
      <c r="Y37" s="62"/>
      <c r="Z37" s="62"/>
      <c r="AA37" s="66"/>
      <c r="AB37" s="67"/>
      <c r="AC37" s="66">
        <f t="shared" si="5"/>
        <v>0</v>
      </c>
      <c r="AD37" s="75"/>
      <c r="AE37" s="62"/>
      <c r="AF37" s="62"/>
      <c r="AG37" s="64"/>
      <c r="AH37" s="67"/>
      <c r="AI37" s="65"/>
      <c r="AJ37" s="78"/>
      <c r="AK37" s="66"/>
      <c r="AL37" s="67"/>
      <c r="AM37" s="66">
        <f t="shared" si="0"/>
        <v>0</v>
      </c>
      <c r="AN37" s="75"/>
    </row>
    <row r="38" spans="1:40" s="76" customFormat="1" ht="100.05" customHeight="1" x14ac:dyDescent="0.3">
      <c r="A38" s="97">
        <v>250060</v>
      </c>
      <c r="B38" s="97">
        <v>304</v>
      </c>
      <c r="C38" s="64" t="s">
        <v>337</v>
      </c>
      <c r="D38" s="62">
        <v>350</v>
      </c>
      <c r="E38" s="91" t="s">
        <v>365</v>
      </c>
      <c r="F38" s="62" t="s">
        <v>121</v>
      </c>
      <c r="G38" s="62">
        <v>304</v>
      </c>
      <c r="H38" s="64">
        <v>0.6</v>
      </c>
      <c r="I38" s="62" t="s">
        <v>24</v>
      </c>
      <c r="J38" s="62" t="s">
        <v>24</v>
      </c>
      <c r="K38" s="62" t="s">
        <v>86</v>
      </c>
      <c r="L38" s="66">
        <v>15</v>
      </c>
      <c r="M38" s="67"/>
      <c r="N38" s="66">
        <f t="shared" si="6"/>
        <v>15</v>
      </c>
      <c r="P38" s="62"/>
      <c r="Q38" s="62"/>
      <c r="R38" s="64"/>
      <c r="S38" s="62"/>
      <c r="T38" s="93"/>
      <c r="U38" s="62"/>
      <c r="V38" s="62"/>
      <c r="W38" s="64"/>
      <c r="X38" s="62"/>
      <c r="Y38" s="62"/>
      <c r="Z38" s="62"/>
      <c r="AA38" s="66"/>
      <c r="AB38" s="67"/>
      <c r="AC38" s="66">
        <f t="shared" si="5"/>
        <v>0</v>
      </c>
      <c r="AD38" s="75"/>
      <c r="AE38" s="62"/>
      <c r="AF38" s="62"/>
      <c r="AG38" s="64"/>
      <c r="AH38" s="67"/>
      <c r="AI38" s="65"/>
      <c r="AJ38" s="78"/>
      <c r="AK38" s="66"/>
      <c r="AL38" s="67"/>
      <c r="AM38" s="66">
        <f t="shared" si="0"/>
        <v>0</v>
      </c>
      <c r="AN38" s="75"/>
    </row>
    <row r="39" spans="1:40" s="76" customFormat="1" ht="100.05" customHeight="1" x14ac:dyDescent="0.3">
      <c r="A39" s="97">
        <v>250058</v>
      </c>
      <c r="B39" s="97">
        <v>304</v>
      </c>
      <c r="C39" s="64">
        <v>0.7</v>
      </c>
      <c r="D39" s="62">
        <v>315</v>
      </c>
      <c r="E39" s="91" t="s">
        <v>368</v>
      </c>
      <c r="F39" s="62" t="s">
        <v>181</v>
      </c>
      <c r="G39" s="62">
        <v>304</v>
      </c>
      <c r="H39" s="64">
        <v>0.6</v>
      </c>
      <c r="I39" s="62" t="s">
        <v>24</v>
      </c>
      <c r="J39" s="62" t="s">
        <v>24</v>
      </c>
      <c r="K39" s="62" t="s">
        <v>86</v>
      </c>
      <c r="L39" s="66">
        <v>785</v>
      </c>
      <c r="M39" s="67"/>
      <c r="N39" s="66">
        <f t="shared" si="6"/>
        <v>785</v>
      </c>
      <c r="P39" s="62"/>
      <c r="Q39" s="62"/>
      <c r="R39" s="64"/>
      <c r="S39" s="62"/>
      <c r="T39" s="93"/>
      <c r="U39" s="62"/>
      <c r="V39" s="62"/>
      <c r="W39" s="64"/>
      <c r="X39" s="62"/>
      <c r="Y39" s="62"/>
      <c r="Z39" s="62"/>
      <c r="AA39" s="66"/>
      <c r="AB39" s="67"/>
      <c r="AC39" s="66">
        <f t="shared" si="5"/>
        <v>0</v>
      </c>
      <c r="AD39" s="75"/>
      <c r="AE39" s="62"/>
      <c r="AF39" s="62"/>
      <c r="AG39" s="64"/>
      <c r="AH39" s="67"/>
      <c r="AI39" s="65"/>
      <c r="AJ39" s="78"/>
      <c r="AK39" s="66"/>
      <c r="AL39" s="67"/>
      <c r="AM39" s="66">
        <f t="shared" si="0"/>
        <v>0</v>
      </c>
      <c r="AN39" s="75"/>
    </row>
    <row r="40" spans="1:40" s="76" customFormat="1" ht="100.05" customHeight="1" x14ac:dyDescent="0.3">
      <c r="A40" s="97">
        <v>250058</v>
      </c>
      <c r="B40" s="97">
        <v>304</v>
      </c>
      <c r="C40" s="64" t="s">
        <v>337</v>
      </c>
      <c r="D40" s="62">
        <v>315</v>
      </c>
      <c r="E40" s="91" t="s">
        <v>369</v>
      </c>
      <c r="F40" s="62" t="s">
        <v>181</v>
      </c>
      <c r="G40" s="62">
        <v>304</v>
      </c>
      <c r="H40" s="64">
        <v>0.6</v>
      </c>
      <c r="I40" s="62" t="s">
        <v>24</v>
      </c>
      <c r="J40" s="62" t="s">
        <v>24</v>
      </c>
      <c r="K40" s="62" t="s">
        <v>86</v>
      </c>
      <c r="L40" s="66">
        <v>15</v>
      </c>
      <c r="M40" s="67"/>
      <c r="N40" s="66">
        <f t="shared" si="6"/>
        <v>15</v>
      </c>
      <c r="P40" s="62"/>
      <c r="Q40" s="62"/>
      <c r="R40" s="64"/>
      <c r="S40" s="62"/>
      <c r="T40" s="93"/>
      <c r="U40" s="62"/>
      <c r="V40" s="62"/>
      <c r="W40" s="64"/>
      <c r="X40" s="62"/>
      <c r="Y40" s="62"/>
      <c r="Z40" s="62"/>
      <c r="AA40" s="66"/>
      <c r="AB40" s="67"/>
      <c r="AC40" s="66">
        <f t="shared" si="5"/>
        <v>0</v>
      </c>
      <c r="AD40" s="75"/>
      <c r="AE40" s="62"/>
      <c r="AF40" s="62"/>
      <c r="AG40" s="64"/>
      <c r="AH40" s="67"/>
      <c r="AI40" s="65"/>
      <c r="AJ40" s="78"/>
      <c r="AK40" s="66"/>
      <c r="AL40" s="67"/>
      <c r="AM40" s="66">
        <f t="shared" si="0"/>
        <v>0</v>
      </c>
      <c r="AN40" s="75"/>
    </row>
    <row r="41" spans="1:40" s="76" customFormat="1" ht="99.6" customHeight="1" x14ac:dyDescent="0.3">
      <c r="A41" s="97">
        <v>250059</v>
      </c>
      <c r="B41" s="97">
        <v>304</v>
      </c>
      <c r="C41" s="64">
        <v>0.7</v>
      </c>
      <c r="D41" s="62">
        <v>315</v>
      </c>
      <c r="E41" s="91" t="s">
        <v>370</v>
      </c>
      <c r="F41" s="62" t="s">
        <v>121</v>
      </c>
      <c r="G41" s="62">
        <v>304</v>
      </c>
      <c r="H41" s="64">
        <v>0.6</v>
      </c>
      <c r="I41" s="62" t="s">
        <v>24</v>
      </c>
      <c r="J41" s="62" t="s">
        <v>24</v>
      </c>
      <c r="K41" s="62" t="s">
        <v>86</v>
      </c>
      <c r="L41" s="66">
        <v>660</v>
      </c>
      <c r="M41" s="67"/>
      <c r="N41" s="66">
        <f t="shared" si="6"/>
        <v>660</v>
      </c>
      <c r="P41" s="62"/>
      <c r="Q41" s="62"/>
      <c r="R41" s="64"/>
      <c r="S41" s="62"/>
      <c r="T41" s="93"/>
      <c r="U41" s="62"/>
      <c r="V41" s="62"/>
      <c r="W41" s="64"/>
      <c r="X41" s="62"/>
      <c r="Y41" s="62"/>
      <c r="Z41" s="62"/>
      <c r="AA41" s="66"/>
      <c r="AB41" s="67"/>
      <c r="AC41" s="66">
        <f t="shared" si="5"/>
        <v>0</v>
      </c>
      <c r="AD41" s="75"/>
      <c r="AE41" s="62"/>
      <c r="AF41" s="62"/>
      <c r="AG41" s="64"/>
      <c r="AH41" s="67"/>
      <c r="AI41" s="65"/>
      <c r="AJ41" s="78"/>
      <c r="AK41" s="66"/>
      <c r="AL41" s="67"/>
      <c r="AM41" s="66">
        <f t="shared" si="0"/>
        <v>0</v>
      </c>
      <c r="AN41" s="75"/>
    </row>
    <row r="42" spans="1:40" s="76" customFormat="1" ht="100.05" customHeight="1" x14ac:dyDescent="0.3">
      <c r="A42" s="97">
        <v>250059</v>
      </c>
      <c r="B42" s="97">
        <v>304</v>
      </c>
      <c r="C42" s="64" t="s">
        <v>337</v>
      </c>
      <c r="D42" s="62">
        <v>315</v>
      </c>
      <c r="E42" s="91" t="s">
        <v>371</v>
      </c>
      <c r="F42" s="62" t="s">
        <v>121</v>
      </c>
      <c r="G42" s="62">
        <v>304</v>
      </c>
      <c r="H42" s="64">
        <v>0.6</v>
      </c>
      <c r="I42" s="62" t="s">
        <v>24</v>
      </c>
      <c r="J42" s="62" t="s">
        <v>24</v>
      </c>
      <c r="K42" s="62" t="s">
        <v>86</v>
      </c>
      <c r="L42" s="66">
        <v>20</v>
      </c>
      <c r="M42" s="67"/>
      <c r="N42" s="66">
        <f t="shared" si="6"/>
        <v>20</v>
      </c>
      <c r="P42" s="62"/>
      <c r="Q42" s="62"/>
      <c r="R42" s="64"/>
      <c r="S42" s="62"/>
      <c r="T42" s="93"/>
      <c r="U42" s="62"/>
      <c r="V42" s="62"/>
      <c r="W42" s="64"/>
      <c r="X42" s="62"/>
      <c r="Y42" s="62"/>
      <c r="Z42" s="62"/>
      <c r="AA42" s="66"/>
      <c r="AB42" s="67"/>
      <c r="AC42" s="66">
        <f t="shared" si="5"/>
        <v>0</v>
      </c>
      <c r="AD42" s="75"/>
      <c r="AE42" s="62"/>
      <c r="AF42" s="62"/>
      <c r="AG42" s="64"/>
      <c r="AH42" s="67"/>
      <c r="AI42" s="65"/>
      <c r="AJ42" s="78"/>
      <c r="AK42" s="66"/>
      <c r="AL42" s="67"/>
      <c r="AM42" s="66">
        <f t="shared" si="0"/>
        <v>0</v>
      </c>
      <c r="AN42" s="75"/>
    </row>
    <row r="43" spans="1:40" s="76" customFormat="1" ht="100.05" customHeight="1" x14ac:dyDescent="0.3">
      <c r="A43" s="97">
        <v>250060</v>
      </c>
      <c r="B43" s="97">
        <v>304</v>
      </c>
      <c r="C43" s="64">
        <v>0.8</v>
      </c>
      <c r="D43" s="62">
        <v>315</v>
      </c>
      <c r="E43" s="91" t="s">
        <v>372</v>
      </c>
      <c r="F43" s="62" t="s">
        <v>121</v>
      </c>
      <c r="G43" s="62">
        <v>304</v>
      </c>
      <c r="H43" s="64">
        <v>0.6</v>
      </c>
      <c r="I43" s="62" t="s">
        <v>24</v>
      </c>
      <c r="J43" s="62" t="s">
        <v>24</v>
      </c>
      <c r="K43" s="62" t="s">
        <v>86</v>
      </c>
      <c r="L43" s="66">
        <v>665</v>
      </c>
      <c r="M43" s="67"/>
      <c r="N43" s="66">
        <f t="shared" si="6"/>
        <v>665</v>
      </c>
      <c r="P43" s="62"/>
      <c r="Q43" s="62"/>
      <c r="R43" s="64"/>
      <c r="S43" s="62"/>
      <c r="T43" s="93"/>
      <c r="U43" s="62"/>
      <c r="V43" s="62"/>
      <c r="W43" s="64"/>
      <c r="X43" s="62"/>
      <c r="Y43" s="62"/>
      <c r="Z43" s="62"/>
      <c r="AA43" s="66"/>
      <c r="AB43" s="67"/>
      <c r="AC43" s="66">
        <f t="shared" si="5"/>
        <v>0</v>
      </c>
      <c r="AD43" s="75"/>
      <c r="AE43" s="62"/>
      <c r="AF43" s="62"/>
      <c r="AG43" s="64"/>
      <c r="AH43" s="67"/>
      <c r="AI43" s="65"/>
      <c r="AJ43" s="78"/>
      <c r="AK43" s="66"/>
      <c r="AL43" s="67"/>
      <c r="AM43" s="66">
        <f t="shared" si="0"/>
        <v>0</v>
      </c>
      <c r="AN43" s="75"/>
    </row>
    <row r="44" spans="1:40" s="76" customFormat="1" ht="100.05" customHeight="1" x14ac:dyDescent="0.3">
      <c r="A44" s="97">
        <v>250060</v>
      </c>
      <c r="B44" s="97">
        <v>304</v>
      </c>
      <c r="C44" s="64" t="s">
        <v>337</v>
      </c>
      <c r="D44" s="62">
        <v>315</v>
      </c>
      <c r="E44" s="91" t="s">
        <v>373</v>
      </c>
      <c r="F44" s="62" t="s">
        <v>121</v>
      </c>
      <c r="G44" s="62">
        <v>304</v>
      </c>
      <c r="H44" s="64">
        <v>0.6</v>
      </c>
      <c r="I44" s="62" t="s">
        <v>24</v>
      </c>
      <c r="J44" s="62" t="s">
        <v>24</v>
      </c>
      <c r="K44" s="62" t="s">
        <v>86</v>
      </c>
      <c r="L44" s="66">
        <v>15</v>
      </c>
      <c r="M44" s="67"/>
      <c r="N44" s="66">
        <f t="shared" si="6"/>
        <v>15</v>
      </c>
      <c r="P44" s="62"/>
      <c r="Q44" s="62"/>
      <c r="R44" s="64"/>
      <c r="S44" s="62"/>
      <c r="T44" s="93"/>
      <c r="U44" s="62"/>
      <c r="V44" s="62"/>
      <c r="W44" s="64"/>
      <c r="X44" s="62"/>
      <c r="Y44" s="62"/>
      <c r="Z44" s="62"/>
      <c r="AA44" s="66"/>
      <c r="AB44" s="67"/>
      <c r="AC44" s="66">
        <f t="shared" si="5"/>
        <v>0</v>
      </c>
      <c r="AD44" s="75"/>
      <c r="AE44" s="62"/>
      <c r="AF44" s="62"/>
      <c r="AG44" s="64"/>
      <c r="AH44" s="67"/>
      <c r="AI44" s="65"/>
      <c r="AJ44" s="78"/>
      <c r="AK44" s="66"/>
      <c r="AL44" s="67"/>
      <c r="AM44" s="66">
        <f t="shared" si="0"/>
        <v>0</v>
      </c>
      <c r="AN44" s="75"/>
    </row>
    <row r="45" spans="1:40" s="76" customFormat="1" ht="100.05" customHeight="1" x14ac:dyDescent="0.3">
      <c r="A45" s="97"/>
      <c r="B45" s="97"/>
      <c r="C45" s="64"/>
      <c r="D45" s="62"/>
      <c r="E45" s="91"/>
      <c r="F45" s="62"/>
      <c r="G45" s="62"/>
      <c r="H45" s="64"/>
      <c r="I45" s="62"/>
      <c r="J45" s="62"/>
      <c r="K45" s="62"/>
      <c r="L45" s="66"/>
      <c r="M45" s="67"/>
      <c r="N45" s="66">
        <f t="shared" si="6"/>
        <v>0</v>
      </c>
      <c r="P45" s="62"/>
      <c r="Q45" s="62"/>
      <c r="R45" s="64"/>
      <c r="S45" s="62"/>
      <c r="T45" s="65"/>
      <c r="U45" s="62"/>
      <c r="V45" s="62"/>
      <c r="W45" s="64"/>
      <c r="X45" s="62"/>
      <c r="Y45" s="62"/>
      <c r="Z45" s="62"/>
      <c r="AA45" s="66"/>
      <c r="AB45" s="67"/>
      <c r="AC45" s="66">
        <f t="shared" si="5"/>
        <v>0</v>
      </c>
      <c r="AD45" s="75"/>
      <c r="AE45" s="62"/>
      <c r="AF45" s="62"/>
      <c r="AG45" s="64"/>
      <c r="AH45" s="67"/>
      <c r="AI45" s="65"/>
      <c r="AJ45" s="78"/>
      <c r="AK45" s="66"/>
      <c r="AL45" s="67"/>
      <c r="AM45" s="66">
        <f t="shared" si="0"/>
        <v>0</v>
      </c>
      <c r="AN45" s="75"/>
    </row>
    <row r="46" spans="1:40" s="76" customFormat="1" ht="100.05" customHeight="1" x14ac:dyDescent="0.3">
      <c r="A46" s="98"/>
      <c r="B46" s="98"/>
      <c r="C46" s="69"/>
      <c r="D46" s="68"/>
      <c r="E46" s="70"/>
      <c r="F46" s="68"/>
      <c r="G46" s="68"/>
      <c r="H46" s="69"/>
      <c r="I46" s="68"/>
      <c r="J46" s="68"/>
      <c r="K46" s="68"/>
      <c r="L46" s="66">
        <f>SUM(L21:L45)</f>
        <v>9220</v>
      </c>
      <c r="M46" s="71">
        <f>SUM(M21:M45)</f>
        <v>200</v>
      </c>
      <c r="N46" s="66">
        <f>SUM(N21:N45)</f>
        <v>9020</v>
      </c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66">
        <f>SUM(AA21:AA45)</f>
        <v>680</v>
      </c>
      <c r="AB46" s="71">
        <f>SUM(AB21:AB45)</f>
        <v>200</v>
      </c>
      <c r="AC46" s="66">
        <f>SUM(AC21:AC45)</f>
        <v>480</v>
      </c>
      <c r="AD46" s="75"/>
      <c r="AE46" s="68"/>
      <c r="AF46" s="68"/>
      <c r="AG46" s="69"/>
      <c r="AH46" s="68"/>
      <c r="AI46" s="70"/>
      <c r="AJ46" s="80"/>
      <c r="AK46" s="66">
        <f>SUM(AK4:AK45)</f>
        <v>13240</v>
      </c>
      <c r="AL46" s="71">
        <f>SUM(AL4:AL45)</f>
        <v>0</v>
      </c>
      <c r="AM46" s="66">
        <f>SUM(AM4:AM45)</f>
        <v>13240</v>
      </c>
      <c r="AN46" s="75"/>
    </row>
    <row r="47" spans="1:40" s="75" customFormat="1" ht="100.05" customHeight="1" x14ac:dyDescent="0.3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E47" s="79"/>
      <c r="AF47" s="79"/>
      <c r="AG47" s="79"/>
      <c r="AH47" s="79"/>
      <c r="AI47" s="79"/>
      <c r="AJ47" s="79"/>
      <c r="AK47" s="79"/>
      <c r="AL47" s="79"/>
      <c r="AM47" s="79"/>
    </row>
    <row r="48" spans="1:40" s="75" customFormat="1" ht="100.05" customHeight="1" x14ac:dyDescent="0.3">
      <c r="A48" s="79"/>
      <c r="B48" s="79"/>
      <c r="C48" s="79"/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E48" s="79"/>
      <c r="AF48" s="79"/>
      <c r="AG48" s="79"/>
      <c r="AH48" s="79"/>
      <c r="AI48" s="79"/>
      <c r="AJ48" s="79"/>
      <c r="AK48" s="79"/>
      <c r="AL48" s="79"/>
      <c r="AM48" s="79"/>
    </row>
    <row r="49" spans="1:40" s="75" customFormat="1" ht="100.05" customHeight="1" x14ac:dyDescent="0.3">
      <c r="A49" s="79"/>
      <c r="B49" s="79"/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40" s="76" customFormat="1" ht="100.05" customHeight="1" x14ac:dyDescent="0.3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5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5"/>
      <c r="AE50" s="79"/>
      <c r="AF50" s="79"/>
      <c r="AG50" s="79"/>
      <c r="AH50" s="79"/>
      <c r="AI50" s="79"/>
      <c r="AJ50" s="79"/>
      <c r="AK50" s="79"/>
      <c r="AL50" s="79"/>
      <c r="AM50" s="79"/>
      <c r="AN50" s="75"/>
    </row>
    <row r="51" spans="1:40" s="76" customFormat="1" ht="100.05" customHeight="1" x14ac:dyDescent="0.3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5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5"/>
      <c r="AE51" s="79"/>
      <c r="AF51" s="79"/>
      <c r="AG51" s="79"/>
      <c r="AH51" s="79"/>
      <c r="AI51" s="79"/>
      <c r="AJ51" s="79"/>
      <c r="AK51" s="79"/>
      <c r="AL51" s="79"/>
      <c r="AM51" s="79"/>
      <c r="AN51" s="75"/>
    </row>
    <row r="52" spans="1:40" s="76" customFormat="1" ht="100.05" customHeight="1" x14ac:dyDescent="0.3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  <c r="N52" s="79"/>
      <c r="O52" s="75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5"/>
      <c r="AE52" s="79"/>
      <c r="AF52" s="79"/>
      <c r="AG52" s="79"/>
      <c r="AH52" s="79"/>
      <c r="AI52" s="79"/>
      <c r="AJ52" s="79"/>
      <c r="AK52" s="79"/>
      <c r="AL52" s="79"/>
      <c r="AM52" s="79"/>
      <c r="AN52" s="75"/>
    </row>
    <row r="53" spans="1:40" s="76" customFormat="1" ht="100.05" customHeight="1" x14ac:dyDescent="0.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5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5"/>
      <c r="AE53" s="79"/>
      <c r="AF53" s="79"/>
      <c r="AG53" s="79"/>
      <c r="AH53" s="79"/>
      <c r="AI53" s="79"/>
      <c r="AJ53" s="79"/>
      <c r="AK53" s="79"/>
      <c r="AL53" s="79"/>
      <c r="AM53" s="79"/>
      <c r="AN53" s="75"/>
    </row>
    <row r="54" spans="1:40" s="76" customFormat="1" ht="100.05" customHeight="1" x14ac:dyDescent="0.3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5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5"/>
      <c r="AE54" s="79"/>
      <c r="AF54" s="79"/>
      <c r="AG54" s="79"/>
      <c r="AH54" s="79"/>
      <c r="AI54" s="79"/>
      <c r="AJ54" s="79"/>
      <c r="AK54" s="79"/>
      <c r="AL54" s="79"/>
      <c r="AM54" s="79"/>
      <c r="AN54" s="75"/>
    </row>
    <row r="55" spans="1:40" s="76" customFormat="1" ht="100.05" customHeight="1" x14ac:dyDescent="0.3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5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5"/>
      <c r="AE55" s="79"/>
      <c r="AF55" s="79"/>
      <c r="AG55" s="79"/>
      <c r="AH55" s="79"/>
      <c r="AI55" s="79"/>
      <c r="AJ55" s="79"/>
      <c r="AK55" s="79"/>
      <c r="AL55" s="79"/>
      <c r="AM55" s="79"/>
      <c r="AN55" s="75"/>
    </row>
    <row r="56" spans="1:40" s="76" customFormat="1" ht="100.05" customHeight="1" x14ac:dyDescent="0.3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5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5"/>
      <c r="AE56" s="79"/>
      <c r="AF56" s="79"/>
      <c r="AG56" s="79"/>
      <c r="AH56" s="79"/>
      <c r="AI56" s="79"/>
      <c r="AJ56" s="79"/>
      <c r="AK56" s="79"/>
      <c r="AL56" s="79"/>
      <c r="AM56" s="79"/>
      <c r="AN56" s="75"/>
    </row>
    <row r="57" spans="1:40" s="76" customFormat="1" ht="100.05" customHeight="1" x14ac:dyDescent="0.3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5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5"/>
      <c r="AE57" s="79"/>
      <c r="AF57" s="79"/>
      <c r="AG57" s="79"/>
      <c r="AH57" s="79"/>
      <c r="AI57" s="79"/>
      <c r="AJ57" s="79"/>
      <c r="AK57" s="79"/>
      <c r="AL57" s="79"/>
      <c r="AM57" s="79"/>
      <c r="AN57" s="75"/>
    </row>
    <row r="58" spans="1:40" s="76" customFormat="1" ht="100.05" customHeight="1" x14ac:dyDescent="0.3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5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5"/>
      <c r="AE58" s="79"/>
      <c r="AF58" s="79"/>
      <c r="AG58" s="79"/>
      <c r="AH58" s="79"/>
      <c r="AI58" s="79"/>
      <c r="AJ58" s="79"/>
      <c r="AK58" s="79"/>
      <c r="AL58" s="79"/>
      <c r="AM58" s="79"/>
      <c r="AN58" s="75"/>
    </row>
    <row r="59" spans="1:40" s="76" customFormat="1" ht="100.05" customHeight="1" x14ac:dyDescent="0.3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5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5"/>
      <c r="AE59" s="79"/>
      <c r="AF59" s="79"/>
      <c r="AG59" s="79"/>
      <c r="AH59" s="79"/>
      <c r="AI59" s="79"/>
      <c r="AJ59" s="79"/>
      <c r="AK59" s="79"/>
      <c r="AL59" s="79"/>
      <c r="AM59" s="79"/>
      <c r="AN59" s="75"/>
    </row>
    <row r="60" spans="1:40" s="75" customFormat="1" ht="100.05" customHeight="1" x14ac:dyDescent="0.3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E60" s="79"/>
      <c r="AF60" s="79"/>
      <c r="AG60" s="79"/>
      <c r="AH60" s="79"/>
      <c r="AI60" s="79"/>
      <c r="AJ60" s="79"/>
      <c r="AK60" s="79"/>
      <c r="AL60" s="79"/>
      <c r="AM60" s="79"/>
    </row>
    <row r="61" spans="1:40" s="75" customFormat="1" ht="100.05" customHeight="1" x14ac:dyDescent="0.3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E61" s="79"/>
      <c r="AF61" s="79"/>
      <c r="AG61" s="79"/>
      <c r="AH61" s="79"/>
      <c r="AI61" s="79"/>
      <c r="AJ61" s="79"/>
      <c r="AK61" s="79"/>
      <c r="AL61" s="79"/>
      <c r="AM61" s="79"/>
    </row>
    <row r="62" spans="1:40" s="75" customFormat="1" ht="100.05" customHeight="1" x14ac:dyDescent="0.3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E62" s="79"/>
      <c r="AF62" s="79"/>
      <c r="AG62" s="79"/>
      <c r="AH62" s="79"/>
      <c r="AI62" s="79"/>
      <c r="AJ62" s="79"/>
      <c r="AK62" s="79"/>
      <c r="AL62" s="79"/>
      <c r="AM62" s="79"/>
    </row>
    <row r="63" spans="1:40" s="76" customFormat="1" ht="100.05" customHeight="1" x14ac:dyDescent="0.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5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5"/>
      <c r="AE63" s="79"/>
      <c r="AF63" s="79"/>
      <c r="AG63" s="79"/>
      <c r="AH63" s="79"/>
      <c r="AI63" s="79"/>
      <c r="AJ63" s="79"/>
      <c r="AK63" s="79"/>
      <c r="AL63" s="79"/>
      <c r="AM63" s="79"/>
      <c r="AN63" s="75"/>
    </row>
    <row r="64" spans="1:40" s="76" customFormat="1" ht="100.05" customHeight="1" x14ac:dyDescent="0.3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5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5"/>
      <c r="AE64" s="79"/>
      <c r="AF64" s="79"/>
      <c r="AG64" s="79"/>
      <c r="AH64" s="79"/>
      <c r="AI64" s="79"/>
      <c r="AJ64" s="79"/>
      <c r="AK64" s="79"/>
      <c r="AL64" s="79"/>
      <c r="AM64" s="79"/>
      <c r="AN64" s="75"/>
    </row>
    <row r="65" spans="1:40" s="56" customFormat="1" ht="100.0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3"/>
      <c r="AE65" s="2"/>
      <c r="AF65" s="2"/>
      <c r="AG65" s="2"/>
      <c r="AH65" s="2"/>
      <c r="AI65" s="2"/>
      <c r="AJ65" s="2"/>
      <c r="AK65" s="2"/>
      <c r="AL65" s="2"/>
      <c r="AM65" s="2"/>
      <c r="AN65" s="3"/>
    </row>
    <row r="66" spans="1:40" s="56" customFormat="1" ht="100.0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3"/>
      <c r="AE66" s="2"/>
      <c r="AF66" s="2"/>
      <c r="AG66" s="2"/>
      <c r="AH66" s="2"/>
      <c r="AI66" s="2"/>
      <c r="AJ66" s="2"/>
      <c r="AK66" s="2"/>
      <c r="AL66" s="2"/>
      <c r="AM66" s="2"/>
      <c r="AN66" s="3"/>
    </row>
    <row r="67" spans="1:40" s="56" customFormat="1" ht="100.0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3"/>
      <c r="AE67" s="2"/>
      <c r="AF67" s="2"/>
      <c r="AG67" s="2"/>
      <c r="AH67" s="2"/>
      <c r="AI67" s="2"/>
      <c r="AJ67" s="2"/>
      <c r="AK67" s="2"/>
      <c r="AL67" s="2"/>
      <c r="AM67" s="2"/>
      <c r="AN67" s="3"/>
    </row>
    <row r="68" spans="1:40" s="56" customFormat="1" ht="100.0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3"/>
      <c r="AE68" s="2"/>
      <c r="AF68" s="2"/>
      <c r="AG68" s="2"/>
      <c r="AH68" s="2"/>
      <c r="AI68" s="2"/>
      <c r="AJ68" s="2"/>
      <c r="AK68" s="2"/>
      <c r="AL68" s="2"/>
      <c r="AM68" s="2"/>
      <c r="AN68" s="3"/>
    </row>
    <row r="69" spans="1:40" s="56" customFormat="1" ht="100.0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3"/>
      <c r="AE69" s="2"/>
      <c r="AF69" s="2"/>
      <c r="AG69" s="2"/>
      <c r="AH69" s="2"/>
      <c r="AI69" s="2"/>
      <c r="AJ69" s="2"/>
      <c r="AK69" s="2"/>
      <c r="AL69" s="2"/>
      <c r="AM69" s="2"/>
      <c r="AN69" s="3"/>
    </row>
    <row r="70" spans="1:40" s="56" customFormat="1" ht="100.0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3"/>
      <c r="AE70" s="2"/>
      <c r="AF70" s="2"/>
      <c r="AG70" s="2"/>
      <c r="AH70" s="2"/>
      <c r="AI70" s="2"/>
      <c r="AJ70" s="2"/>
      <c r="AK70" s="2"/>
      <c r="AL70" s="2"/>
      <c r="AM70" s="2"/>
      <c r="AN70" s="3"/>
    </row>
    <row r="71" spans="1:40" s="56" customFormat="1" ht="100.0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3"/>
      <c r="AE71" s="2"/>
      <c r="AF71" s="2"/>
      <c r="AG71" s="2"/>
      <c r="AH71" s="2"/>
      <c r="AI71" s="2"/>
      <c r="AJ71" s="2"/>
      <c r="AK71" s="2"/>
      <c r="AL71" s="2"/>
      <c r="AM71" s="2"/>
      <c r="AN71" s="3"/>
    </row>
    <row r="72" spans="1:40" s="56" customFormat="1" ht="100.0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3"/>
      <c r="AE72" s="2"/>
      <c r="AF72" s="2"/>
      <c r="AG72" s="2"/>
      <c r="AH72" s="2"/>
      <c r="AI72" s="2"/>
      <c r="AJ72" s="2"/>
      <c r="AK72" s="2"/>
      <c r="AL72" s="2"/>
      <c r="AM72" s="2"/>
      <c r="AN72" s="3"/>
    </row>
  </sheetData>
  <mergeCells count="12">
    <mergeCell ref="A2:N2"/>
    <mergeCell ref="P2:AC2"/>
    <mergeCell ref="AE2:AM2"/>
    <mergeCell ref="T4:T6"/>
    <mergeCell ref="A19:N19"/>
    <mergeCell ref="P19:AC19"/>
    <mergeCell ref="A1:C1"/>
    <mergeCell ref="K1:N1"/>
    <mergeCell ref="P1:R1"/>
    <mergeCell ref="Z1:AC1"/>
    <mergeCell ref="AE1:AG1"/>
    <mergeCell ref="AK1:AM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14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45</vt:i4>
      </vt:variant>
    </vt:vector>
  </HeadingPairs>
  <TitlesOfParts>
    <vt:vector size="99" baseType="lpstr">
      <vt:lpstr>PRESHANE ANA TASLAK</vt:lpstr>
      <vt:lpstr>01.09.2025</vt:lpstr>
      <vt:lpstr>02.09.2025</vt:lpstr>
      <vt:lpstr>03.09.2025 </vt:lpstr>
      <vt:lpstr>04.09.2025</vt:lpstr>
      <vt:lpstr>05.09.2025</vt:lpstr>
      <vt:lpstr>12.09.2025</vt:lpstr>
      <vt:lpstr>13.09.2025</vt:lpstr>
      <vt:lpstr>14.09.2025</vt:lpstr>
      <vt:lpstr>15.09.2025</vt:lpstr>
      <vt:lpstr>16.09.2025</vt:lpstr>
      <vt:lpstr>17.09.2025</vt:lpstr>
      <vt:lpstr>18.09.2025</vt:lpstr>
      <vt:lpstr>19.09.2025</vt:lpstr>
      <vt:lpstr>22.09.2025</vt:lpstr>
      <vt:lpstr>20.09.2025</vt:lpstr>
      <vt:lpstr>24.09.2025</vt:lpstr>
      <vt:lpstr>23.09.2025</vt:lpstr>
      <vt:lpstr>25.09.2025</vt:lpstr>
      <vt:lpstr>26.09.2025</vt:lpstr>
      <vt:lpstr>27.09.2025</vt:lpstr>
      <vt:lpstr>29.09.2025</vt:lpstr>
      <vt:lpstr>30.09.2025</vt:lpstr>
      <vt:lpstr>01.10.2025</vt:lpstr>
      <vt:lpstr>02.10.2025</vt:lpstr>
      <vt:lpstr>03.10.2025</vt:lpstr>
      <vt:lpstr>04.10.2025</vt:lpstr>
      <vt:lpstr>06.10.2025</vt:lpstr>
      <vt:lpstr>07.10.2025</vt:lpstr>
      <vt:lpstr>08.10.2025</vt:lpstr>
      <vt:lpstr>09.10.2025</vt:lpstr>
      <vt:lpstr>10.10.2025</vt:lpstr>
      <vt:lpstr>11.10.2025</vt:lpstr>
      <vt:lpstr>13.10.2025</vt:lpstr>
      <vt:lpstr>14.10.2025</vt:lpstr>
      <vt:lpstr>15.10.2025</vt:lpstr>
      <vt:lpstr>16.10.2025</vt:lpstr>
      <vt:lpstr>17.10.2025</vt:lpstr>
      <vt:lpstr>18.10.2025</vt:lpstr>
      <vt:lpstr>20.10.2025</vt:lpstr>
      <vt:lpstr>21.10.2025</vt:lpstr>
      <vt:lpstr>22.10.2025</vt:lpstr>
      <vt:lpstr>23.10.2025</vt:lpstr>
      <vt:lpstr>24.10.2025</vt:lpstr>
      <vt:lpstr>25.10.2025</vt:lpstr>
      <vt:lpstr>27.10.2025</vt:lpstr>
      <vt:lpstr>28.10.2025</vt:lpstr>
      <vt:lpstr>30.10.2025</vt:lpstr>
      <vt:lpstr>31.10.2025</vt:lpstr>
      <vt:lpstr>01.11.2025</vt:lpstr>
      <vt:lpstr>03.11.2025</vt:lpstr>
      <vt:lpstr>04.11.2025</vt:lpstr>
      <vt:lpstr>05.10.2025</vt:lpstr>
      <vt:lpstr>06.11.2025</vt:lpstr>
      <vt:lpstr>'01.10.2025'!Print_Area</vt:lpstr>
      <vt:lpstr>'01.11.2025'!Print_Area</vt:lpstr>
      <vt:lpstr>'02.10.2025'!Print_Area</vt:lpstr>
      <vt:lpstr>'03.10.2025'!Print_Area</vt:lpstr>
      <vt:lpstr>'03.11.2025'!Print_Area</vt:lpstr>
      <vt:lpstr>'04.10.2025'!Print_Area</vt:lpstr>
      <vt:lpstr>'04.11.2025'!Print_Area</vt:lpstr>
      <vt:lpstr>'05.10.2025'!Print_Area</vt:lpstr>
      <vt:lpstr>'06.10.2025'!Print_Area</vt:lpstr>
      <vt:lpstr>'06.11.2025'!Print_Area</vt:lpstr>
      <vt:lpstr>'07.10.2025'!Print_Area</vt:lpstr>
      <vt:lpstr>'08.10.2025'!Print_Area</vt:lpstr>
      <vt:lpstr>'09.10.2025'!Print_Area</vt:lpstr>
      <vt:lpstr>'10.10.2025'!Print_Area</vt:lpstr>
      <vt:lpstr>'11.10.2025'!Print_Area</vt:lpstr>
      <vt:lpstr>'12.09.2025'!Print_Area</vt:lpstr>
      <vt:lpstr>'13.09.2025'!Print_Area</vt:lpstr>
      <vt:lpstr>'13.10.2025'!Print_Area</vt:lpstr>
      <vt:lpstr>'14.10.2025'!Print_Area</vt:lpstr>
      <vt:lpstr>'15.10.2025'!Print_Area</vt:lpstr>
      <vt:lpstr>'16.10.2025'!Print_Area</vt:lpstr>
      <vt:lpstr>'17.09.2025'!Print_Area</vt:lpstr>
      <vt:lpstr>'17.10.2025'!Print_Area</vt:lpstr>
      <vt:lpstr>'18.09.2025'!Print_Area</vt:lpstr>
      <vt:lpstr>'18.10.2025'!Print_Area</vt:lpstr>
      <vt:lpstr>'19.09.2025'!Print_Area</vt:lpstr>
      <vt:lpstr>'20.09.2025'!Print_Area</vt:lpstr>
      <vt:lpstr>'20.10.2025'!Print_Area</vt:lpstr>
      <vt:lpstr>'21.10.2025'!Print_Area</vt:lpstr>
      <vt:lpstr>'22.09.2025'!Print_Area</vt:lpstr>
      <vt:lpstr>'22.10.2025'!Print_Area</vt:lpstr>
      <vt:lpstr>'23.09.2025'!Print_Area</vt:lpstr>
      <vt:lpstr>'23.10.2025'!Print_Area</vt:lpstr>
      <vt:lpstr>'24.09.2025'!Print_Area</vt:lpstr>
      <vt:lpstr>'24.10.2025'!Print_Area</vt:lpstr>
      <vt:lpstr>'25.09.2025'!Print_Area</vt:lpstr>
      <vt:lpstr>'25.10.2025'!Print_Area</vt:lpstr>
      <vt:lpstr>'26.09.2025'!Print_Area</vt:lpstr>
      <vt:lpstr>'27.09.2025'!Print_Area</vt:lpstr>
      <vt:lpstr>'27.10.2025'!Print_Area</vt:lpstr>
      <vt:lpstr>'28.10.2025'!Print_Area</vt:lpstr>
      <vt:lpstr>'29.09.2025'!Print_Area</vt:lpstr>
      <vt:lpstr>'30.09.2025'!Print_Area</vt:lpstr>
      <vt:lpstr>'30.10.2025'!Print_Area</vt:lpstr>
      <vt:lpstr>'31.10.2025'!Print_Area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2025-11-06T05:23:16Z</dcterms:modified>
</cp:coreProperties>
</file>