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072" firstSheet="28" activeTab="35"/>
  </bookViews>
  <sheets>
    <sheet name="POLİSAJ ANA TASLAK" sheetId="2" r:id="rId1"/>
    <sheet name="26.09.2025" sheetId="3" r:id="rId2"/>
    <sheet name="27.09.2025" sheetId="4" r:id="rId3"/>
    <sheet name="29.09.2025" sheetId="5" r:id="rId4"/>
    <sheet name="30.09.2025" sheetId="6" r:id="rId5"/>
    <sheet name="01.10.2025" sheetId="7" r:id="rId6"/>
    <sheet name="02.10.2025" sheetId="8" r:id="rId7"/>
    <sheet name="03.10.2025" sheetId="9" r:id="rId8"/>
    <sheet name="04.10.2025" sheetId="10" r:id="rId9"/>
    <sheet name="06.10.2025" sheetId="11" r:id="rId10"/>
    <sheet name="07.10.2025" sheetId="12" r:id="rId11"/>
    <sheet name="08.10.2025" sheetId="13" r:id="rId12"/>
    <sheet name="09.10.2025" sheetId="14" r:id="rId13"/>
    <sheet name="10.10.2025" sheetId="15" r:id="rId14"/>
    <sheet name="11.10.2025" sheetId="16" r:id="rId15"/>
    <sheet name="13.10.2025" sheetId="17" r:id="rId16"/>
    <sheet name="14.10.2025" sheetId="18" r:id="rId17"/>
    <sheet name="15.10.2025" sheetId="19" r:id="rId18"/>
    <sheet name="16.10.2025" sheetId="20" r:id="rId19"/>
    <sheet name="17.10.2025" sheetId="21" r:id="rId20"/>
    <sheet name="18.10.2025" sheetId="22" r:id="rId21"/>
    <sheet name="20.10.2025" sheetId="24" r:id="rId22"/>
    <sheet name="21.10.2025" sheetId="25" r:id="rId23"/>
    <sheet name="22.10.2025" sheetId="26" r:id="rId24"/>
    <sheet name="23.10.2025" sheetId="27" r:id="rId25"/>
    <sheet name="24.10.2025" sheetId="28" r:id="rId26"/>
    <sheet name="25.10.2025" sheetId="29" r:id="rId27"/>
    <sheet name="27.10.2025" sheetId="30" r:id="rId28"/>
    <sheet name="28.10.2025" sheetId="31" r:id="rId29"/>
    <sheet name="30.10.2025" sheetId="32" r:id="rId30"/>
    <sheet name="31.10.2025" sheetId="33" r:id="rId31"/>
    <sheet name="01.11.2025" sheetId="34" r:id="rId32"/>
    <sheet name="03.11.2025" sheetId="35" r:id="rId33"/>
    <sheet name="04.11.2025" sheetId="36" r:id="rId34"/>
    <sheet name="05.10.2025" sheetId="37" r:id="rId35"/>
    <sheet name="06.11.2025" sheetId="38" r:id="rId36"/>
  </sheets>
  <definedNames>
    <definedName name="_xlnm.Print_Area" localSheetId="5">'01.10.2025'!$A$1:$J$54</definedName>
    <definedName name="_xlnm.Print_Area" localSheetId="6">'02.10.2025'!$A$1:$J$56</definedName>
    <definedName name="_xlnm.Print_Area" localSheetId="7">'03.10.2025'!$A$1:$J$56</definedName>
    <definedName name="_xlnm.Print_Area" localSheetId="8">'04.10.2025'!$A$1:$J$56</definedName>
    <definedName name="_xlnm.Print_Area" localSheetId="9">'06.10.2025'!$A$1:$J$56</definedName>
    <definedName name="_xlnm.Print_Area" localSheetId="35">'06.11.2025'!$A$38:$J$50</definedName>
    <definedName name="_xlnm.Print_Area" localSheetId="10">'07.10.2025'!$A$1:$J$59</definedName>
    <definedName name="_xlnm.Print_Area" localSheetId="11">'08.10.2025'!$A$1:$J$61</definedName>
    <definedName name="_xlnm.Print_Area" localSheetId="12">'09.10.2025'!$A$1:$J$63</definedName>
    <definedName name="_xlnm.Print_Area" localSheetId="13">'10.10.2025'!$A$1:$J$56</definedName>
    <definedName name="_xlnm.Print_Area" localSheetId="14">'11.10.2025'!$A$1:$J$56</definedName>
    <definedName name="_xlnm.Print_Area" localSheetId="15">'13.10.2025'!$A$1:$J$57</definedName>
    <definedName name="_xlnm.Print_Area" localSheetId="16">'14.10.2025'!$A$1:$J$58</definedName>
    <definedName name="_xlnm.Print_Area" localSheetId="17">'15.10.2025'!$A$1:$J$58</definedName>
    <definedName name="_xlnm.Print_Area" localSheetId="18">'16.10.2025'!$A$1:$J$63</definedName>
    <definedName name="_xlnm.Print_Area" localSheetId="19">'17.10.2025'!$A$1:$J$59</definedName>
    <definedName name="_xlnm.Print_Area" localSheetId="20">'18.10.2025'!$A$1:$J$54</definedName>
    <definedName name="_xlnm.Print_Area" localSheetId="21">'20.10.2025'!$A$33:$J$41</definedName>
    <definedName name="_xlnm.Print_Area" localSheetId="22">'21.10.2025'!$A$29:$J$37</definedName>
    <definedName name="_xlnm.Print_Area" localSheetId="23">'22.10.2025'!$A$28:$J$35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2" i="38" l="1"/>
  <c r="J33" i="38"/>
  <c r="J34" i="38"/>
  <c r="J46" i="38"/>
  <c r="J47" i="38"/>
  <c r="J48" i="38"/>
  <c r="I26" i="38" l="1"/>
  <c r="J26" i="38" s="1"/>
  <c r="I60" i="38"/>
  <c r="H60" i="38"/>
  <c r="J59" i="38"/>
  <c r="J58" i="38"/>
  <c r="J57" i="38"/>
  <c r="J56" i="38"/>
  <c r="J55" i="38"/>
  <c r="J54" i="38"/>
  <c r="J60" i="38" s="1"/>
  <c r="I50" i="38"/>
  <c r="H50" i="38"/>
  <c r="J49" i="38"/>
  <c r="J45" i="38"/>
  <c r="J44" i="38"/>
  <c r="J43" i="38"/>
  <c r="J42" i="38"/>
  <c r="J41" i="38"/>
  <c r="J40" i="38"/>
  <c r="J50" i="38" s="1"/>
  <c r="H36" i="38"/>
  <c r="J35" i="38"/>
  <c r="J31" i="38"/>
  <c r="J30" i="38"/>
  <c r="J29" i="38"/>
  <c r="J28" i="38"/>
  <c r="J27" i="38"/>
  <c r="I22" i="38"/>
  <c r="H22" i="38"/>
  <c r="J21" i="38"/>
  <c r="J20" i="38"/>
  <c r="J19" i="38"/>
  <c r="J18" i="38"/>
  <c r="J17" i="38"/>
  <c r="J16" i="38"/>
  <c r="J15" i="38"/>
  <c r="I11" i="38"/>
  <c r="H11" i="38"/>
  <c r="J10" i="38"/>
  <c r="J9" i="38"/>
  <c r="J8" i="38"/>
  <c r="J7" i="38"/>
  <c r="J6" i="38"/>
  <c r="J5" i="38"/>
  <c r="I38" i="37"/>
  <c r="I27" i="37"/>
  <c r="I15" i="37"/>
  <c r="I5" i="37"/>
  <c r="J11" i="38" l="1"/>
  <c r="J36" i="38"/>
  <c r="I36" i="38"/>
  <c r="J22" i="38"/>
  <c r="I56" i="37"/>
  <c r="H56" i="37"/>
  <c r="J55" i="37"/>
  <c r="J54" i="37"/>
  <c r="J53" i="37"/>
  <c r="J52" i="37"/>
  <c r="J51" i="37"/>
  <c r="J50" i="37"/>
  <c r="J56" i="37" s="1"/>
  <c r="I46" i="37"/>
  <c r="H46" i="37"/>
  <c r="J45" i="37"/>
  <c r="J44" i="37"/>
  <c r="J43" i="37"/>
  <c r="J42" i="37"/>
  <c r="J41" i="37"/>
  <c r="J40" i="37"/>
  <c r="J39" i="37"/>
  <c r="J38" i="37"/>
  <c r="I34" i="37"/>
  <c r="H34" i="37"/>
  <c r="J33" i="37"/>
  <c r="J32" i="37"/>
  <c r="J31" i="37"/>
  <c r="J30" i="37"/>
  <c r="J29" i="37"/>
  <c r="J28" i="37"/>
  <c r="J27" i="37"/>
  <c r="I26" i="37"/>
  <c r="J26" i="37" s="1"/>
  <c r="I22" i="37"/>
  <c r="H22" i="37"/>
  <c r="J21" i="37"/>
  <c r="J20" i="37"/>
  <c r="J19" i="37"/>
  <c r="J18" i="37"/>
  <c r="J17" i="37"/>
  <c r="J16" i="37"/>
  <c r="J15" i="37"/>
  <c r="I11" i="37"/>
  <c r="H11" i="37"/>
  <c r="J10" i="37"/>
  <c r="J9" i="37"/>
  <c r="J8" i="37"/>
  <c r="J7" i="37"/>
  <c r="J6" i="37"/>
  <c r="J5" i="37"/>
  <c r="J11" i="37" s="1"/>
  <c r="I39" i="36"/>
  <c r="I27" i="36"/>
  <c r="I16" i="36"/>
  <c r="I5" i="36"/>
  <c r="J34" i="37" l="1"/>
  <c r="J46" i="37"/>
  <c r="J22" i="37"/>
  <c r="I57" i="36"/>
  <c r="H57" i="36"/>
  <c r="J56" i="36"/>
  <c r="J55" i="36"/>
  <c r="J54" i="36"/>
  <c r="J53" i="36"/>
  <c r="J52" i="36"/>
  <c r="J51" i="36"/>
  <c r="J57" i="36" s="1"/>
  <c r="I47" i="36"/>
  <c r="H47" i="36"/>
  <c r="J46" i="36"/>
  <c r="J45" i="36"/>
  <c r="J44" i="36"/>
  <c r="J43" i="36"/>
  <c r="J42" i="36"/>
  <c r="J41" i="36"/>
  <c r="J40" i="36"/>
  <c r="J39" i="36"/>
  <c r="J47" i="36" s="1"/>
  <c r="I35" i="36"/>
  <c r="H35" i="36"/>
  <c r="J34" i="36"/>
  <c r="J33" i="36"/>
  <c r="J32" i="36"/>
  <c r="J31" i="36"/>
  <c r="J30" i="36"/>
  <c r="J29" i="36"/>
  <c r="J28" i="36"/>
  <c r="J27" i="36"/>
  <c r="I23" i="36"/>
  <c r="H23" i="36"/>
  <c r="J22" i="36"/>
  <c r="J21" i="36"/>
  <c r="J20" i="36"/>
  <c r="J19" i="36"/>
  <c r="J18" i="36"/>
  <c r="J17" i="36"/>
  <c r="J16" i="36"/>
  <c r="J23" i="36" s="1"/>
  <c r="I12" i="36"/>
  <c r="H12" i="36"/>
  <c r="J11" i="36"/>
  <c r="J10" i="36"/>
  <c r="J9" i="36"/>
  <c r="J8" i="36"/>
  <c r="J7" i="36"/>
  <c r="J6" i="36"/>
  <c r="J5" i="36"/>
  <c r="J12" i="36" s="1"/>
  <c r="I39" i="35"/>
  <c r="I27" i="35"/>
  <c r="I16" i="35"/>
  <c r="I5" i="35"/>
  <c r="J35" i="36" l="1"/>
  <c r="J43" i="35"/>
  <c r="J44" i="35"/>
  <c r="J45" i="35"/>
  <c r="J31" i="35"/>
  <c r="J32" i="35"/>
  <c r="J33" i="35"/>
  <c r="J34" i="35"/>
  <c r="J19" i="35"/>
  <c r="J20" i="35"/>
  <c r="J21" i="35"/>
  <c r="J8" i="35"/>
  <c r="J9" i="35"/>
  <c r="J10" i="35"/>
  <c r="I57" i="35" l="1"/>
  <c r="H57" i="35"/>
  <c r="J56" i="35"/>
  <c r="J55" i="35"/>
  <c r="J54" i="35"/>
  <c r="J53" i="35"/>
  <c r="J52" i="35"/>
  <c r="J51" i="35"/>
  <c r="J47" i="35"/>
  <c r="I47" i="35"/>
  <c r="H47" i="35"/>
  <c r="J46" i="35"/>
  <c r="J42" i="35"/>
  <c r="J41" i="35"/>
  <c r="J40" i="35"/>
  <c r="J39" i="35"/>
  <c r="H35" i="35"/>
  <c r="J30" i="35"/>
  <c r="J29" i="35"/>
  <c r="J28" i="35"/>
  <c r="J27" i="35"/>
  <c r="H23" i="35"/>
  <c r="J22" i="35"/>
  <c r="J18" i="35"/>
  <c r="J17" i="35"/>
  <c r="J16" i="35"/>
  <c r="H12" i="35"/>
  <c r="J11" i="35"/>
  <c r="J7" i="35"/>
  <c r="J6" i="35"/>
  <c r="I12" i="35"/>
  <c r="I35" i="35" l="1"/>
  <c r="J57" i="35"/>
  <c r="J35" i="35"/>
  <c r="J23" i="35"/>
  <c r="J5" i="35"/>
  <c r="J12" i="35" s="1"/>
  <c r="I23" i="35"/>
  <c r="I47" i="34"/>
  <c r="H47" i="34"/>
  <c r="J46" i="34"/>
  <c r="J45" i="34"/>
  <c r="J44" i="34"/>
  <c r="J43" i="34"/>
  <c r="J42" i="34"/>
  <c r="J41" i="34"/>
  <c r="J47" i="34" s="1"/>
  <c r="J37" i="34"/>
  <c r="I37" i="34"/>
  <c r="H37" i="34"/>
  <c r="J36" i="34"/>
  <c r="J35" i="34"/>
  <c r="J34" i="34"/>
  <c r="J33" i="34"/>
  <c r="J32" i="34"/>
  <c r="I28" i="34"/>
  <c r="H28" i="34"/>
  <c r="J27" i="34"/>
  <c r="J26" i="34"/>
  <c r="J25" i="34"/>
  <c r="J24" i="34"/>
  <c r="I23" i="34"/>
  <c r="J23" i="34" s="1"/>
  <c r="J28" i="34" s="1"/>
  <c r="H19" i="34"/>
  <c r="J18" i="34"/>
  <c r="J17" i="34"/>
  <c r="J16" i="34"/>
  <c r="J15" i="34"/>
  <c r="I14" i="34"/>
  <c r="J14" i="34" s="1"/>
  <c r="J19" i="34" s="1"/>
  <c r="H10" i="34"/>
  <c r="J9" i="34"/>
  <c r="J8" i="34"/>
  <c r="J7" i="34"/>
  <c r="I6" i="34"/>
  <c r="J6" i="34" s="1"/>
  <c r="I5" i="34"/>
  <c r="I10" i="34" s="1"/>
  <c r="I23" i="33"/>
  <c r="I14" i="33"/>
  <c r="I6" i="33"/>
  <c r="I19" i="34" l="1"/>
  <c r="J5" i="34"/>
  <c r="J10" i="34" s="1"/>
  <c r="I5" i="33"/>
  <c r="I47" i="33" l="1"/>
  <c r="H47" i="33"/>
  <c r="J46" i="33"/>
  <c r="J45" i="33"/>
  <c r="J44" i="33"/>
  <c r="J43" i="33"/>
  <c r="J42" i="33"/>
  <c r="J41" i="33"/>
  <c r="J47" i="33" s="1"/>
  <c r="I37" i="33"/>
  <c r="H37" i="33"/>
  <c r="J36" i="33"/>
  <c r="J35" i="33"/>
  <c r="J34" i="33"/>
  <c r="J33" i="33"/>
  <c r="J32" i="33"/>
  <c r="I28" i="33"/>
  <c r="H28" i="33"/>
  <c r="J27" i="33"/>
  <c r="J26" i="33"/>
  <c r="J25" i="33"/>
  <c r="J24" i="33"/>
  <c r="J23" i="33"/>
  <c r="J28" i="33" s="1"/>
  <c r="I19" i="33"/>
  <c r="H19" i="33"/>
  <c r="J18" i="33"/>
  <c r="J17" i="33"/>
  <c r="J16" i="33"/>
  <c r="J15" i="33"/>
  <c r="J14" i="33"/>
  <c r="J19" i="33" s="1"/>
  <c r="H10" i="33"/>
  <c r="J9" i="33"/>
  <c r="J8" i="33"/>
  <c r="J7" i="33"/>
  <c r="J6" i="33"/>
  <c r="I10" i="33"/>
  <c r="I33" i="32"/>
  <c r="I23" i="32"/>
  <c r="I14" i="32"/>
  <c r="I5" i="32"/>
  <c r="J37" i="33" l="1"/>
  <c r="J5" i="33"/>
  <c r="J10" i="33" s="1"/>
  <c r="I19" i="32"/>
  <c r="I49" i="32"/>
  <c r="H49" i="32"/>
  <c r="J48" i="32"/>
  <c r="J47" i="32"/>
  <c r="J46" i="32"/>
  <c r="J45" i="32"/>
  <c r="J44" i="32"/>
  <c r="J43" i="32"/>
  <c r="J49" i="32" s="1"/>
  <c r="I39" i="32"/>
  <c r="H39" i="32"/>
  <c r="J38" i="32"/>
  <c r="J37" i="32"/>
  <c r="J36" i="32"/>
  <c r="J35" i="32"/>
  <c r="J34" i="32"/>
  <c r="J33" i="32"/>
  <c r="I29" i="32"/>
  <c r="H29" i="32"/>
  <c r="J28" i="32"/>
  <c r="J27" i="32"/>
  <c r="J26" i="32"/>
  <c r="J25" i="32"/>
  <c r="J24" i="32"/>
  <c r="J23" i="32"/>
  <c r="H19" i="32"/>
  <c r="J18" i="32"/>
  <c r="J17" i="32"/>
  <c r="J16" i="32"/>
  <c r="J15" i="32"/>
  <c r="J14" i="32"/>
  <c r="H10" i="32"/>
  <c r="J9" i="32"/>
  <c r="J8" i="32"/>
  <c r="J7" i="32"/>
  <c r="J6" i="32"/>
  <c r="J5" i="32"/>
  <c r="I36" i="31"/>
  <c r="I15" i="31"/>
  <c r="I14" i="31"/>
  <c r="I5" i="31"/>
  <c r="J10" i="32" l="1"/>
  <c r="J29" i="32"/>
  <c r="J39" i="32"/>
  <c r="I10" i="32"/>
  <c r="J19" i="32"/>
  <c r="I55" i="31"/>
  <c r="H55" i="31"/>
  <c r="J54" i="31"/>
  <c r="J53" i="31"/>
  <c r="J52" i="31"/>
  <c r="J51" i="31"/>
  <c r="J50" i="31"/>
  <c r="J49" i="31"/>
  <c r="J55" i="31" s="1"/>
  <c r="I45" i="31"/>
  <c r="H45" i="31"/>
  <c r="J44" i="31"/>
  <c r="J43" i="31"/>
  <c r="J42" i="31"/>
  <c r="J41" i="31"/>
  <c r="J40" i="31"/>
  <c r="J39" i="31"/>
  <c r="J38" i="31"/>
  <c r="J37" i="31"/>
  <c r="J36" i="31"/>
  <c r="I32" i="31"/>
  <c r="H32" i="31"/>
  <c r="J31" i="31"/>
  <c r="J30" i="31"/>
  <c r="J29" i="31"/>
  <c r="J28" i="31"/>
  <c r="J27" i="31"/>
  <c r="J26" i="31"/>
  <c r="J25" i="31"/>
  <c r="J24" i="31"/>
  <c r="H20" i="31"/>
  <c r="J19" i="31"/>
  <c r="J18" i="31"/>
  <c r="J17" i="31"/>
  <c r="J16" i="31"/>
  <c r="J15" i="31"/>
  <c r="J14" i="31"/>
  <c r="I10" i="31"/>
  <c r="H10" i="31"/>
  <c r="J9" i="31"/>
  <c r="J8" i="31"/>
  <c r="J7" i="31"/>
  <c r="J6" i="31"/>
  <c r="J5" i="31"/>
  <c r="J10" i="31" s="1"/>
  <c r="I15" i="30"/>
  <c r="I26" i="30"/>
  <c r="I5" i="30"/>
  <c r="I7" i="29"/>
  <c r="I20" i="31" l="1"/>
  <c r="J45" i="31"/>
  <c r="J32" i="31"/>
  <c r="J20" i="31"/>
  <c r="J15" i="30"/>
  <c r="J16" i="30"/>
  <c r="J17" i="30"/>
  <c r="J5" i="30"/>
  <c r="J6" i="30"/>
  <c r="J58" i="30"/>
  <c r="I58" i="30"/>
  <c r="H58" i="30"/>
  <c r="J57" i="30"/>
  <c r="J56" i="30"/>
  <c r="J55" i="30"/>
  <c r="J54" i="30"/>
  <c r="J53" i="30"/>
  <c r="J52" i="30"/>
  <c r="I48" i="30"/>
  <c r="H48" i="30"/>
  <c r="J47" i="30"/>
  <c r="J46" i="30"/>
  <c r="J45" i="30"/>
  <c r="J44" i="30"/>
  <c r="J43" i="30"/>
  <c r="J42" i="30"/>
  <c r="J41" i="30"/>
  <c r="J40" i="30"/>
  <c r="J39" i="30"/>
  <c r="I35" i="30"/>
  <c r="H35" i="30"/>
  <c r="J34" i="30"/>
  <c r="J33" i="30"/>
  <c r="J32" i="30"/>
  <c r="J31" i="30"/>
  <c r="J30" i="30"/>
  <c r="J29" i="30"/>
  <c r="J28" i="30"/>
  <c r="J27" i="30"/>
  <c r="J26" i="30"/>
  <c r="I22" i="30"/>
  <c r="H22" i="30"/>
  <c r="J21" i="30"/>
  <c r="J20" i="30"/>
  <c r="J19" i="30"/>
  <c r="J18" i="30"/>
  <c r="I11" i="30"/>
  <c r="H11" i="30"/>
  <c r="J10" i="30"/>
  <c r="J9" i="30"/>
  <c r="J8" i="30"/>
  <c r="J7" i="30"/>
  <c r="I15" i="29"/>
  <c r="J35" i="30" l="1"/>
  <c r="J48" i="30"/>
  <c r="J22" i="30"/>
  <c r="J11" i="30"/>
  <c r="J45" i="29"/>
  <c r="J32" i="29"/>
  <c r="J58" i="29" l="1"/>
  <c r="I58" i="29"/>
  <c r="H58" i="29"/>
  <c r="J57" i="29"/>
  <c r="J56" i="29"/>
  <c r="J55" i="29"/>
  <c r="J54" i="29"/>
  <c r="J53" i="29"/>
  <c r="J52" i="29"/>
  <c r="I48" i="29"/>
  <c r="H48" i="29"/>
  <c r="J47" i="29"/>
  <c r="J46" i="29"/>
  <c r="J44" i="29"/>
  <c r="J43" i="29"/>
  <c r="J42" i="29"/>
  <c r="J41" i="29"/>
  <c r="J40" i="29"/>
  <c r="J39" i="29"/>
  <c r="I35" i="29"/>
  <c r="H35" i="29"/>
  <c r="J34" i="29"/>
  <c r="J33" i="29"/>
  <c r="J31" i="29"/>
  <c r="J30" i="29"/>
  <c r="J29" i="29"/>
  <c r="J28" i="29"/>
  <c r="J27" i="29"/>
  <c r="J26" i="29"/>
  <c r="I22" i="29"/>
  <c r="H22" i="29"/>
  <c r="J21" i="29"/>
  <c r="J20" i="29"/>
  <c r="J19" i="29"/>
  <c r="J18" i="29"/>
  <c r="J17" i="29"/>
  <c r="J16" i="29"/>
  <c r="J15" i="29"/>
  <c r="I11" i="29"/>
  <c r="H11" i="29"/>
  <c r="J10" i="29"/>
  <c r="J9" i="29"/>
  <c r="J8" i="29"/>
  <c r="J7" i="29"/>
  <c r="J6" i="29"/>
  <c r="J5" i="29"/>
  <c r="I38" i="28"/>
  <c r="I26" i="28"/>
  <c r="I15" i="28"/>
  <c r="I5" i="27"/>
  <c r="J35" i="29" l="1"/>
  <c r="J48" i="29"/>
  <c r="J22" i="29"/>
  <c r="J11" i="29"/>
  <c r="J40" i="28"/>
  <c r="J41" i="28"/>
  <c r="J42" i="28"/>
  <c r="J43" i="28"/>
  <c r="J29" i="28"/>
  <c r="J30" i="28"/>
  <c r="J28" i="28"/>
  <c r="J31" i="28"/>
  <c r="J19" i="28"/>
  <c r="J18" i="28"/>
  <c r="J7" i="28"/>
  <c r="J8" i="28"/>
  <c r="J38" i="28"/>
  <c r="I34" i="28"/>
  <c r="J17" i="28"/>
  <c r="J20" i="28"/>
  <c r="J15" i="28"/>
  <c r="I56" i="28"/>
  <c r="H56" i="28"/>
  <c r="J55" i="28"/>
  <c r="J54" i="28"/>
  <c r="J53" i="28"/>
  <c r="J52" i="28"/>
  <c r="J51" i="28"/>
  <c r="J50" i="28"/>
  <c r="I46" i="28"/>
  <c r="H46" i="28"/>
  <c r="J45" i="28"/>
  <c r="J44" i="28"/>
  <c r="J39" i="28"/>
  <c r="H34" i="28"/>
  <c r="J33" i="28"/>
  <c r="J32" i="28"/>
  <c r="J27" i="28"/>
  <c r="H22" i="28"/>
  <c r="J21" i="28"/>
  <c r="H11" i="28"/>
  <c r="J10" i="28"/>
  <c r="J9" i="28"/>
  <c r="J6" i="28"/>
  <c r="I11" i="28"/>
  <c r="I34" i="27"/>
  <c r="I33" i="27"/>
  <c r="I25" i="27"/>
  <c r="I24" i="27"/>
  <c r="I15" i="27"/>
  <c r="I14" i="27"/>
  <c r="I22" i="28" l="1"/>
  <c r="J26" i="28"/>
  <c r="J34" i="28" s="1"/>
  <c r="J56" i="28"/>
  <c r="J46" i="28"/>
  <c r="J16" i="28"/>
  <c r="J22" i="28" s="1"/>
  <c r="J5" i="28"/>
  <c r="J11" i="28" s="1"/>
  <c r="J7" i="27"/>
  <c r="I48" i="27"/>
  <c r="H48" i="27"/>
  <c r="J47" i="27"/>
  <c r="J46" i="27"/>
  <c r="J45" i="27"/>
  <c r="J44" i="27"/>
  <c r="J43" i="27"/>
  <c r="J42" i="27"/>
  <c r="I38" i="27"/>
  <c r="H38" i="27"/>
  <c r="J37" i="27"/>
  <c r="J36" i="27"/>
  <c r="J35" i="27"/>
  <c r="J34" i="27"/>
  <c r="J33" i="27"/>
  <c r="H29" i="27"/>
  <c r="J28" i="27"/>
  <c r="J27" i="27"/>
  <c r="J26" i="27"/>
  <c r="J25" i="27"/>
  <c r="J24" i="27"/>
  <c r="H20" i="27"/>
  <c r="J19" i="27"/>
  <c r="J18" i="27"/>
  <c r="J15" i="27"/>
  <c r="I20" i="27"/>
  <c r="H10" i="27"/>
  <c r="J9" i="27"/>
  <c r="J8" i="27"/>
  <c r="J6" i="27"/>
  <c r="I10" i="27"/>
  <c r="I30" i="26"/>
  <c r="I21" i="26"/>
  <c r="I13" i="26"/>
  <c r="I5" i="26"/>
  <c r="J29" i="27" l="1"/>
  <c r="I29" i="27"/>
  <c r="J48" i="27"/>
  <c r="J38" i="27"/>
  <c r="J14" i="27"/>
  <c r="J20" i="27" s="1"/>
  <c r="J5" i="27"/>
  <c r="J10" i="27" s="1"/>
  <c r="I45" i="26"/>
  <c r="H45" i="26"/>
  <c r="J44" i="26"/>
  <c r="J43" i="26"/>
  <c r="J42" i="26"/>
  <c r="J41" i="26"/>
  <c r="J40" i="26"/>
  <c r="J39" i="26"/>
  <c r="J45" i="26" s="1"/>
  <c r="I35" i="26"/>
  <c r="H35" i="26"/>
  <c r="J34" i="26"/>
  <c r="J33" i="26"/>
  <c r="J32" i="26"/>
  <c r="J31" i="26"/>
  <c r="J30" i="26"/>
  <c r="H26" i="26"/>
  <c r="J25" i="26"/>
  <c r="J24" i="26"/>
  <c r="J23" i="26"/>
  <c r="J22" i="26"/>
  <c r="J21" i="26"/>
  <c r="J26" i="26" s="1"/>
  <c r="I17" i="26"/>
  <c r="H17" i="26"/>
  <c r="J16" i="26"/>
  <c r="J15" i="26"/>
  <c r="J14" i="26"/>
  <c r="J13" i="26"/>
  <c r="J17" i="26" s="1"/>
  <c r="I9" i="26"/>
  <c r="H9" i="26"/>
  <c r="J8" i="26"/>
  <c r="J7" i="26"/>
  <c r="J6" i="26"/>
  <c r="J5" i="26"/>
  <c r="I32" i="25"/>
  <c r="I31" i="25"/>
  <c r="I22" i="25"/>
  <c r="I13" i="25"/>
  <c r="J9" i="26" l="1"/>
  <c r="I26" i="26"/>
  <c r="J35" i="26"/>
  <c r="I47" i="25"/>
  <c r="H47" i="25"/>
  <c r="J46" i="25"/>
  <c r="J45" i="25"/>
  <c r="J44" i="25"/>
  <c r="J43" i="25"/>
  <c r="J42" i="25"/>
  <c r="J41" i="25"/>
  <c r="J47" i="25" s="1"/>
  <c r="I37" i="25"/>
  <c r="H37" i="25"/>
  <c r="J36" i="25"/>
  <c r="J35" i="25"/>
  <c r="J34" i="25"/>
  <c r="J33" i="25"/>
  <c r="J32" i="25"/>
  <c r="J31" i="25"/>
  <c r="I27" i="25"/>
  <c r="H27" i="25"/>
  <c r="J26" i="25"/>
  <c r="J25" i="25"/>
  <c r="J24" i="25"/>
  <c r="J23" i="25"/>
  <c r="J22" i="25"/>
  <c r="I18" i="25"/>
  <c r="H18" i="25"/>
  <c r="J17" i="25"/>
  <c r="J16" i="25"/>
  <c r="J15" i="25"/>
  <c r="J14" i="25"/>
  <c r="J13" i="25"/>
  <c r="J18" i="25" s="1"/>
  <c r="I9" i="25"/>
  <c r="H9" i="25"/>
  <c r="J8" i="25"/>
  <c r="J7" i="25"/>
  <c r="J6" i="25"/>
  <c r="J5" i="25"/>
  <c r="I35" i="24"/>
  <c r="I25" i="24"/>
  <c r="I24" i="24"/>
  <c r="I15" i="24"/>
  <c r="I14" i="24"/>
  <c r="I5" i="24"/>
  <c r="J37" i="25" l="1"/>
  <c r="J9" i="25"/>
  <c r="J27" i="25"/>
  <c r="I51" i="24"/>
  <c r="H51" i="24"/>
  <c r="J50" i="24"/>
  <c r="J49" i="24"/>
  <c r="J48" i="24"/>
  <c r="J47" i="24"/>
  <c r="J46" i="24"/>
  <c r="J45" i="24"/>
  <c r="J51" i="24" s="1"/>
  <c r="I41" i="24"/>
  <c r="H41" i="24"/>
  <c r="J40" i="24"/>
  <c r="J39" i="24"/>
  <c r="J38" i="24"/>
  <c r="J37" i="24"/>
  <c r="J36" i="24"/>
  <c r="J35" i="24"/>
  <c r="J41" i="24" s="1"/>
  <c r="I31" i="24"/>
  <c r="H31" i="24"/>
  <c r="J30" i="24"/>
  <c r="J29" i="24"/>
  <c r="J28" i="24"/>
  <c r="J27" i="24"/>
  <c r="J26" i="24"/>
  <c r="J25" i="24"/>
  <c r="J24" i="24"/>
  <c r="I20" i="24"/>
  <c r="H20" i="24"/>
  <c r="J19" i="24"/>
  <c r="J18" i="24"/>
  <c r="J17" i="24"/>
  <c r="J16" i="24"/>
  <c r="J15" i="24"/>
  <c r="J14" i="24"/>
  <c r="I10" i="24"/>
  <c r="H10" i="24"/>
  <c r="J9" i="24"/>
  <c r="J8" i="24"/>
  <c r="J7" i="24"/>
  <c r="J6" i="24"/>
  <c r="J5" i="24"/>
  <c r="J10" i="24" s="1"/>
  <c r="I24" i="22"/>
  <c r="I15" i="22"/>
  <c r="I14" i="22"/>
  <c r="I42" i="20"/>
  <c r="I38" i="18"/>
  <c r="J31" i="24" l="1"/>
  <c r="J20" i="24"/>
  <c r="I51" i="22"/>
  <c r="H51" i="22"/>
  <c r="J50" i="22"/>
  <c r="J49" i="22"/>
  <c r="J48" i="22"/>
  <c r="J47" i="22"/>
  <c r="J46" i="22"/>
  <c r="J45" i="22"/>
  <c r="H41" i="22"/>
  <c r="J40" i="22"/>
  <c r="J39" i="22"/>
  <c r="J38" i="22"/>
  <c r="J37" i="22"/>
  <c r="J36" i="22"/>
  <c r="I35" i="22"/>
  <c r="J35" i="22" s="1"/>
  <c r="H31" i="22"/>
  <c r="J30" i="22"/>
  <c r="J29" i="22"/>
  <c r="J28" i="22"/>
  <c r="J27" i="22"/>
  <c r="J26" i="22"/>
  <c r="J25" i="22"/>
  <c r="J24" i="22"/>
  <c r="I31" i="22"/>
  <c r="H20" i="22"/>
  <c r="J19" i="22"/>
  <c r="J18" i="22"/>
  <c r="J17" i="22"/>
  <c r="J16" i="22"/>
  <c r="J15" i="22"/>
  <c r="J14" i="22"/>
  <c r="H10" i="22"/>
  <c r="J9" i="22"/>
  <c r="J8" i="22"/>
  <c r="J7" i="22"/>
  <c r="J6" i="22"/>
  <c r="I5" i="22"/>
  <c r="I10" i="22" s="1"/>
  <c r="I40" i="21"/>
  <c r="I25" i="21"/>
  <c r="I24" i="21"/>
  <c r="I14" i="21"/>
  <c r="I5" i="21"/>
  <c r="J51" i="22" l="1"/>
  <c r="I41" i="22"/>
  <c r="J20" i="22"/>
  <c r="J31" i="22"/>
  <c r="J5" i="22"/>
  <c r="J10" i="22" s="1"/>
  <c r="J41" i="22"/>
  <c r="I20" i="22"/>
  <c r="J16" i="21"/>
  <c r="J26" i="21"/>
  <c r="J42" i="21"/>
  <c r="J6" i="21"/>
  <c r="I38" i="21" l="1"/>
  <c r="J38" i="21" s="1"/>
  <c r="I56" i="21"/>
  <c r="H56" i="21"/>
  <c r="J55" i="21"/>
  <c r="J54" i="21"/>
  <c r="J53" i="21"/>
  <c r="J52" i="21"/>
  <c r="J51" i="21"/>
  <c r="J50" i="21"/>
  <c r="H46" i="21"/>
  <c r="J45" i="21"/>
  <c r="J44" i="21"/>
  <c r="J43" i="21"/>
  <c r="J41" i="21"/>
  <c r="J40" i="21"/>
  <c r="J39" i="21"/>
  <c r="I37" i="21"/>
  <c r="J37" i="21" s="1"/>
  <c r="J36" i="21"/>
  <c r="J35" i="21"/>
  <c r="I31" i="21"/>
  <c r="H31" i="21"/>
  <c r="J30" i="21"/>
  <c r="J29" i="21"/>
  <c r="J28" i="21"/>
  <c r="J27" i="21"/>
  <c r="J25" i="21"/>
  <c r="J24" i="21"/>
  <c r="H20" i="21"/>
  <c r="J19" i="21"/>
  <c r="J18" i="21"/>
  <c r="J17" i="21"/>
  <c r="J15" i="21"/>
  <c r="J14" i="21"/>
  <c r="H10" i="21"/>
  <c r="J9" i="21"/>
  <c r="J8" i="21"/>
  <c r="J7" i="21"/>
  <c r="J5" i="21"/>
  <c r="I15" i="20"/>
  <c r="I5" i="20"/>
  <c r="J56" i="21" l="1"/>
  <c r="I20" i="21"/>
  <c r="J20" i="21"/>
  <c r="J31" i="21"/>
  <c r="J10" i="21"/>
  <c r="J46" i="21"/>
  <c r="I46" i="21"/>
  <c r="I10" i="21"/>
  <c r="J46" i="20"/>
  <c r="J45" i="20"/>
  <c r="J47" i="20"/>
  <c r="J31" i="20"/>
  <c r="J19" i="20"/>
  <c r="J7" i="20"/>
  <c r="J8" i="20"/>
  <c r="I60" i="20"/>
  <c r="H60" i="20"/>
  <c r="J59" i="20"/>
  <c r="J58" i="20"/>
  <c r="J57" i="20"/>
  <c r="J56" i="20"/>
  <c r="J55" i="20"/>
  <c r="J60" i="20" s="1"/>
  <c r="J54" i="20"/>
  <c r="H50" i="20"/>
  <c r="J49" i="20"/>
  <c r="J48" i="20"/>
  <c r="J44" i="20"/>
  <c r="J43" i="20"/>
  <c r="J42" i="20"/>
  <c r="I41" i="20"/>
  <c r="J41" i="20" s="1"/>
  <c r="I40" i="20"/>
  <c r="J40" i="20" s="1"/>
  <c r="J39" i="20"/>
  <c r="J38" i="20"/>
  <c r="H34" i="20"/>
  <c r="J33" i="20"/>
  <c r="J32" i="20"/>
  <c r="J30" i="20"/>
  <c r="J29" i="20"/>
  <c r="J28" i="20"/>
  <c r="J27" i="20"/>
  <c r="J26" i="20"/>
  <c r="I22" i="20"/>
  <c r="H22" i="20"/>
  <c r="J21" i="20"/>
  <c r="J20" i="20"/>
  <c r="J18" i="20"/>
  <c r="J17" i="20"/>
  <c r="J16" i="20"/>
  <c r="J15" i="20"/>
  <c r="I11" i="20"/>
  <c r="H11" i="20"/>
  <c r="J10" i="20"/>
  <c r="J9" i="20"/>
  <c r="J6" i="20"/>
  <c r="J5" i="20"/>
  <c r="I39" i="19"/>
  <c r="I25" i="19"/>
  <c r="I15" i="19"/>
  <c r="J50" i="20" l="1"/>
  <c r="J11" i="20"/>
  <c r="I50" i="20"/>
  <c r="I34" i="20"/>
  <c r="J34" i="20"/>
  <c r="J22" i="20"/>
  <c r="I55" i="19"/>
  <c r="H55" i="19"/>
  <c r="J54" i="19"/>
  <c r="J53" i="19"/>
  <c r="J52" i="19"/>
  <c r="J51" i="19"/>
  <c r="J50" i="19"/>
  <c r="J49" i="19"/>
  <c r="J55" i="19" s="1"/>
  <c r="I45" i="19"/>
  <c r="H45" i="19"/>
  <c r="J44" i="19"/>
  <c r="J43" i="19"/>
  <c r="J42" i="19"/>
  <c r="J41" i="19"/>
  <c r="J40" i="19"/>
  <c r="J39" i="19"/>
  <c r="I38" i="19"/>
  <c r="J38" i="19" s="1"/>
  <c r="J37" i="19"/>
  <c r="J36" i="19"/>
  <c r="J45" i="19" s="1"/>
  <c r="I32" i="19"/>
  <c r="H32" i="19"/>
  <c r="J31" i="19"/>
  <c r="J30" i="19"/>
  <c r="J29" i="19"/>
  <c r="J28" i="19"/>
  <c r="J27" i="19"/>
  <c r="J26" i="19"/>
  <c r="J25" i="19"/>
  <c r="I21" i="19"/>
  <c r="H21" i="19"/>
  <c r="J20" i="19"/>
  <c r="J19" i="19"/>
  <c r="J18" i="19"/>
  <c r="J17" i="19"/>
  <c r="J16" i="19"/>
  <c r="J15" i="19"/>
  <c r="I11" i="19"/>
  <c r="H11" i="19"/>
  <c r="J10" i="19"/>
  <c r="J9" i="19"/>
  <c r="J8" i="19"/>
  <c r="J7" i="19"/>
  <c r="J6" i="19"/>
  <c r="J5" i="19"/>
  <c r="I26" i="18"/>
  <c r="I25" i="18"/>
  <c r="I15" i="18"/>
  <c r="I5" i="18"/>
  <c r="J11" i="19" l="1"/>
  <c r="J21" i="19"/>
  <c r="J32" i="19"/>
  <c r="J9" i="18"/>
  <c r="I55" i="18"/>
  <c r="H55" i="18"/>
  <c r="J54" i="18"/>
  <c r="J53" i="18"/>
  <c r="J52" i="18"/>
  <c r="J51" i="18"/>
  <c r="J50" i="18"/>
  <c r="J49" i="18"/>
  <c r="J55" i="18" s="1"/>
  <c r="I45" i="18"/>
  <c r="H45" i="18"/>
  <c r="J44" i="18"/>
  <c r="J43" i="18"/>
  <c r="J42" i="18"/>
  <c r="J41" i="18"/>
  <c r="J40" i="18"/>
  <c r="J39" i="18"/>
  <c r="J38" i="18"/>
  <c r="J37" i="18"/>
  <c r="J36" i="18"/>
  <c r="I32" i="18"/>
  <c r="H32" i="18"/>
  <c r="J31" i="18"/>
  <c r="J30" i="18"/>
  <c r="J29" i="18"/>
  <c r="J28" i="18"/>
  <c r="J27" i="18"/>
  <c r="J26" i="18"/>
  <c r="J25" i="18"/>
  <c r="I21" i="18"/>
  <c r="H21" i="18"/>
  <c r="J20" i="18"/>
  <c r="J19" i="18"/>
  <c r="J18" i="18"/>
  <c r="J17" i="18"/>
  <c r="J16" i="18"/>
  <c r="J15" i="18"/>
  <c r="I11" i="18"/>
  <c r="H11" i="18"/>
  <c r="J10" i="18"/>
  <c r="J8" i="18"/>
  <c r="J7" i="18"/>
  <c r="J6" i="18"/>
  <c r="J5" i="18"/>
  <c r="I24" i="17"/>
  <c r="I14" i="17"/>
  <c r="I5" i="17"/>
  <c r="J21" i="18" l="1"/>
  <c r="J11" i="18"/>
  <c r="J32" i="18"/>
  <c r="J45" i="18"/>
  <c r="J41" i="17"/>
  <c r="J42" i="17"/>
  <c r="J43" i="17"/>
  <c r="I54" i="17" l="1"/>
  <c r="H54" i="17"/>
  <c r="J53" i="17"/>
  <c r="J52" i="17"/>
  <c r="J51" i="17"/>
  <c r="J50" i="17"/>
  <c r="J49" i="17"/>
  <c r="J48" i="17"/>
  <c r="J54" i="17" s="1"/>
  <c r="I44" i="17"/>
  <c r="H44" i="17"/>
  <c r="J40" i="17"/>
  <c r="J39" i="17"/>
  <c r="J38" i="17"/>
  <c r="J37" i="17"/>
  <c r="J36" i="17"/>
  <c r="J35" i="17"/>
  <c r="I31" i="17"/>
  <c r="H31" i="17"/>
  <c r="J30" i="17"/>
  <c r="J29" i="17"/>
  <c r="J28" i="17"/>
  <c r="J27" i="17"/>
  <c r="J26" i="17"/>
  <c r="J25" i="17"/>
  <c r="J24" i="17"/>
  <c r="I20" i="17"/>
  <c r="H20" i="17"/>
  <c r="J19" i="17"/>
  <c r="J18" i="17"/>
  <c r="J17" i="17"/>
  <c r="J16" i="17"/>
  <c r="J15" i="17"/>
  <c r="J14" i="17"/>
  <c r="I10" i="17"/>
  <c r="H10" i="17"/>
  <c r="J9" i="17"/>
  <c r="J8" i="17"/>
  <c r="J7" i="17"/>
  <c r="J6" i="17"/>
  <c r="J5" i="17"/>
  <c r="I25" i="16"/>
  <c r="I24" i="16"/>
  <c r="I15" i="15"/>
  <c r="J44" i="17" l="1"/>
  <c r="J31" i="17"/>
  <c r="J20" i="17"/>
  <c r="J10" i="17"/>
  <c r="I53" i="16"/>
  <c r="H53" i="16"/>
  <c r="J52" i="16"/>
  <c r="J51" i="16"/>
  <c r="J50" i="16"/>
  <c r="J49" i="16"/>
  <c r="J48" i="16"/>
  <c r="J47" i="16"/>
  <c r="J53" i="16" s="1"/>
  <c r="I43" i="16"/>
  <c r="H43" i="16"/>
  <c r="J42" i="16"/>
  <c r="J41" i="16"/>
  <c r="J40" i="16"/>
  <c r="J39" i="16"/>
  <c r="J38" i="16"/>
  <c r="J37" i="16"/>
  <c r="J36" i="16"/>
  <c r="J35" i="16"/>
  <c r="I31" i="16"/>
  <c r="H31" i="16"/>
  <c r="J30" i="16"/>
  <c r="J29" i="16"/>
  <c r="J28" i="16"/>
  <c r="J27" i="16"/>
  <c r="J26" i="16"/>
  <c r="J25" i="16"/>
  <c r="J24" i="16"/>
  <c r="I20" i="16"/>
  <c r="H20" i="16"/>
  <c r="J19" i="16"/>
  <c r="J18" i="16"/>
  <c r="J17" i="16"/>
  <c r="J16" i="16"/>
  <c r="J15" i="16"/>
  <c r="J14" i="16"/>
  <c r="I10" i="16"/>
  <c r="H10" i="16"/>
  <c r="J9" i="16"/>
  <c r="J8" i="16"/>
  <c r="J7" i="16"/>
  <c r="J6" i="16"/>
  <c r="J5" i="16"/>
  <c r="I24" i="15"/>
  <c r="I14" i="15"/>
  <c r="I5" i="15"/>
  <c r="J43" i="16" l="1"/>
  <c r="J31" i="16"/>
  <c r="J20" i="16"/>
  <c r="J10" i="16"/>
  <c r="J14" i="15"/>
  <c r="I53" i="15"/>
  <c r="H53" i="15"/>
  <c r="J52" i="15"/>
  <c r="J51" i="15"/>
  <c r="J50" i="15"/>
  <c r="J49" i="15"/>
  <c r="J48" i="15"/>
  <c r="J47" i="15"/>
  <c r="H43" i="15"/>
  <c r="J42" i="15"/>
  <c r="J41" i="15"/>
  <c r="J40" i="15"/>
  <c r="J39" i="15"/>
  <c r="J38" i="15"/>
  <c r="J37" i="15"/>
  <c r="J36" i="15"/>
  <c r="I43" i="15"/>
  <c r="I31" i="15"/>
  <c r="H31" i="15"/>
  <c r="J30" i="15"/>
  <c r="J29" i="15"/>
  <c r="J28" i="15"/>
  <c r="J27" i="15"/>
  <c r="J26" i="15"/>
  <c r="J25" i="15"/>
  <c r="J24" i="15"/>
  <c r="H20" i="15"/>
  <c r="J19" i="15"/>
  <c r="J18" i="15"/>
  <c r="J17" i="15"/>
  <c r="J16" i="15"/>
  <c r="J15" i="15"/>
  <c r="H10" i="15"/>
  <c r="J9" i="15"/>
  <c r="J8" i="15"/>
  <c r="J7" i="15"/>
  <c r="J6" i="15"/>
  <c r="I10" i="15"/>
  <c r="I39" i="14"/>
  <c r="I15" i="14"/>
  <c r="I5" i="14"/>
  <c r="J53" i="15" l="1"/>
  <c r="J31" i="15"/>
  <c r="J20" i="15"/>
  <c r="J35" i="15"/>
  <c r="J43" i="15" s="1"/>
  <c r="J5" i="15"/>
  <c r="J10" i="15" s="1"/>
  <c r="I20" i="15"/>
  <c r="J46" i="14"/>
  <c r="J30" i="14"/>
  <c r="I60" i="14" l="1"/>
  <c r="H60" i="14"/>
  <c r="J59" i="14"/>
  <c r="J58" i="14"/>
  <c r="J57" i="14"/>
  <c r="J56" i="14"/>
  <c r="J55" i="14"/>
  <c r="J54" i="14"/>
  <c r="J60" i="14" s="1"/>
  <c r="I50" i="14"/>
  <c r="H50" i="14"/>
  <c r="J49" i="14"/>
  <c r="J48" i="14"/>
  <c r="J47" i="14"/>
  <c r="J45" i="14"/>
  <c r="J44" i="14"/>
  <c r="J43" i="14"/>
  <c r="J42" i="14"/>
  <c r="J41" i="14"/>
  <c r="J40" i="14"/>
  <c r="J39" i="14"/>
  <c r="H35" i="14"/>
  <c r="J34" i="14"/>
  <c r="J33" i="14"/>
  <c r="J32" i="14"/>
  <c r="J31" i="14"/>
  <c r="J29" i="14"/>
  <c r="J28" i="14"/>
  <c r="J27" i="14"/>
  <c r="I35" i="14"/>
  <c r="H22" i="14"/>
  <c r="J21" i="14"/>
  <c r="J20" i="14"/>
  <c r="J19" i="14"/>
  <c r="J18" i="14"/>
  <c r="J17" i="14"/>
  <c r="J16" i="14"/>
  <c r="I22" i="14"/>
  <c r="I11" i="14"/>
  <c r="H11" i="14"/>
  <c r="J10" i="14"/>
  <c r="J9" i="14"/>
  <c r="J8" i="14"/>
  <c r="J7" i="14"/>
  <c r="J6" i="14"/>
  <c r="J5" i="14"/>
  <c r="J39" i="13"/>
  <c r="I38" i="13"/>
  <c r="J41" i="13"/>
  <c r="I26" i="13"/>
  <c r="I15" i="13"/>
  <c r="I5" i="13"/>
  <c r="J50" i="14" l="1"/>
  <c r="J11" i="14"/>
  <c r="J15" i="14"/>
  <c r="J22" i="14" s="1"/>
  <c r="J26" i="14"/>
  <c r="J35" i="14" s="1"/>
  <c r="I58" i="13"/>
  <c r="H58" i="13"/>
  <c r="J57" i="13"/>
  <c r="J56" i="13"/>
  <c r="J55" i="13"/>
  <c r="J54" i="13"/>
  <c r="J53" i="13"/>
  <c r="J52" i="13"/>
  <c r="I48" i="13"/>
  <c r="H48" i="13"/>
  <c r="J47" i="13"/>
  <c r="J46" i="13"/>
  <c r="J45" i="13"/>
  <c r="J44" i="13"/>
  <c r="J43" i="13"/>
  <c r="J42" i="13"/>
  <c r="J40" i="13"/>
  <c r="J38" i="13"/>
  <c r="I34" i="13"/>
  <c r="H34" i="13"/>
  <c r="J33" i="13"/>
  <c r="J32" i="13"/>
  <c r="J31" i="13"/>
  <c r="J30" i="13"/>
  <c r="J29" i="13"/>
  <c r="J28" i="13"/>
  <c r="J27" i="13"/>
  <c r="J26" i="13"/>
  <c r="I22" i="13"/>
  <c r="H22" i="13"/>
  <c r="J21" i="13"/>
  <c r="J20" i="13"/>
  <c r="J19" i="13"/>
  <c r="J18" i="13"/>
  <c r="J17" i="13"/>
  <c r="J16" i="13"/>
  <c r="J15" i="13"/>
  <c r="I11" i="13"/>
  <c r="H11" i="13"/>
  <c r="J10" i="13"/>
  <c r="J9" i="13"/>
  <c r="J8" i="13"/>
  <c r="J7" i="13"/>
  <c r="J6" i="13"/>
  <c r="J5" i="13"/>
  <c r="J58" i="13" l="1"/>
  <c r="J11" i="13"/>
  <c r="J48" i="13"/>
  <c r="J34" i="13"/>
  <c r="J22" i="13"/>
  <c r="I27" i="12"/>
  <c r="I15" i="12"/>
  <c r="I5" i="12"/>
  <c r="J41" i="12" l="1"/>
  <c r="J30" i="12"/>
  <c r="J19" i="12"/>
  <c r="J20" i="12"/>
  <c r="I56" i="12"/>
  <c r="H56" i="12"/>
  <c r="J55" i="12"/>
  <c r="J54" i="12"/>
  <c r="J53" i="12"/>
  <c r="J52" i="12"/>
  <c r="J51" i="12"/>
  <c r="J50" i="12"/>
  <c r="J56" i="12" s="1"/>
  <c r="I46" i="12"/>
  <c r="H46" i="12"/>
  <c r="J45" i="12"/>
  <c r="J44" i="12"/>
  <c r="J43" i="12"/>
  <c r="J42" i="12"/>
  <c r="J40" i="12"/>
  <c r="J39" i="12"/>
  <c r="J38" i="12"/>
  <c r="I34" i="12"/>
  <c r="H34" i="12"/>
  <c r="J33" i="12"/>
  <c r="J32" i="12"/>
  <c r="J31" i="12"/>
  <c r="J29" i="12"/>
  <c r="J28" i="12"/>
  <c r="J27" i="12"/>
  <c r="J26" i="12"/>
  <c r="I22" i="12"/>
  <c r="H22" i="12"/>
  <c r="J21" i="12"/>
  <c r="J18" i="12"/>
  <c r="J17" i="12"/>
  <c r="J16" i="12"/>
  <c r="J15" i="12"/>
  <c r="I11" i="12"/>
  <c r="H11" i="12"/>
  <c r="J10" i="12"/>
  <c r="J9" i="12"/>
  <c r="J8" i="12"/>
  <c r="J7" i="12"/>
  <c r="J6" i="12"/>
  <c r="J5" i="12"/>
  <c r="I27" i="11"/>
  <c r="I17" i="11"/>
  <c r="I15" i="11"/>
  <c r="I5" i="11"/>
  <c r="J46" i="12" l="1"/>
  <c r="J11" i="12"/>
  <c r="J34" i="12"/>
  <c r="J22" i="12"/>
  <c r="I53" i="11"/>
  <c r="H53" i="11"/>
  <c r="J52" i="11"/>
  <c r="J51" i="11"/>
  <c r="J50" i="11"/>
  <c r="J49" i="11"/>
  <c r="J48" i="11"/>
  <c r="J47" i="11"/>
  <c r="J53" i="11" s="1"/>
  <c r="I43" i="11"/>
  <c r="H43" i="11"/>
  <c r="J42" i="11"/>
  <c r="J41" i="11"/>
  <c r="J40" i="11"/>
  <c r="J39" i="11"/>
  <c r="J38" i="11"/>
  <c r="J37" i="11"/>
  <c r="J36" i="11"/>
  <c r="I32" i="11"/>
  <c r="H32" i="11"/>
  <c r="J31" i="11"/>
  <c r="J30" i="11"/>
  <c r="J29" i="11"/>
  <c r="J28" i="11"/>
  <c r="J27" i="11"/>
  <c r="J26" i="11"/>
  <c r="J25" i="11"/>
  <c r="I21" i="11"/>
  <c r="H21" i="11"/>
  <c r="J20" i="11"/>
  <c r="J19" i="11"/>
  <c r="J18" i="11"/>
  <c r="J17" i="11"/>
  <c r="J16" i="11"/>
  <c r="J15" i="11"/>
  <c r="I11" i="11"/>
  <c r="H11" i="11"/>
  <c r="J10" i="11"/>
  <c r="J9" i="11"/>
  <c r="J8" i="11"/>
  <c r="J7" i="11"/>
  <c r="J6" i="11"/>
  <c r="J5" i="11"/>
  <c r="I53" i="10"/>
  <c r="H53" i="10"/>
  <c r="J52" i="10"/>
  <c r="J51" i="10"/>
  <c r="J50" i="10"/>
  <c r="J49" i="10"/>
  <c r="J48" i="10"/>
  <c r="J47" i="10"/>
  <c r="J53" i="10" s="1"/>
  <c r="I43" i="10"/>
  <c r="H43" i="10"/>
  <c r="J42" i="10"/>
  <c r="J41" i="10"/>
  <c r="J40" i="10"/>
  <c r="J39" i="10"/>
  <c r="J38" i="10"/>
  <c r="J37" i="10"/>
  <c r="J36" i="10"/>
  <c r="I32" i="10"/>
  <c r="H32" i="10"/>
  <c r="J31" i="10"/>
  <c r="J30" i="10"/>
  <c r="J29" i="10"/>
  <c r="J28" i="10"/>
  <c r="J27" i="10"/>
  <c r="J26" i="10"/>
  <c r="J25" i="10"/>
  <c r="I21" i="10"/>
  <c r="H21" i="10"/>
  <c r="J20" i="10"/>
  <c r="J19" i="10"/>
  <c r="J18" i="10"/>
  <c r="J17" i="10"/>
  <c r="J16" i="10"/>
  <c r="J15" i="10"/>
  <c r="I11" i="10"/>
  <c r="H11" i="10"/>
  <c r="J10" i="10"/>
  <c r="J9" i="10"/>
  <c r="J8" i="10"/>
  <c r="J7" i="10"/>
  <c r="J6" i="10"/>
  <c r="J5" i="10"/>
  <c r="I17" i="9"/>
  <c r="I25" i="9"/>
  <c r="I36" i="9"/>
  <c r="J43" i="11" l="1"/>
  <c r="J32" i="11"/>
  <c r="J11" i="11"/>
  <c r="J21" i="11"/>
  <c r="J43" i="10"/>
  <c r="J32" i="10"/>
  <c r="J11" i="10"/>
  <c r="J21" i="10"/>
  <c r="I53" i="9"/>
  <c r="H53" i="9"/>
  <c r="J52" i="9"/>
  <c r="J51" i="9"/>
  <c r="J50" i="9"/>
  <c r="J49" i="9"/>
  <c r="J48" i="9"/>
  <c r="J47" i="9"/>
  <c r="J53" i="9" s="1"/>
  <c r="I43" i="9"/>
  <c r="H43" i="9"/>
  <c r="J42" i="9"/>
  <c r="J41" i="9"/>
  <c r="J40" i="9"/>
  <c r="J39" i="9"/>
  <c r="J38" i="9"/>
  <c r="J37" i="9"/>
  <c r="J36" i="9"/>
  <c r="I32" i="9"/>
  <c r="H32" i="9"/>
  <c r="J31" i="9"/>
  <c r="J30" i="9"/>
  <c r="J29" i="9"/>
  <c r="J28" i="9"/>
  <c r="J27" i="9"/>
  <c r="J26" i="9"/>
  <c r="J25" i="9"/>
  <c r="I21" i="9"/>
  <c r="H21" i="9"/>
  <c r="J20" i="9"/>
  <c r="J19" i="9"/>
  <c r="J18" i="9"/>
  <c r="J17" i="9"/>
  <c r="J16" i="9"/>
  <c r="J15" i="9"/>
  <c r="I11" i="9"/>
  <c r="H11" i="9"/>
  <c r="J10" i="9"/>
  <c r="J9" i="9"/>
  <c r="J8" i="9"/>
  <c r="J7" i="9"/>
  <c r="J6" i="9"/>
  <c r="J5" i="9"/>
  <c r="I36" i="8"/>
  <c r="I25" i="8"/>
  <c r="I15" i="8"/>
  <c r="I5" i="8"/>
  <c r="J43" i="9" l="1"/>
  <c r="J32" i="9"/>
  <c r="J21" i="9"/>
  <c r="J11" i="9"/>
  <c r="J38" i="8"/>
  <c r="J27" i="8"/>
  <c r="J28" i="8"/>
  <c r="J17" i="8"/>
  <c r="I53" i="8" l="1"/>
  <c r="H53" i="8"/>
  <c r="J52" i="8"/>
  <c r="J51" i="8"/>
  <c r="J50" i="8"/>
  <c r="J49" i="8"/>
  <c r="J48" i="8"/>
  <c r="J47" i="8"/>
  <c r="I43" i="8"/>
  <c r="H43" i="8"/>
  <c r="J42" i="8"/>
  <c r="J41" i="8"/>
  <c r="J40" i="8"/>
  <c r="J39" i="8"/>
  <c r="J37" i="8"/>
  <c r="J36" i="8"/>
  <c r="H32" i="8"/>
  <c r="J31" i="8"/>
  <c r="J30" i="8"/>
  <c r="J29" i="8"/>
  <c r="J26" i="8"/>
  <c r="J25" i="8"/>
  <c r="I21" i="8"/>
  <c r="H21" i="8"/>
  <c r="J20" i="8"/>
  <c r="J19" i="8"/>
  <c r="J18" i="8"/>
  <c r="J16" i="8"/>
  <c r="J15" i="8"/>
  <c r="H11" i="8"/>
  <c r="J10" i="8"/>
  <c r="J9" i="8"/>
  <c r="J8" i="8"/>
  <c r="J7" i="8"/>
  <c r="J6" i="8"/>
  <c r="J5" i="8"/>
  <c r="I25" i="7"/>
  <c r="I5" i="7"/>
  <c r="I15" i="7"/>
  <c r="I32" i="8" l="1"/>
  <c r="J53" i="8"/>
  <c r="J43" i="8"/>
  <c r="J32" i="8"/>
  <c r="J21" i="8"/>
  <c r="J11" i="8"/>
  <c r="I11" i="8"/>
  <c r="I51" i="7"/>
  <c r="H51" i="7"/>
  <c r="J50" i="7"/>
  <c r="J49" i="7"/>
  <c r="J48" i="7"/>
  <c r="J47" i="7"/>
  <c r="J46" i="7"/>
  <c r="J45" i="7"/>
  <c r="J51" i="7" s="1"/>
  <c r="J41" i="7"/>
  <c r="I41" i="7"/>
  <c r="H41" i="7"/>
  <c r="J40" i="7"/>
  <c r="J39" i="7"/>
  <c r="J38" i="7"/>
  <c r="J37" i="7"/>
  <c r="J36" i="7"/>
  <c r="J35" i="7"/>
  <c r="I31" i="7"/>
  <c r="H31" i="7"/>
  <c r="J30" i="7"/>
  <c r="J29" i="7"/>
  <c r="J28" i="7"/>
  <c r="J31" i="7" s="1"/>
  <c r="J27" i="7"/>
  <c r="J26" i="7"/>
  <c r="J25" i="7"/>
  <c r="I21" i="7"/>
  <c r="H21" i="7"/>
  <c r="J20" i="7"/>
  <c r="J19" i="7"/>
  <c r="J18" i="7"/>
  <c r="J17" i="7"/>
  <c r="J16" i="7"/>
  <c r="J15" i="7"/>
  <c r="J21" i="7" s="1"/>
  <c r="H11" i="7"/>
  <c r="J10" i="7"/>
  <c r="J9" i="7"/>
  <c r="J8" i="7"/>
  <c r="J7" i="7"/>
  <c r="J6" i="7"/>
  <c r="J5" i="7"/>
  <c r="I15" i="6"/>
  <c r="I5" i="6"/>
  <c r="J11" i="7" l="1"/>
  <c r="I11" i="7"/>
  <c r="I51" i="6"/>
  <c r="H51" i="6"/>
  <c r="J50" i="6"/>
  <c r="J49" i="6"/>
  <c r="J48" i="6"/>
  <c r="J47" i="6"/>
  <c r="J46" i="6"/>
  <c r="J45" i="6"/>
  <c r="J51" i="6" s="1"/>
  <c r="J41" i="6"/>
  <c r="I41" i="6"/>
  <c r="H41" i="6"/>
  <c r="J40" i="6"/>
  <c r="J39" i="6"/>
  <c r="J38" i="6"/>
  <c r="J37" i="6"/>
  <c r="J36" i="6"/>
  <c r="J35" i="6"/>
  <c r="I31" i="6"/>
  <c r="H31" i="6"/>
  <c r="J30" i="6"/>
  <c r="J29" i="6"/>
  <c r="J28" i="6"/>
  <c r="J27" i="6"/>
  <c r="J26" i="6"/>
  <c r="J25" i="6"/>
  <c r="I21" i="6"/>
  <c r="H21" i="6"/>
  <c r="J20" i="6"/>
  <c r="J19" i="6"/>
  <c r="J18" i="6"/>
  <c r="J17" i="6"/>
  <c r="J16" i="6"/>
  <c r="J15" i="6"/>
  <c r="J21" i="6" s="1"/>
  <c r="I11" i="6"/>
  <c r="H11" i="6"/>
  <c r="J10" i="6"/>
  <c r="J9" i="6"/>
  <c r="J8" i="6"/>
  <c r="J7" i="6"/>
  <c r="J6" i="6"/>
  <c r="J5" i="6"/>
  <c r="J31" i="6" l="1"/>
  <c r="J11" i="6"/>
  <c r="I51" i="5"/>
  <c r="H51" i="5"/>
  <c r="J50" i="5"/>
  <c r="J49" i="5"/>
  <c r="J48" i="5"/>
  <c r="J47" i="5"/>
  <c r="J46" i="5"/>
  <c r="J45" i="5"/>
  <c r="J51" i="5" s="1"/>
  <c r="J41" i="5"/>
  <c r="I41" i="5"/>
  <c r="H41" i="5"/>
  <c r="J40" i="5"/>
  <c r="J39" i="5"/>
  <c r="J38" i="5"/>
  <c r="J37" i="5"/>
  <c r="J36" i="5"/>
  <c r="J35" i="5"/>
  <c r="I31" i="5"/>
  <c r="H31" i="5"/>
  <c r="J30" i="5"/>
  <c r="J29" i="5"/>
  <c r="J28" i="5"/>
  <c r="J27" i="5"/>
  <c r="J26" i="5"/>
  <c r="J25" i="5"/>
  <c r="I21" i="5"/>
  <c r="H21" i="5"/>
  <c r="J20" i="5"/>
  <c r="J19" i="5"/>
  <c r="J18" i="5"/>
  <c r="J17" i="5"/>
  <c r="J16" i="5"/>
  <c r="J15" i="5"/>
  <c r="I11" i="5"/>
  <c r="H11" i="5"/>
  <c r="J10" i="5"/>
  <c r="J9" i="5"/>
  <c r="J8" i="5"/>
  <c r="J7" i="5"/>
  <c r="J6" i="5"/>
  <c r="J5" i="5"/>
  <c r="J21" i="5" l="1"/>
  <c r="J11" i="5"/>
  <c r="J31" i="5"/>
  <c r="I51" i="4"/>
  <c r="H51" i="4"/>
  <c r="J50" i="4"/>
  <c r="J49" i="4"/>
  <c r="J48" i="4"/>
  <c r="J47" i="4"/>
  <c r="J46" i="4"/>
  <c r="J45" i="4"/>
  <c r="J51" i="4" s="1"/>
  <c r="J41" i="4"/>
  <c r="I41" i="4"/>
  <c r="H41" i="4"/>
  <c r="J40" i="4"/>
  <c r="J39" i="4"/>
  <c r="J38" i="4"/>
  <c r="J37" i="4"/>
  <c r="J36" i="4"/>
  <c r="J35" i="4"/>
  <c r="I31" i="4"/>
  <c r="H31" i="4"/>
  <c r="J30" i="4"/>
  <c r="J29" i="4"/>
  <c r="J28" i="4"/>
  <c r="J31" i="4" s="1"/>
  <c r="J27" i="4"/>
  <c r="J26" i="4"/>
  <c r="J25" i="4"/>
  <c r="I21" i="4"/>
  <c r="H21" i="4"/>
  <c r="J20" i="4"/>
  <c r="J19" i="4"/>
  <c r="J18" i="4"/>
  <c r="J17" i="4"/>
  <c r="J16" i="4"/>
  <c r="J15" i="4"/>
  <c r="J21" i="4" s="1"/>
  <c r="I11" i="4"/>
  <c r="H11" i="4"/>
  <c r="J10" i="4"/>
  <c r="J9" i="4"/>
  <c r="J8" i="4"/>
  <c r="J7" i="4"/>
  <c r="J6" i="4"/>
  <c r="J5" i="4"/>
  <c r="J11" i="4" s="1"/>
  <c r="J5" i="3"/>
  <c r="I51" i="3" l="1"/>
  <c r="H51" i="3"/>
  <c r="J50" i="3"/>
  <c r="J49" i="3"/>
  <c r="J48" i="3"/>
  <c r="J47" i="3"/>
  <c r="J46" i="3"/>
  <c r="J45" i="3"/>
  <c r="J41" i="3"/>
  <c r="I41" i="3"/>
  <c r="H41" i="3"/>
  <c r="J40" i="3"/>
  <c r="J39" i="3"/>
  <c r="J38" i="3"/>
  <c r="J37" i="3"/>
  <c r="J36" i="3"/>
  <c r="J35" i="3"/>
  <c r="I31" i="3"/>
  <c r="H31" i="3"/>
  <c r="J30" i="3"/>
  <c r="J29" i="3"/>
  <c r="J28" i="3"/>
  <c r="J27" i="3"/>
  <c r="J26" i="3"/>
  <c r="J25" i="3"/>
  <c r="I21" i="3"/>
  <c r="H21" i="3"/>
  <c r="J20" i="3"/>
  <c r="J19" i="3"/>
  <c r="J18" i="3"/>
  <c r="J17" i="3"/>
  <c r="J16" i="3"/>
  <c r="J15" i="3"/>
  <c r="J21" i="3" s="1"/>
  <c r="I11" i="3"/>
  <c r="H11" i="3"/>
  <c r="J10" i="3"/>
  <c r="J9" i="3"/>
  <c r="J8" i="3"/>
  <c r="J7" i="3"/>
  <c r="J6" i="3"/>
  <c r="J11" i="3"/>
  <c r="J51" i="3" l="1"/>
  <c r="J31" i="3"/>
  <c r="I51" i="2"/>
  <c r="H51" i="2"/>
  <c r="J50" i="2"/>
  <c r="J49" i="2"/>
  <c r="J48" i="2"/>
  <c r="J47" i="2"/>
  <c r="J46" i="2"/>
  <c r="J45" i="2"/>
  <c r="I41" i="2"/>
  <c r="H41" i="2"/>
  <c r="J40" i="2"/>
  <c r="J39" i="2"/>
  <c r="J38" i="2"/>
  <c r="J37" i="2"/>
  <c r="J36" i="2"/>
  <c r="J35" i="2"/>
  <c r="I31" i="2"/>
  <c r="H31" i="2"/>
  <c r="J30" i="2"/>
  <c r="J29" i="2"/>
  <c r="J28" i="2"/>
  <c r="J27" i="2"/>
  <c r="J26" i="2"/>
  <c r="J25" i="2"/>
  <c r="J51" i="2" l="1"/>
  <c r="J31" i="2"/>
  <c r="J41" i="2"/>
  <c r="I21" i="2"/>
  <c r="H21" i="2"/>
  <c r="J20" i="2"/>
  <c r="J19" i="2"/>
  <c r="J18" i="2"/>
  <c r="J17" i="2"/>
  <c r="J16" i="2"/>
  <c r="J15" i="2"/>
  <c r="J21" i="2" s="1"/>
  <c r="I11" i="2"/>
  <c r="H11" i="2"/>
  <c r="J10" i="2"/>
  <c r="J9" i="2"/>
  <c r="J8" i="2"/>
  <c r="J7" i="2"/>
  <c r="J6" i="2"/>
  <c r="J5" i="2"/>
  <c r="J11" i="2" l="1"/>
</calcChain>
</file>

<file path=xl/sharedStrings.xml><?xml version="1.0" encoding="utf-8"?>
<sst xmlns="http://schemas.openxmlformats.org/spreadsheetml/2006/main" count="4040" uniqueCount="85">
  <si>
    <t>TARİH:</t>
  </si>
  <si>
    <t>CUMARTESİ</t>
  </si>
  <si>
    <t>TAKİP NO</t>
  </si>
  <si>
    <t>KALİTE</t>
  </si>
  <si>
    <t>GÖVDE KALINLIK</t>
  </si>
  <si>
    <t>TABAN</t>
  </si>
  <si>
    <t>ÜRÜN ADI</t>
  </si>
  <si>
    <t>KAPSÜL KALİTE</t>
  </si>
  <si>
    <t>MİKTAR</t>
  </si>
  <si>
    <t>ÜRETİM</t>
  </si>
  <si>
    <t>KALAN</t>
  </si>
  <si>
    <t>Not: Liste dışı ürün yapılmayacak. Listelere adetler ve ürün tanımı düzgün yazılacaktır.</t>
  </si>
  <si>
    <t>ÇAYDANLIK KEÇE POLİSAJ</t>
  </si>
  <si>
    <t>ÇAYDANLIK İÇ POLİSAJ ZIMPARA</t>
  </si>
  <si>
    <t>ÇAYDANLIK DIŞ POLİSAJ BEYAZ</t>
  </si>
  <si>
    <t>ÇAYDANLIK KAYNAK</t>
  </si>
  <si>
    <t>ÇAYDANLIK KAPAK POLİSAJ</t>
  </si>
  <si>
    <t>EMZİK</t>
  </si>
  <si>
    <t>VİDA BOYU</t>
  </si>
  <si>
    <t>HELVANE</t>
  </si>
  <si>
    <t>YONCA JUMBO 10 NUMARA ÇAYDANLIK</t>
  </si>
  <si>
    <t>ŞELALE NO 5</t>
  </si>
  <si>
    <t>**</t>
  </si>
  <si>
    <t>YONCA JUMBO 10 NUMARA ÇAYDANLIK ÇAYDANLIK KAPAĞI</t>
  </si>
  <si>
    <t>CUMA</t>
  </si>
  <si>
    <t>YONCA MEGA 7NO BELİNDA ÇAYDANLIK</t>
  </si>
  <si>
    <t>DİK</t>
  </si>
  <si>
    <t>10925-1</t>
  </si>
  <si>
    <t xml:space="preserve">DİK </t>
  </si>
  <si>
    <t>LİNES 7 NO AİLE AYPERİ ÇAYDANLIK</t>
  </si>
  <si>
    <t>PAZARTESİ</t>
  </si>
  <si>
    <t>YONCA TABANSIZ MEGA 7NO BELİNDA DEMLİK</t>
  </si>
  <si>
    <t>LİNES TABANSIZ 7 NO AİLE AYPERİ DEMLİK</t>
  </si>
  <si>
    <t>DİLA - 4 NO</t>
  </si>
  <si>
    <t>STAR - 2 NO</t>
  </si>
  <si>
    <t>SALI</t>
  </si>
  <si>
    <t>ÇARŞAMBA</t>
  </si>
  <si>
    <t>GEMAK 2 LT KÜRE</t>
  </si>
  <si>
    <t>GEMAK 1,5 LT KÜRE</t>
  </si>
  <si>
    <t>GEMAK 1 LT KÜRE</t>
  </si>
  <si>
    <t>S-4</t>
  </si>
  <si>
    <t>S-3</t>
  </si>
  <si>
    <t>COOKER 7 NO ORTA AYCAN ÇAYDANLIK</t>
  </si>
  <si>
    <t>ES PİRAMİT KÜRE NO -4</t>
  </si>
  <si>
    <t>PERŞEMBE</t>
  </si>
  <si>
    <t>KÜRE - 4</t>
  </si>
  <si>
    <t>KÜRE - 3</t>
  </si>
  <si>
    <t>COOKER 7 NO ORTA AYCAN ÇAYDANLIK SADE PARLAK</t>
  </si>
  <si>
    <t>TABANSIZ 7 NO ORTA AYCAN DEMLİK SADE PARLAK</t>
  </si>
  <si>
    <t>COOKER 10 NO AİLE AYCAN ÇAYDANLIK SADE PARLAK</t>
  </si>
  <si>
    <t>LİNES 10 NO AİLE AYCAN ÇAYDANLIK SADE PARLAK</t>
  </si>
  <si>
    <t>TABANSIZ 10 NO AİLE AYCAN DEMLİK SADE PARLAK</t>
  </si>
  <si>
    <t xml:space="preserve"> </t>
  </si>
  <si>
    <t>COOKER TABANSIZ 10 NO AİLE AYCAN DEMLİK SADE PARLAK</t>
  </si>
  <si>
    <t>LİNES TABANSIZ 10 NO AİLE AYCAN DEMLİK SADE PARLAK</t>
  </si>
  <si>
    <t>100925-1</t>
  </si>
  <si>
    <t>COOKER 3 NO ORTA YILDIZ ÇAYDANLIK</t>
  </si>
  <si>
    <t>COOKER TABANSIZ 3 NO ORTA YILDIZ DEMLİK</t>
  </si>
  <si>
    <t>COOKER 7 NO AİLE YILDIZ ÇAYDANLIK</t>
  </si>
  <si>
    <t>COOKER TABANSIZ 7 NO AİLE YILDIZ DEMLİK</t>
  </si>
  <si>
    <t>COOKER 10 NO MEGA YILDIZ ÇAYDANLIK</t>
  </si>
  <si>
    <t>COOKER TABANSIZ 10 NO MEGA YILDIZ DEMLİK</t>
  </si>
  <si>
    <t>LİNES 3 NO ORTA KÜRE ZEYCAN ÇAYDANLIK</t>
  </si>
  <si>
    <t>LİNES TABANSIZ 3 NO ORTA KÜRE ZEYCAN DEMLİK</t>
  </si>
  <si>
    <t>LİNES 5 NO AİLE NAZ MODEL ÇAYDANLIK - ÇİZGİLİ SADE</t>
  </si>
  <si>
    <t>LİNES TABANSIZ 5 NO AİLE NAZ MODEL DEMLİK - ÇİZGİLİ SADE</t>
  </si>
  <si>
    <t>LİNES 3 NO ORTA AYPERİ MODEL ÇAYDANLIK - ÇİZGİLİ SADE</t>
  </si>
  <si>
    <t>LİNES 3 NO ORTA AYPERİ MODEL DEMLİK - ÇİZGİLİ SADE</t>
  </si>
  <si>
    <t>ŞAHMERAN SEMAVER DEMLİK - SADE PARLAK</t>
  </si>
  <si>
    <t>LİNES 1,5 LT KÜRE ÇAYDANLIK YARI SATENLİ -24 PCS</t>
  </si>
  <si>
    <t>LİNES 1,5 LT KÜRE ÇAYDANLIK YARI SATENLİ - GÜMRÜK - 24 PCS</t>
  </si>
  <si>
    <t>LİNES 1 LT KÜRE ÇAYDANLIK YARI SATENLİ -18 PCS</t>
  </si>
  <si>
    <t>LİNES 1 LT KÜRE ÇAYDANLIK YARI SATENLİ - GÜMRÜK - 18 PCS</t>
  </si>
  <si>
    <t>0,,80</t>
  </si>
  <si>
    <t xml:space="preserve">HELVANE </t>
  </si>
  <si>
    <t>YONCA JUMBO BOY DAMLA MODEL ÇAYDANLIK - SADE PARLAK</t>
  </si>
  <si>
    <t>YONCA JUMBO BOY DAMLA MODEL DEMLİK - SADE PARLAK</t>
  </si>
  <si>
    <t>YONCA 2 LT KÜRE MODEL ÇAYDANLIK - SADE PARLAK</t>
  </si>
  <si>
    <t>YONCA 2 LT KÜRE MODEL ÇAYDANLIK - SADE PARLAK GÜMRÜK MALI</t>
  </si>
  <si>
    <t>LİNES 1,5 LT KÜRE MODEL DEMLİK - YARI SATENLİ</t>
  </si>
  <si>
    <t>YONCA 1,5 LT KÜRE MODEL DEMLİK - SADE PARLAK</t>
  </si>
  <si>
    <t>YONCA 1,5 LT KÜRE MODEL DEMLİK - SADE PARLAK - GÜMRÜK</t>
  </si>
  <si>
    <t>LİNES 1 LT KÜRE MODEL DEMLİK - YARI SATENLİ</t>
  </si>
  <si>
    <t>YONCA 1 LT KÜRE MODEL DEMLİK - SADE PARLAK</t>
  </si>
  <si>
    <t>YONCA 1 LT KÜRE MODEL DEMLİK - SADE PARLAK - GÜMRÜK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</si>
</sst>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4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3" fontId="1" fillId="0" borderId="4" xfId="0" applyNumberFormat="1" applyFont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3" fontId="1" fillId="0" borderId="0" xfId="0" applyNumberFormat="1" applyFont="1" applyBorder="1" applyAlignment="1">
      <alignment horizontal="center" vertical="center"/>
    </xf>
    <xf numFmtId="3" fontId="3" fillId="0" borderId="0" xfId="0" applyNumberFormat="1" applyFont="1" applyBorder="1" applyAlignment="1">
      <alignment horizontal="center" vertical="center"/>
    </xf>
    <xf numFmtId="0" fontId="0" fillId="0" borderId="0" xfId="0" applyFill="1"/>
    <xf numFmtId="3" fontId="1" fillId="3" borderId="4" xfId="0" applyNumberFormat="1" applyFont="1" applyFill="1" applyBorder="1" applyAlignment="1">
      <alignment horizontal="center" vertical="center"/>
    </xf>
    <xf numFmtId="3" fontId="1" fillId="0" borderId="4" xfId="0" applyNumberFormat="1" applyFont="1" applyFill="1" applyBorder="1" applyAlignment="1">
      <alignment horizontal="center" vertical="center"/>
    </xf>
    <xf numFmtId="3" fontId="1" fillId="4" borderId="4" xfId="0" applyNumberFormat="1" applyFont="1" applyFill="1" applyBorder="1" applyAlignment="1">
      <alignment horizontal="center" vertical="center"/>
    </xf>
    <xf numFmtId="0" fontId="0" fillId="0" borderId="0" xfId="0"/>
    <xf numFmtId="3" fontId="3" fillId="5" borderId="4" xfId="0" applyNumberFormat="1" applyFont="1" applyFill="1" applyBorder="1" applyAlignment="1">
      <alignment horizontal="center" vertical="center"/>
    </xf>
    <xf numFmtId="3" fontId="1" fillId="5" borderId="4" xfId="0" applyNumberFormat="1" applyFont="1" applyFill="1" applyBorder="1" applyAlignment="1">
      <alignment horizontal="center" vertical="center"/>
    </xf>
    <xf numFmtId="164" fontId="1" fillId="0" borderId="0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36090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55709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36090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54962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36090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7182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36090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54962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36090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54962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36090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7182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36090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7182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36090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54962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36090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7182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36090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7182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36090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7182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36090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7182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36090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7182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36090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7182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36090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7182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36090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7182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36090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7182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36090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7182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36090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7182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36090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7182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36090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7182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36090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7182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36090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7182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36090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7182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36090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7182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36090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7182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36090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7182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36090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7182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36090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7182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36090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7182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36090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7182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36090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7182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36090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7182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36090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7182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36090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7182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73328</xdr:colOff>
      <xdr:row>1</xdr:row>
      <xdr:rowOff>39074</xdr:rowOff>
    </xdr:from>
    <xdr:to>
      <xdr:col>1</xdr:col>
      <xdr:colOff>36090</xdr:colOff>
      <xdr:row>1</xdr:row>
      <xdr:rowOff>352278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8" y="420074"/>
          <a:ext cx="1037182" cy="31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opLeftCell="A25" zoomScale="85" zoomScaleNormal="85" workbookViewId="0">
      <selection activeCell="E47" sqref="E47"/>
    </sheetView>
  </sheetViews>
  <sheetFormatPr defaultRowHeight="14.4" x14ac:dyDescent="0.3"/>
  <cols>
    <col min="1" max="1" width="15.6640625" customWidth="1"/>
    <col min="2" max="3" width="12.6640625" customWidth="1"/>
    <col min="4" max="4" width="15.6640625" customWidth="1"/>
    <col min="5" max="5" width="80.6640625" customWidth="1"/>
    <col min="6" max="6" width="20.6640625" style="15" customWidth="1"/>
    <col min="7" max="7" width="12.33203125" customWidth="1"/>
    <col min="8" max="10" width="15.6640625" customWidth="1"/>
  </cols>
  <sheetData>
    <row r="1" spans="1:10" s="1" customFormat="1" ht="30" customHeight="1" x14ac:dyDescent="0.3">
      <c r="F1" s="2"/>
      <c r="G1" s="2"/>
      <c r="H1" s="3" t="s">
        <v>0</v>
      </c>
      <c r="I1" s="27">
        <v>45885</v>
      </c>
      <c r="J1" s="27"/>
    </row>
    <row r="2" spans="1:10" ht="40.049999999999997" customHeight="1" x14ac:dyDescent="0.3">
      <c r="A2" s="28" t="s">
        <v>1</v>
      </c>
      <c r="B2" s="29"/>
      <c r="C2" s="29"/>
      <c r="D2" s="29"/>
      <c r="E2" s="29"/>
      <c r="F2" s="29"/>
      <c r="G2" s="29"/>
      <c r="H2" s="29"/>
      <c r="I2" s="29"/>
      <c r="J2" s="30"/>
    </row>
    <row r="3" spans="1:10" ht="30" customHeight="1" x14ac:dyDescent="0.3">
      <c r="A3" s="31" t="s">
        <v>12</v>
      </c>
      <c r="B3" s="31"/>
      <c r="C3" s="31"/>
      <c r="D3" s="31"/>
      <c r="E3" s="31"/>
      <c r="F3" s="31"/>
      <c r="G3" s="31"/>
      <c r="H3" s="31"/>
      <c r="I3" s="31"/>
      <c r="J3" s="31"/>
    </row>
    <row r="4" spans="1:10" ht="30" customHeight="1" x14ac:dyDescent="0.3">
      <c r="A4" s="4" t="s">
        <v>2</v>
      </c>
      <c r="B4" s="4" t="s">
        <v>3</v>
      </c>
      <c r="C4" s="5" t="s">
        <v>4</v>
      </c>
      <c r="D4" s="5" t="s">
        <v>5</v>
      </c>
      <c r="E4" s="4" t="s">
        <v>6</v>
      </c>
      <c r="F4" s="5" t="s">
        <v>17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0" ht="19.95" customHeight="1" x14ac:dyDescent="0.3">
      <c r="A5" s="4">
        <v>130925</v>
      </c>
      <c r="B5" s="4">
        <v>304</v>
      </c>
      <c r="C5" s="6">
        <v>0.8</v>
      </c>
      <c r="D5" s="6" t="s">
        <v>19</v>
      </c>
      <c r="E5" s="7" t="s">
        <v>20</v>
      </c>
      <c r="F5" s="4" t="s">
        <v>21</v>
      </c>
      <c r="G5" s="4">
        <v>430</v>
      </c>
      <c r="H5" s="8">
        <v>5000</v>
      </c>
      <c r="I5" s="9"/>
      <c r="J5" s="8">
        <f t="shared" ref="J5:J10" si="0">H5-I5</f>
        <v>5000</v>
      </c>
    </row>
    <row r="6" spans="1:10" ht="19.95" customHeight="1" x14ac:dyDescent="0.3">
      <c r="A6" s="4"/>
      <c r="B6" s="4"/>
      <c r="C6" s="6"/>
      <c r="D6" s="6"/>
      <c r="E6" s="7"/>
      <c r="F6" s="4"/>
      <c r="G6" s="8"/>
      <c r="H6" s="8"/>
      <c r="I6" s="9"/>
      <c r="J6" s="8">
        <f t="shared" si="0"/>
        <v>0</v>
      </c>
    </row>
    <row r="7" spans="1:10" ht="19.95" customHeight="1" x14ac:dyDescent="0.3">
      <c r="A7" s="4"/>
      <c r="B7" s="4"/>
      <c r="C7" s="6"/>
      <c r="D7" s="6"/>
      <c r="E7" s="7"/>
      <c r="F7" s="4"/>
      <c r="G7" s="8"/>
      <c r="H7" s="8"/>
      <c r="I7" s="9"/>
      <c r="J7" s="8">
        <f t="shared" si="0"/>
        <v>0</v>
      </c>
    </row>
    <row r="8" spans="1:10" ht="19.95" customHeight="1" x14ac:dyDescent="0.3">
      <c r="A8" s="4"/>
      <c r="B8" s="4"/>
      <c r="C8" s="6"/>
      <c r="D8" s="6"/>
      <c r="E8" s="7"/>
      <c r="F8" s="4"/>
      <c r="G8" s="8"/>
      <c r="H8" s="8"/>
      <c r="I8" s="9"/>
      <c r="J8" s="8">
        <f t="shared" si="0"/>
        <v>0</v>
      </c>
    </row>
    <row r="9" spans="1:10" ht="19.95" customHeight="1" x14ac:dyDescent="0.3">
      <c r="A9" s="4"/>
      <c r="B9" s="4"/>
      <c r="C9" s="6"/>
      <c r="D9" s="6"/>
      <c r="E9" s="7"/>
      <c r="F9" s="4"/>
      <c r="G9" s="8"/>
      <c r="H9" s="8"/>
      <c r="I9" s="9"/>
      <c r="J9" s="8">
        <f t="shared" si="0"/>
        <v>0</v>
      </c>
    </row>
    <row r="10" spans="1:10" ht="19.95" customHeight="1" x14ac:dyDescent="0.3">
      <c r="A10" s="4"/>
      <c r="B10" s="4"/>
      <c r="C10" s="6"/>
      <c r="D10" s="6"/>
      <c r="E10" s="7"/>
      <c r="F10" s="4"/>
      <c r="G10" s="4"/>
      <c r="H10" s="8"/>
      <c r="I10" s="9"/>
      <c r="J10" s="8">
        <f t="shared" si="0"/>
        <v>0</v>
      </c>
    </row>
    <row r="11" spans="1:10" ht="19.95" customHeight="1" x14ac:dyDescent="0.3">
      <c r="A11" s="10"/>
      <c r="B11" s="10"/>
      <c r="C11" s="10"/>
      <c r="D11" s="10"/>
      <c r="E11" s="11"/>
      <c r="F11" s="10"/>
      <c r="G11" s="12"/>
      <c r="H11" s="13">
        <f>SUM(H5:H10)</f>
        <v>5000</v>
      </c>
      <c r="I11" s="14">
        <f>SUM(I5:I10)</f>
        <v>0</v>
      </c>
      <c r="J11" s="8">
        <f>SUM(J5:J10)</f>
        <v>5000</v>
      </c>
    </row>
    <row r="13" spans="1:10" ht="30" customHeight="1" x14ac:dyDescent="0.3">
      <c r="A13" s="31" t="s">
        <v>15</v>
      </c>
      <c r="B13" s="31"/>
      <c r="C13" s="31"/>
      <c r="D13" s="31"/>
      <c r="E13" s="31"/>
      <c r="F13" s="31"/>
      <c r="G13" s="31"/>
      <c r="H13" s="31"/>
      <c r="I13" s="31"/>
      <c r="J13" s="31"/>
    </row>
    <row r="14" spans="1:10" ht="30" customHeight="1" x14ac:dyDescent="0.3">
      <c r="A14" s="4" t="s">
        <v>2</v>
      </c>
      <c r="B14" s="4" t="s">
        <v>3</v>
      </c>
      <c r="C14" s="5" t="s">
        <v>4</v>
      </c>
      <c r="D14" s="5" t="s">
        <v>5</v>
      </c>
      <c r="E14" s="4" t="s">
        <v>6</v>
      </c>
      <c r="F14" s="5" t="s">
        <v>17</v>
      </c>
      <c r="G14" s="5" t="s">
        <v>7</v>
      </c>
      <c r="H14" s="4" t="s">
        <v>8</v>
      </c>
      <c r="I14" s="4" t="s">
        <v>9</v>
      </c>
      <c r="J14" s="4" t="s">
        <v>10</v>
      </c>
    </row>
    <row r="15" spans="1:10" ht="19.95" customHeight="1" x14ac:dyDescent="0.3">
      <c r="A15" s="4"/>
      <c r="B15" s="4"/>
      <c r="C15" s="6"/>
      <c r="D15" s="6"/>
      <c r="E15" s="7"/>
      <c r="F15" s="4"/>
      <c r="G15" s="4"/>
      <c r="H15" s="8"/>
      <c r="I15" s="9"/>
      <c r="J15" s="8">
        <f t="shared" ref="J15:J20" si="1">H15-I15</f>
        <v>0</v>
      </c>
    </row>
    <row r="16" spans="1:10" ht="19.95" customHeight="1" x14ac:dyDescent="0.3">
      <c r="A16" s="4"/>
      <c r="B16" s="4"/>
      <c r="C16" s="6"/>
      <c r="D16" s="6"/>
      <c r="E16" s="7"/>
      <c r="F16" s="4"/>
      <c r="G16" s="4"/>
      <c r="H16" s="8"/>
      <c r="I16" s="9"/>
      <c r="J16" s="8">
        <f t="shared" si="1"/>
        <v>0</v>
      </c>
    </row>
    <row r="17" spans="1:10" ht="19.95" customHeight="1" x14ac:dyDescent="0.3">
      <c r="A17" s="4"/>
      <c r="B17" s="4"/>
      <c r="C17" s="6"/>
      <c r="D17" s="6"/>
      <c r="E17" s="7"/>
      <c r="F17" s="4"/>
      <c r="G17" s="4"/>
      <c r="H17" s="8"/>
      <c r="I17" s="9"/>
      <c r="J17" s="8">
        <f t="shared" si="1"/>
        <v>0</v>
      </c>
    </row>
    <row r="18" spans="1:10" ht="19.95" customHeight="1" x14ac:dyDescent="0.3">
      <c r="A18" s="4"/>
      <c r="B18" s="4"/>
      <c r="C18" s="6"/>
      <c r="D18" s="6"/>
      <c r="E18" s="7"/>
      <c r="F18" s="4"/>
      <c r="G18" s="8"/>
      <c r="H18" s="8"/>
      <c r="I18" s="9"/>
      <c r="J18" s="8">
        <f t="shared" si="1"/>
        <v>0</v>
      </c>
    </row>
    <row r="19" spans="1:10" ht="19.95" customHeight="1" x14ac:dyDescent="0.3">
      <c r="A19" s="4"/>
      <c r="B19" s="4"/>
      <c r="C19" s="6"/>
      <c r="D19" s="6"/>
      <c r="E19" s="7"/>
      <c r="F19" s="4"/>
      <c r="G19" s="4"/>
      <c r="H19" s="8"/>
      <c r="I19" s="9"/>
      <c r="J19" s="8">
        <f t="shared" si="1"/>
        <v>0</v>
      </c>
    </row>
    <row r="20" spans="1:10" ht="19.95" customHeight="1" x14ac:dyDescent="0.3">
      <c r="A20" s="4"/>
      <c r="B20" s="4"/>
      <c r="C20" s="6"/>
      <c r="D20" s="6"/>
      <c r="E20" s="7"/>
      <c r="F20" s="4"/>
      <c r="G20" s="4"/>
      <c r="H20" s="8"/>
      <c r="I20" s="9"/>
      <c r="J20" s="8">
        <f t="shared" si="1"/>
        <v>0</v>
      </c>
    </row>
    <row r="21" spans="1:10" ht="19.95" customHeight="1" x14ac:dyDescent="0.3">
      <c r="A21" s="10"/>
      <c r="B21" s="10"/>
      <c r="C21" s="10"/>
      <c r="D21" s="10"/>
      <c r="E21" s="11"/>
      <c r="F21" s="10"/>
      <c r="G21" s="12"/>
      <c r="H21" s="8">
        <f>SUM(H15:H20)</f>
        <v>0</v>
      </c>
      <c r="I21" s="9">
        <f>SUM(I15:I20)</f>
        <v>0</v>
      </c>
      <c r="J21" s="8">
        <f>SUM(J15:J20)</f>
        <v>0</v>
      </c>
    </row>
    <row r="22" spans="1:10" ht="19.95" customHeight="1" x14ac:dyDescent="0.3">
      <c r="A22" s="16"/>
      <c r="B22" s="16"/>
      <c r="C22" s="16"/>
      <c r="D22" s="16"/>
      <c r="E22" s="17"/>
      <c r="F22" s="16"/>
      <c r="G22" s="16"/>
      <c r="H22" s="18"/>
      <c r="I22" s="19"/>
      <c r="J22" s="18"/>
    </row>
    <row r="23" spans="1:10" ht="30" customHeight="1" x14ac:dyDescent="0.3">
      <c r="A23" s="31" t="s">
        <v>13</v>
      </c>
      <c r="B23" s="31"/>
      <c r="C23" s="31"/>
      <c r="D23" s="31"/>
      <c r="E23" s="31"/>
      <c r="F23" s="31"/>
      <c r="G23" s="31"/>
      <c r="H23" s="31"/>
      <c r="I23" s="31"/>
      <c r="J23" s="31"/>
    </row>
    <row r="24" spans="1:10" ht="30" customHeight="1" x14ac:dyDescent="0.3">
      <c r="A24" s="4" t="s">
        <v>2</v>
      </c>
      <c r="B24" s="4" t="s">
        <v>3</v>
      </c>
      <c r="C24" s="5" t="s">
        <v>4</v>
      </c>
      <c r="D24" s="5" t="s">
        <v>5</v>
      </c>
      <c r="E24" s="4" t="s">
        <v>6</v>
      </c>
      <c r="F24" s="5" t="s">
        <v>17</v>
      </c>
      <c r="G24" s="5" t="s">
        <v>7</v>
      </c>
      <c r="H24" s="4" t="s">
        <v>8</v>
      </c>
      <c r="I24" s="4" t="s">
        <v>9</v>
      </c>
      <c r="J24" s="4" t="s">
        <v>10</v>
      </c>
    </row>
    <row r="25" spans="1:10" ht="19.95" customHeight="1" x14ac:dyDescent="0.3">
      <c r="A25" s="4"/>
      <c r="B25" s="4"/>
      <c r="C25" s="6"/>
      <c r="D25" s="6"/>
      <c r="E25" s="7"/>
      <c r="F25" s="4"/>
      <c r="G25" s="4"/>
      <c r="H25" s="8"/>
      <c r="I25" s="9"/>
      <c r="J25" s="8">
        <f t="shared" ref="J25:J30" si="2">H25-I25</f>
        <v>0</v>
      </c>
    </row>
    <row r="26" spans="1:10" ht="19.95" customHeight="1" x14ac:dyDescent="0.3">
      <c r="A26" s="4"/>
      <c r="B26" s="4"/>
      <c r="C26" s="6"/>
      <c r="D26" s="6"/>
      <c r="E26" s="7"/>
      <c r="F26" s="4"/>
      <c r="G26" s="4"/>
      <c r="H26" s="8"/>
      <c r="I26" s="9"/>
      <c r="J26" s="8">
        <f t="shared" si="2"/>
        <v>0</v>
      </c>
    </row>
    <row r="27" spans="1:10" ht="19.95" customHeight="1" x14ac:dyDescent="0.3">
      <c r="A27" s="4"/>
      <c r="B27" s="4"/>
      <c r="C27" s="6"/>
      <c r="D27" s="6"/>
      <c r="E27" s="7"/>
      <c r="F27" s="4"/>
      <c r="G27" s="4"/>
      <c r="H27" s="8"/>
      <c r="I27" s="9"/>
      <c r="J27" s="8">
        <f t="shared" si="2"/>
        <v>0</v>
      </c>
    </row>
    <row r="28" spans="1:10" ht="19.95" customHeight="1" x14ac:dyDescent="0.3">
      <c r="A28" s="4"/>
      <c r="B28" s="4"/>
      <c r="C28" s="6"/>
      <c r="D28" s="6"/>
      <c r="E28" s="7"/>
      <c r="F28" s="4"/>
      <c r="G28" s="8"/>
      <c r="H28" s="8"/>
      <c r="I28" s="9"/>
      <c r="J28" s="8">
        <f t="shared" si="2"/>
        <v>0</v>
      </c>
    </row>
    <row r="29" spans="1:10" ht="19.95" customHeight="1" x14ac:dyDescent="0.3">
      <c r="A29" s="4"/>
      <c r="B29" s="4"/>
      <c r="C29" s="6"/>
      <c r="D29" s="6"/>
      <c r="E29" s="7"/>
      <c r="F29" s="4"/>
      <c r="G29" s="4"/>
      <c r="H29" s="8"/>
      <c r="I29" s="9"/>
      <c r="J29" s="8">
        <f t="shared" si="2"/>
        <v>0</v>
      </c>
    </row>
    <row r="30" spans="1:10" ht="19.95" customHeight="1" x14ac:dyDescent="0.3">
      <c r="A30" s="4"/>
      <c r="B30" s="4"/>
      <c r="C30" s="6"/>
      <c r="D30" s="6"/>
      <c r="E30" s="7"/>
      <c r="F30" s="4"/>
      <c r="G30" s="4"/>
      <c r="H30" s="8"/>
      <c r="I30" s="9"/>
      <c r="J30" s="8">
        <f t="shared" si="2"/>
        <v>0</v>
      </c>
    </row>
    <row r="31" spans="1:10" ht="19.95" customHeight="1" x14ac:dyDescent="0.3">
      <c r="A31" s="10"/>
      <c r="B31" s="10"/>
      <c r="C31" s="10"/>
      <c r="D31" s="10"/>
      <c r="E31" s="11"/>
      <c r="F31" s="10"/>
      <c r="G31" s="12"/>
      <c r="H31" s="8">
        <f>SUM(H25:H30)</f>
        <v>0</v>
      </c>
      <c r="I31" s="9">
        <f>SUM(I25:I30)</f>
        <v>0</v>
      </c>
      <c r="J31" s="8">
        <f>SUM(J25:J30)</f>
        <v>0</v>
      </c>
    </row>
    <row r="32" spans="1:10" ht="19.95" customHeight="1" x14ac:dyDescent="0.3">
      <c r="A32" s="16"/>
      <c r="B32" s="16"/>
      <c r="C32" s="16"/>
      <c r="D32" s="16"/>
      <c r="E32" s="17"/>
      <c r="F32" s="16"/>
      <c r="G32" s="16"/>
      <c r="H32" s="18"/>
      <c r="I32" s="19"/>
      <c r="J32" s="18"/>
    </row>
    <row r="33" spans="1:10" ht="30" customHeight="1" x14ac:dyDescent="0.3">
      <c r="A33" s="31" t="s">
        <v>14</v>
      </c>
      <c r="B33" s="31"/>
      <c r="C33" s="31"/>
      <c r="D33" s="31"/>
      <c r="E33" s="31"/>
      <c r="F33" s="31"/>
      <c r="G33" s="31"/>
      <c r="H33" s="31"/>
      <c r="I33" s="31"/>
      <c r="J33" s="31"/>
    </row>
    <row r="34" spans="1:10" ht="30" customHeight="1" x14ac:dyDescent="0.3">
      <c r="A34" s="4" t="s">
        <v>2</v>
      </c>
      <c r="B34" s="4" t="s">
        <v>3</v>
      </c>
      <c r="C34" s="5" t="s">
        <v>4</v>
      </c>
      <c r="D34" s="5" t="s">
        <v>5</v>
      </c>
      <c r="E34" s="4" t="s">
        <v>6</v>
      </c>
      <c r="F34" s="5" t="s">
        <v>17</v>
      </c>
      <c r="G34" s="5" t="s">
        <v>7</v>
      </c>
      <c r="H34" s="4" t="s">
        <v>8</v>
      </c>
      <c r="I34" s="4" t="s">
        <v>9</v>
      </c>
      <c r="J34" s="4" t="s">
        <v>10</v>
      </c>
    </row>
    <row r="35" spans="1:10" ht="19.95" customHeight="1" x14ac:dyDescent="0.3">
      <c r="A35" s="4"/>
      <c r="B35" s="4"/>
      <c r="C35" s="6"/>
      <c r="D35" s="6"/>
      <c r="E35" s="7"/>
      <c r="F35" s="4"/>
      <c r="G35" s="4"/>
      <c r="H35" s="8"/>
      <c r="I35" s="9"/>
      <c r="J35" s="8">
        <f t="shared" ref="J35:J40" si="3">H35-I35</f>
        <v>0</v>
      </c>
    </row>
    <row r="36" spans="1:10" ht="19.95" customHeight="1" x14ac:dyDescent="0.3">
      <c r="A36" s="4"/>
      <c r="B36" s="4"/>
      <c r="C36" s="6"/>
      <c r="D36" s="6"/>
      <c r="E36" s="7"/>
      <c r="F36" s="4"/>
      <c r="G36" s="4"/>
      <c r="H36" s="8"/>
      <c r="I36" s="9"/>
      <c r="J36" s="8">
        <f t="shared" si="3"/>
        <v>0</v>
      </c>
    </row>
    <row r="37" spans="1:10" ht="19.95" customHeight="1" x14ac:dyDescent="0.3">
      <c r="A37" s="4"/>
      <c r="B37" s="4"/>
      <c r="C37" s="6"/>
      <c r="D37" s="6"/>
      <c r="E37" s="7"/>
      <c r="F37" s="4"/>
      <c r="G37" s="4"/>
      <c r="H37" s="8"/>
      <c r="I37" s="9"/>
      <c r="J37" s="8">
        <f t="shared" si="3"/>
        <v>0</v>
      </c>
    </row>
    <row r="38" spans="1:10" ht="19.95" customHeight="1" x14ac:dyDescent="0.3">
      <c r="A38" s="4"/>
      <c r="B38" s="4"/>
      <c r="C38" s="6"/>
      <c r="D38" s="6"/>
      <c r="E38" s="7"/>
      <c r="F38" s="4"/>
      <c r="G38" s="8"/>
      <c r="H38" s="8"/>
      <c r="I38" s="9"/>
      <c r="J38" s="8">
        <f t="shared" si="3"/>
        <v>0</v>
      </c>
    </row>
    <row r="39" spans="1:10" ht="19.95" customHeight="1" x14ac:dyDescent="0.3">
      <c r="A39" s="4"/>
      <c r="B39" s="4"/>
      <c r="C39" s="6"/>
      <c r="D39" s="6"/>
      <c r="E39" s="7"/>
      <c r="F39" s="4"/>
      <c r="G39" s="4"/>
      <c r="H39" s="8"/>
      <c r="I39" s="9"/>
      <c r="J39" s="8">
        <f t="shared" si="3"/>
        <v>0</v>
      </c>
    </row>
    <row r="40" spans="1:10" ht="19.95" customHeight="1" x14ac:dyDescent="0.3">
      <c r="A40" s="4"/>
      <c r="B40" s="4"/>
      <c r="C40" s="6"/>
      <c r="D40" s="6"/>
      <c r="E40" s="7"/>
      <c r="F40" s="4"/>
      <c r="G40" s="4"/>
      <c r="H40" s="8"/>
      <c r="I40" s="9"/>
      <c r="J40" s="8">
        <f t="shared" si="3"/>
        <v>0</v>
      </c>
    </row>
    <row r="41" spans="1:10" ht="19.95" customHeight="1" x14ac:dyDescent="0.3">
      <c r="A41" s="10"/>
      <c r="B41" s="10"/>
      <c r="C41" s="10"/>
      <c r="D41" s="10"/>
      <c r="E41" s="11"/>
      <c r="F41" s="10"/>
      <c r="G41" s="12"/>
      <c r="H41" s="8">
        <f>SUM(H35:H40)</f>
        <v>0</v>
      </c>
      <c r="I41" s="9">
        <f>SUM(I35:I40)</f>
        <v>0</v>
      </c>
      <c r="J41" s="8">
        <f>SUM(J35:J40)</f>
        <v>0</v>
      </c>
    </row>
    <row r="42" spans="1:10" ht="19.95" customHeight="1" x14ac:dyDescent="0.3">
      <c r="A42" s="16"/>
      <c r="B42" s="16"/>
      <c r="C42" s="16"/>
      <c r="D42" s="16"/>
      <c r="E42" s="17"/>
      <c r="F42" s="16"/>
      <c r="G42" s="16"/>
      <c r="H42" s="18"/>
      <c r="I42" s="19"/>
      <c r="J42" s="18"/>
    </row>
    <row r="43" spans="1:10" ht="30" customHeight="1" x14ac:dyDescent="0.3">
      <c r="A43" s="31" t="s">
        <v>16</v>
      </c>
      <c r="B43" s="31"/>
      <c r="C43" s="31"/>
      <c r="D43" s="31"/>
      <c r="E43" s="31"/>
      <c r="F43" s="31"/>
      <c r="G43" s="31"/>
      <c r="H43" s="31"/>
      <c r="I43" s="31"/>
      <c r="J43" s="31"/>
    </row>
    <row r="44" spans="1:10" ht="30" customHeight="1" x14ac:dyDescent="0.3">
      <c r="A44" s="4" t="s">
        <v>2</v>
      </c>
      <c r="B44" s="4" t="s">
        <v>3</v>
      </c>
      <c r="C44" s="5" t="s">
        <v>4</v>
      </c>
      <c r="D44" s="5" t="s">
        <v>5</v>
      </c>
      <c r="E44" s="4" t="s">
        <v>6</v>
      </c>
      <c r="F44" s="5" t="s">
        <v>18</v>
      </c>
      <c r="G44" s="5" t="s">
        <v>7</v>
      </c>
      <c r="H44" s="4" t="s">
        <v>8</v>
      </c>
      <c r="I44" s="4" t="s">
        <v>9</v>
      </c>
      <c r="J44" s="4" t="s">
        <v>10</v>
      </c>
    </row>
    <row r="45" spans="1:10" ht="19.95" customHeight="1" x14ac:dyDescent="0.3">
      <c r="A45" s="4">
        <v>130925</v>
      </c>
      <c r="B45" s="4">
        <v>304</v>
      </c>
      <c r="C45" s="6">
        <v>0.7</v>
      </c>
      <c r="D45" s="6" t="s">
        <v>22</v>
      </c>
      <c r="E45" s="7" t="s">
        <v>23</v>
      </c>
      <c r="F45" s="4" t="s">
        <v>21</v>
      </c>
      <c r="G45" s="4">
        <v>430</v>
      </c>
      <c r="H45" s="8">
        <v>5000</v>
      </c>
      <c r="I45" s="9"/>
      <c r="J45" s="8">
        <f t="shared" ref="J45:J50" si="4">H45-I45</f>
        <v>5000</v>
      </c>
    </row>
    <row r="46" spans="1:10" ht="19.95" customHeight="1" x14ac:dyDescent="0.3">
      <c r="A46" s="4"/>
      <c r="B46" s="4"/>
      <c r="C46" s="6"/>
      <c r="D46" s="6"/>
      <c r="E46" s="7"/>
      <c r="F46" s="4"/>
      <c r="G46" s="4"/>
      <c r="H46" s="8"/>
      <c r="I46" s="9"/>
      <c r="J46" s="8">
        <f t="shared" si="4"/>
        <v>0</v>
      </c>
    </row>
    <row r="47" spans="1:10" ht="19.95" customHeight="1" x14ac:dyDescent="0.3">
      <c r="A47" s="4"/>
      <c r="B47" s="4"/>
      <c r="C47" s="6"/>
      <c r="D47" s="6"/>
      <c r="E47" s="7"/>
      <c r="F47" s="4"/>
      <c r="G47" s="4"/>
      <c r="H47" s="8"/>
      <c r="I47" s="9"/>
      <c r="J47" s="8">
        <f t="shared" si="4"/>
        <v>0</v>
      </c>
    </row>
    <row r="48" spans="1:10" ht="19.95" customHeight="1" x14ac:dyDescent="0.3">
      <c r="A48" s="4"/>
      <c r="B48" s="4"/>
      <c r="C48" s="6"/>
      <c r="D48" s="6"/>
      <c r="E48" s="7"/>
      <c r="F48" s="4"/>
      <c r="G48" s="8"/>
      <c r="H48" s="8"/>
      <c r="I48" s="9"/>
      <c r="J48" s="8">
        <f t="shared" si="4"/>
        <v>0</v>
      </c>
    </row>
    <row r="49" spans="1:10" ht="19.95" customHeight="1" x14ac:dyDescent="0.3">
      <c r="A49" s="4"/>
      <c r="B49" s="4"/>
      <c r="C49" s="6"/>
      <c r="D49" s="6"/>
      <c r="E49" s="7"/>
      <c r="F49" s="4"/>
      <c r="G49" s="4"/>
      <c r="H49" s="8"/>
      <c r="I49" s="9"/>
      <c r="J49" s="8">
        <f t="shared" si="4"/>
        <v>0</v>
      </c>
    </row>
    <row r="50" spans="1:10" ht="19.95" customHeight="1" x14ac:dyDescent="0.3">
      <c r="A50" s="4"/>
      <c r="B50" s="4"/>
      <c r="C50" s="6"/>
      <c r="D50" s="6"/>
      <c r="E50" s="7"/>
      <c r="F50" s="4"/>
      <c r="G50" s="4"/>
      <c r="H50" s="8"/>
      <c r="I50" s="9"/>
      <c r="J50" s="8">
        <f t="shared" si="4"/>
        <v>0</v>
      </c>
    </row>
    <row r="51" spans="1:10" ht="19.95" customHeight="1" x14ac:dyDescent="0.3">
      <c r="A51" s="10"/>
      <c r="B51" s="10"/>
      <c r="C51" s="10"/>
      <c r="D51" s="10"/>
      <c r="E51" s="11"/>
      <c r="F51" s="10"/>
      <c r="G51" s="12"/>
      <c r="H51" s="8">
        <f>SUM(H45:H50)</f>
        <v>5000</v>
      </c>
      <c r="I51" s="9">
        <f>SUM(I45:I50)</f>
        <v>0</v>
      </c>
      <c r="J51" s="8">
        <f>SUM(J45:J50)</f>
        <v>5000</v>
      </c>
    </row>
    <row r="52" spans="1:10" ht="19.95" customHeight="1" x14ac:dyDescent="0.3">
      <c r="A52" s="16"/>
      <c r="B52" s="16"/>
      <c r="C52" s="16"/>
      <c r="D52" s="16"/>
      <c r="E52" s="17"/>
      <c r="F52" s="16"/>
      <c r="G52" s="16"/>
      <c r="H52" s="18"/>
      <c r="I52" s="19"/>
      <c r="J52" s="18"/>
    </row>
    <row r="54" spans="1:10" ht="23.4" x14ac:dyDescent="0.3">
      <c r="A54" s="31" t="s">
        <v>11</v>
      </c>
      <c r="B54" s="31"/>
      <c r="C54" s="31"/>
      <c r="D54" s="31"/>
      <c r="E54" s="31"/>
      <c r="F54" s="31"/>
      <c r="G54" s="31"/>
      <c r="H54" s="31"/>
      <c r="I54" s="31"/>
      <c r="J54" s="31"/>
    </row>
  </sheetData>
  <mergeCells count="8">
    <mergeCell ref="I1:J1"/>
    <mergeCell ref="A2:J2"/>
    <mergeCell ref="A3:J3"/>
    <mergeCell ref="A13:J13"/>
    <mergeCell ref="A54:J54"/>
    <mergeCell ref="A23:J23"/>
    <mergeCell ref="A33:J33"/>
    <mergeCell ref="A43:J43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4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zoomScale="85" zoomScaleNormal="85" workbookViewId="0">
      <selection activeCell="E51" sqref="E51"/>
    </sheetView>
  </sheetViews>
  <sheetFormatPr defaultRowHeight="14.4" x14ac:dyDescent="0.3"/>
  <cols>
    <col min="1" max="1" width="15.6640625" customWidth="1"/>
    <col min="2" max="3" width="12.6640625" customWidth="1"/>
    <col min="4" max="4" width="15.6640625" customWidth="1"/>
    <col min="5" max="5" width="80.6640625" customWidth="1"/>
    <col min="6" max="6" width="20.6640625" style="15" customWidth="1"/>
    <col min="7" max="7" width="12.33203125" customWidth="1"/>
    <col min="8" max="10" width="15.6640625" customWidth="1"/>
  </cols>
  <sheetData>
    <row r="1" spans="1:10" s="1" customFormat="1" ht="30" customHeight="1" x14ac:dyDescent="0.3">
      <c r="F1" s="2"/>
      <c r="G1" s="2"/>
      <c r="H1" s="3" t="s">
        <v>0</v>
      </c>
      <c r="I1" s="27">
        <v>45926</v>
      </c>
      <c r="J1" s="27"/>
    </row>
    <row r="2" spans="1:10" ht="40.049999999999997" customHeight="1" x14ac:dyDescent="0.3">
      <c r="A2" s="28" t="s">
        <v>24</v>
      </c>
      <c r="B2" s="29"/>
      <c r="C2" s="29"/>
      <c r="D2" s="29"/>
      <c r="E2" s="29"/>
      <c r="F2" s="29"/>
      <c r="G2" s="29"/>
      <c r="H2" s="29"/>
      <c r="I2" s="29"/>
      <c r="J2" s="30"/>
    </row>
    <row r="3" spans="1:10" ht="30" customHeight="1" x14ac:dyDescent="0.3">
      <c r="A3" s="31" t="s">
        <v>12</v>
      </c>
      <c r="B3" s="31"/>
      <c r="C3" s="31"/>
      <c r="D3" s="31"/>
      <c r="E3" s="31"/>
      <c r="F3" s="31"/>
      <c r="G3" s="31"/>
      <c r="H3" s="31"/>
      <c r="I3" s="31"/>
      <c r="J3" s="31"/>
    </row>
    <row r="4" spans="1:10" ht="30" customHeight="1" x14ac:dyDescent="0.3">
      <c r="A4" s="4" t="s">
        <v>2</v>
      </c>
      <c r="B4" s="4" t="s">
        <v>3</v>
      </c>
      <c r="C4" s="5" t="s">
        <v>4</v>
      </c>
      <c r="D4" s="5" t="s">
        <v>5</v>
      </c>
      <c r="E4" s="4" t="s">
        <v>6</v>
      </c>
      <c r="F4" s="5" t="s">
        <v>17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0" ht="19.95" customHeight="1" x14ac:dyDescent="0.3">
      <c r="A5" s="4">
        <v>10925</v>
      </c>
      <c r="B5" s="4">
        <v>430</v>
      </c>
      <c r="C5" s="6">
        <v>0.8</v>
      </c>
      <c r="D5" s="6" t="s">
        <v>26</v>
      </c>
      <c r="E5" s="7" t="s">
        <v>25</v>
      </c>
      <c r="F5" s="4" t="s">
        <v>22</v>
      </c>
      <c r="G5" s="4">
        <v>430</v>
      </c>
      <c r="H5" s="8">
        <v>3100</v>
      </c>
      <c r="I5" s="9"/>
      <c r="J5" s="8">
        <f t="shared" ref="J5:J10" si="0">H5-I5</f>
        <v>3100</v>
      </c>
    </row>
    <row r="6" spans="1:10" ht="19.95" customHeight="1" x14ac:dyDescent="0.3">
      <c r="A6" s="4" t="s">
        <v>27</v>
      </c>
      <c r="B6" s="4">
        <v>304</v>
      </c>
      <c r="C6" s="6">
        <v>0.8</v>
      </c>
      <c r="D6" s="6" t="s">
        <v>28</v>
      </c>
      <c r="E6" s="7" t="s">
        <v>29</v>
      </c>
      <c r="F6" s="4" t="s">
        <v>22</v>
      </c>
      <c r="G6" s="8">
        <v>430</v>
      </c>
      <c r="H6" s="8">
        <v>3200</v>
      </c>
      <c r="I6" s="9"/>
      <c r="J6" s="8">
        <f t="shared" si="0"/>
        <v>3200</v>
      </c>
    </row>
    <row r="7" spans="1:10" ht="19.95" customHeight="1" x14ac:dyDescent="0.3">
      <c r="A7" s="4"/>
      <c r="B7" s="4"/>
      <c r="C7" s="6"/>
      <c r="D7" s="6"/>
      <c r="E7" s="7"/>
      <c r="F7" s="4"/>
      <c r="G7" s="8"/>
      <c r="H7" s="8"/>
      <c r="I7" s="9"/>
      <c r="J7" s="8">
        <f t="shared" si="0"/>
        <v>0</v>
      </c>
    </row>
    <row r="8" spans="1:10" ht="19.95" customHeight="1" x14ac:dyDescent="0.3">
      <c r="A8" s="4"/>
      <c r="B8" s="4"/>
      <c r="C8" s="6"/>
      <c r="D8" s="6"/>
      <c r="E8" s="7"/>
      <c r="F8" s="4"/>
      <c r="G8" s="8"/>
      <c r="H8" s="8"/>
      <c r="I8" s="9"/>
      <c r="J8" s="8">
        <f t="shared" si="0"/>
        <v>0</v>
      </c>
    </row>
    <row r="9" spans="1:10" ht="19.95" customHeight="1" x14ac:dyDescent="0.3">
      <c r="A9" s="4"/>
      <c r="B9" s="4"/>
      <c r="C9" s="6"/>
      <c r="D9" s="6"/>
      <c r="E9" s="7"/>
      <c r="F9" s="4"/>
      <c r="G9" s="8"/>
      <c r="H9" s="8"/>
      <c r="I9" s="9"/>
      <c r="J9" s="8">
        <f t="shared" si="0"/>
        <v>0</v>
      </c>
    </row>
    <row r="10" spans="1:10" ht="19.95" customHeight="1" x14ac:dyDescent="0.3">
      <c r="A10" s="4"/>
      <c r="B10" s="4"/>
      <c r="C10" s="6"/>
      <c r="D10" s="6"/>
      <c r="E10" s="7"/>
      <c r="F10" s="4"/>
      <c r="G10" s="4"/>
      <c r="H10" s="8"/>
      <c r="I10" s="9"/>
      <c r="J10" s="8">
        <f t="shared" si="0"/>
        <v>0</v>
      </c>
    </row>
    <row r="11" spans="1:10" ht="19.95" customHeight="1" x14ac:dyDescent="0.3">
      <c r="A11" s="10"/>
      <c r="B11" s="10"/>
      <c r="C11" s="10"/>
      <c r="D11" s="10"/>
      <c r="E11" s="11"/>
      <c r="F11" s="10"/>
      <c r="G11" s="12"/>
      <c r="H11" s="13">
        <f>SUM(H5:H10)</f>
        <v>6300</v>
      </c>
      <c r="I11" s="14">
        <f>SUM(I5:I10)</f>
        <v>0</v>
      </c>
      <c r="J11" s="8">
        <f>SUM(J5:J10)</f>
        <v>6300</v>
      </c>
    </row>
    <row r="13" spans="1:10" ht="30" customHeight="1" x14ac:dyDescent="0.3">
      <c r="A13" s="31" t="s">
        <v>15</v>
      </c>
      <c r="B13" s="31"/>
      <c r="C13" s="31"/>
      <c r="D13" s="31"/>
      <c r="E13" s="31"/>
      <c r="F13" s="31"/>
      <c r="G13" s="31"/>
      <c r="H13" s="31"/>
      <c r="I13" s="31"/>
      <c r="J13" s="31"/>
    </row>
    <row r="14" spans="1:10" ht="30" customHeight="1" x14ac:dyDescent="0.3">
      <c r="A14" s="4" t="s">
        <v>2</v>
      </c>
      <c r="B14" s="4" t="s">
        <v>3</v>
      </c>
      <c r="C14" s="5" t="s">
        <v>4</v>
      </c>
      <c r="D14" s="5" t="s">
        <v>5</v>
      </c>
      <c r="E14" s="4" t="s">
        <v>6</v>
      </c>
      <c r="F14" s="5" t="s">
        <v>17</v>
      </c>
      <c r="G14" s="5" t="s">
        <v>7</v>
      </c>
      <c r="H14" s="4" t="s">
        <v>8</v>
      </c>
      <c r="I14" s="4" t="s">
        <v>9</v>
      </c>
      <c r="J14" s="4" t="s">
        <v>10</v>
      </c>
    </row>
    <row r="15" spans="1:10" ht="19.95" customHeight="1" x14ac:dyDescent="0.3">
      <c r="A15" s="4">
        <v>10925</v>
      </c>
      <c r="B15" s="4">
        <v>430</v>
      </c>
      <c r="C15" s="6">
        <v>0.8</v>
      </c>
      <c r="D15" s="6" t="s">
        <v>26</v>
      </c>
      <c r="E15" s="7" t="s">
        <v>25</v>
      </c>
      <c r="F15" s="4" t="s">
        <v>22</v>
      </c>
      <c r="G15" s="4">
        <v>430</v>
      </c>
      <c r="H15" s="8">
        <v>3100</v>
      </c>
      <c r="I15" s="9"/>
      <c r="J15" s="8">
        <f t="shared" ref="J15:J20" si="1">H15-I15</f>
        <v>3100</v>
      </c>
    </row>
    <row r="16" spans="1:10" ht="19.95" customHeight="1" x14ac:dyDescent="0.3">
      <c r="A16" s="4" t="s">
        <v>27</v>
      </c>
      <c r="B16" s="4">
        <v>304</v>
      </c>
      <c r="C16" s="6">
        <v>0.8</v>
      </c>
      <c r="D16" s="6" t="s">
        <v>28</v>
      </c>
      <c r="E16" s="7" t="s">
        <v>29</v>
      </c>
      <c r="F16" s="4" t="s">
        <v>22</v>
      </c>
      <c r="G16" s="8">
        <v>430</v>
      </c>
      <c r="H16" s="8">
        <v>3200</v>
      </c>
      <c r="I16" s="9"/>
      <c r="J16" s="8">
        <f t="shared" si="1"/>
        <v>3200</v>
      </c>
    </row>
    <row r="17" spans="1:10" ht="19.95" customHeight="1" x14ac:dyDescent="0.3">
      <c r="A17" s="4"/>
      <c r="B17" s="4"/>
      <c r="C17" s="6"/>
      <c r="D17" s="6"/>
      <c r="E17" s="7"/>
      <c r="F17" s="4"/>
      <c r="G17" s="4"/>
      <c r="H17" s="8"/>
      <c r="I17" s="9"/>
      <c r="J17" s="8">
        <f t="shared" si="1"/>
        <v>0</v>
      </c>
    </row>
    <row r="18" spans="1:10" ht="19.95" customHeight="1" x14ac:dyDescent="0.3">
      <c r="A18" s="4"/>
      <c r="B18" s="4"/>
      <c r="C18" s="6"/>
      <c r="D18" s="6"/>
      <c r="E18" s="7"/>
      <c r="F18" s="4"/>
      <c r="G18" s="8"/>
      <c r="H18" s="8"/>
      <c r="I18" s="9"/>
      <c r="J18" s="8">
        <f t="shared" si="1"/>
        <v>0</v>
      </c>
    </row>
    <row r="19" spans="1:10" ht="19.95" customHeight="1" x14ac:dyDescent="0.3">
      <c r="A19" s="4"/>
      <c r="B19" s="4"/>
      <c r="C19" s="6"/>
      <c r="D19" s="6"/>
      <c r="E19" s="7"/>
      <c r="F19" s="4"/>
      <c r="G19" s="4"/>
      <c r="H19" s="8"/>
      <c r="I19" s="9"/>
      <c r="J19" s="8">
        <f t="shared" si="1"/>
        <v>0</v>
      </c>
    </row>
    <row r="20" spans="1:10" ht="19.95" customHeight="1" x14ac:dyDescent="0.3">
      <c r="A20" s="4"/>
      <c r="B20" s="4"/>
      <c r="C20" s="6"/>
      <c r="D20" s="6"/>
      <c r="E20" s="7"/>
      <c r="F20" s="4"/>
      <c r="G20" s="4"/>
      <c r="H20" s="8"/>
      <c r="I20" s="9"/>
      <c r="J20" s="8">
        <f t="shared" si="1"/>
        <v>0</v>
      </c>
    </row>
    <row r="21" spans="1:10" ht="19.95" customHeight="1" x14ac:dyDescent="0.3">
      <c r="A21" s="10"/>
      <c r="B21" s="10"/>
      <c r="C21" s="10"/>
      <c r="D21" s="10"/>
      <c r="E21" s="11"/>
      <c r="F21" s="10"/>
      <c r="G21" s="12"/>
      <c r="H21" s="8">
        <f>SUM(H15:H20)</f>
        <v>6300</v>
      </c>
      <c r="I21" s="9">
        <f>SUM(I15:I20)</f>
        <v>0</v>
      </c>
      <c r="J21" s="8">
        <f>SUM(J15:J20)</f>
        <v>6300</v>
      </c>
    </row>
    <row r="22" spans="1:10" ht="19.95" customHeight="1" x14ac:dyDescent="0.3">
      <c r="A22" s="16"/>
      <c r="B22" s="16"/>
      <c r="C22" s="16"/>
      <c r="D22" s="16"/>
      <c r="E22" s="17"/>
      <c r="F22" s="16"/>
      <c r="G22" s="16"/>
      <c r="H22" s="18"/>
      <c r="I22" s="19"/>
      <c r="J22" s="18"/>
    </row>
    <row r="23" spans="1:10" ht="30" customHeight="1" x14ac:dyDescent="0.3">
      <c r="A23" s="31" t="s">
        <v>13</v>
      </c>
      <c r="B23" s="31"/>
      <c r="C23" s="31"/>
      <c r="D23" s="31"/>
      <c r="E23" s="31"/>
      <c r="F23" s="31"/>
      <c r="G23" s="31"/>
      <c r="H23" s="31"/>
      <c r="I23" s="31"/>
      <c r="J23" s="31"/>
    </row>
    <row r="24" spans="1:10" ht="30" customHeight="1" x14ac:dyDescent="0.3">
      <c r="A24" s="4" t="s">
        <v>2</v>
      </c>
      <c r="B24" s="4" t="s">
        <v>3</v>
      </c>
      <c r="C24" s="5" t="s">
        <v>4</v>
      </c>
      <c r="D24" s="5" t="s">
        <v>5</v>
      </c>
      <c r="E24" s="4" t="s">
        <v>6</v>
      </c>
      <c r="F24" s="5" t="s">
        <v>17</v>
      </c>
      <c r="G24" s="5" t="s">
        <v>7</v>
      </c>
      <c r="H24" s="4" t="s">
        <v>8</v>
      </c>
      <c r="I24" s="4" t="s">
        <v>9</v>
      </c>
      <c r="J24" s="4" t="s">
        <v>10</v>
      </c>
    </row>
    <row r="25" spans="1:10" ht="19.95" customHeight="1" x14ac:dyDescent="0.3">
      <c r="A25" s="4">
        <v>10925</v>
      </c>
      <c r="B25" s="4">
        <v>430</v>
      </c>
      <c r="C25" s="6">
        <v>0.8</v>
      </c>
      <c r="D25" s="6" t="s">
        <v>26</v>
      </c>
      <c r="E25" s="7" t="s">
        <v>25</v>
      </c>
      <c r="F25" s="4" t="s">
        <v>22</v>
      </c>
      <c r="G25" s="4">
        <v>430</v>
      </c>
      <c r="H25" s="8">
        <v>3100</v>
      </c>
      <c r="I25" s="9"/>
      <c r="J25" s="8">
        <f t="shared" ref="J25:J30" si="2">H25-I25</f>
        <v>3100</v>
      </c>
    </row>
    <row r="26" spans="1:10" ht="19.95" customHeight="1" x14ac:dyDescent="0.3">
      <c r="A26" s="4" t="s">
        <v>27</v>
      </c>
      <c r="B26" s="4">
        <v>304</v>
      </c>
      <c r="C26" s="6">
        <v>0.8</v>
      </c>
      <c r="D26" s="6" t="s">
        <v>28</v>
      </c>
      <c r="E26" s="7" t="s">
        <v>29</v>
      </c>
      <c r="F26" s="4" t="s">
        <v>22</v>
      </c>
      <c r="G26" s="8">
        <v>430</v>
      </c>
      <c r="H26" s="8">
        <v>3200</v>
      </c>
      <c r="I26" s="9"/>
      <c r="J26" s="8">
        <f t="shared" si="2"/>
        <v>3200</v>
      </c>
    </row>
    <row r="27" spans="1:10" ht="19.95" customHeight="1" x14ac:dyDescent="0.3">
      <c r="A27" s="4"/>
      <c r="B27" s="4"/>
      <c r="C27" s="6"/>
      <c r="D27" s="6"/>
      <c r="E27" s="7"/>
      <c r="F27" s="4"/>
      <c r="G27" s="4"/>
      <c r="H27" s="8"/>
      <c r="I27" s="9"/>
      <c r="J27" s="8">
        <f t="shared" si="2"/>
        <v>0</v>
      </c>
    </row>
    <row r="28" spans="1:10" ht="19.95" customHeight="1" x14ac:dyDescent="0.3">
      <c r="A28" s="4"/>
      <c r="B28" s="4"/>
      <c r="C28" s="6"/>
      <c r="D28" s="6"/>
      <c r="E28" s="7"/>
      <c r="F28" s="4"/>
      <c r="G28" s="8"/>
      <c r="H28" s="8"/>
      <c r="I28" s="9"/>
      <c r="J28" s="8">
        <f t="shared" si="2"/>
        <v>0</v>
      </c>
    </row>
    <row r="29" spans="1:10" ht="19.95" customHeight="1" x14ac:dyDescent="0.3">
      <c r="A29" s="4"/>
      <c r="B29" s="4"/>
      <c r="C29" s="6"/>
      <c r="D29" s="6"/>
      <c r="E29" s="7"/>
      <c r="F29" s="4"/>
      <c r="G29" s="4"/>
      <c r="H29" s="8"/>
      <c r="I29" s="9"/>
      <c r="J29" s="8">
        <f t="shared" si="2"/>
        <v>0</v>
      </c>
    </row>
    <row r="30" spans="1:10" ht="19.95" customHeight="1" x14ac:dyDescent="0.3">
      <c r="A30" s="4"/>
      <c r="B30" s="4"/>
      <c r="C30" s="6"/>
      <c r="D30" s="6"/>
      <c r="E30" s="7"/>
      <c r="F30" s="4"/>
      <c r="G30" s="4"/>
      <c r="H30" s="8"/>
      <c r="I30" s="9"/>
      <c r="J30" s="8">
        <f t="shared" si="2"/>
        <v>0</v>
      </c>
    </row>
    <row r="31" spans="1:10" ht="19.95" customHeight="1" x14ac:dyDescent="0.3">
      <c r="A31" s="10"/>
      <c r="B31" s="10"/>
      <c r="C31" s="10"/>
      <c r="D31" s="10"/>
      <c r="E31" s="11"/>
      <c r="F31" s="10"/>
      <c r="G31" s="12"/>
      <c r="H31" s="8">
        <f>SUM(H25:H30)</f>
        <v>6300</v>
      </c>
      <c r="I31" s="9">
        <f>SUM(I25:I30)</f>
        <v>0</v>
      </c>
      <c r="J31" s="8">
        <f>SUM(J25:J30)</f>
        <v>6300</v>
      </c>
    </row>
    <row r="32" spans="1:10" ht="19.95" customHeight="1" x14ac:dyDescent="0.3">
      <c r="A32" s="16"/>
      <c r="B32" s="16"/>
      <c r="C32" s="16"/>
      <c r="D32" s="16"/>
      <c r="E32" s="17"/>
      <c r="F32" s="16"/>
      <c r="G32" s="16"/>
      <c r="H32" s="18"/>
      <c r="I32" s="19"/>
      <c r="J32" s="18"/>
    </row>
    <row r="33" spans="1:10" ht="30" customHeight="1" x14ac:dyDescent="0.3">
      <c r="A33" s="31" t="s">
        <v>14</v>
      </c>
      <c r="B33" s="31"/>
      <c r="C33" s="31"/>
      <c r="D33" s="31"/>
      <c r="E33" s="31"/>
      <c r="F33" s="31"/>
      <c r="G33" s="31"/>
      <c r="H33" s="31"/>
      <c r="I33" s="31"/>
      <c r="J33" s="31"/>
    </row>
    <row r="34" spans="1:10" ht="30" customHeight="1" x14ac:dyDescent="0.3">
      <c r="A34" s="4" t="s">
        <v>2</v>
      </c>
      <c r="B34" s="4" t="s">
        <v>3</v>
      </c>
      <c r="C34" s="5" t="s">
        <v>4</v>
      </c>
      <c r="D34" s="5" t="s">
        <v>5</v>
      </c>
      <c r="E34" s="4" t="s">
        <v>6</v>
      </c>
      <c r="F34" s="5" t="s">
        <v>17</v>
      </c>
      <c r="G34" s="5" t="s">
        <v>7</v>
      </c>
      <c r="H34" s="4" t="s">
        <v>8</v>
      </c>
      <c r="I34" s="4" t="s">
        <v>9</v>
      </c>
      <c r="J34" s="4" t="s">
        <v>10</v>
      </c>
    </row>
    <row r="35" spans="1:10" ht="19.95" customHeight="1" x14ac:dyDescent="0.3">
      <c r="A35" s="4">
        <v>10925</v>
      </c>
      <c r="B35" s="4">
        <v>430</v>
      </c>
      <c r="C35" s="6">
        <v>0.8</v>
      </c>
      <c r="D35" s="6" t="s">
        <v>26</v>
      </c>
      <c r="E35" s="7" t="s">
        <v>25</v>
      </c>
      <c r="F35" s="4" t="s">
        <v>22</v>
      </c>
      <c r="G35" s="4">
        <v>430</v>
      </c>
      <c r="H35" s="8">
        <v>3100</v>
      </c>
      <c r="I35" s="9"/>
      <c r="J35" s="8">
        <f t="shared" ref="J35:J40" si="3">H35-I35</f>
        <v>3100</v>
      </c>
    </row>
    <row r="36" spans="1:10" ht="19.95" customHeight="1" x14ac:dyDescent="0.3">
      <c r="A36" s="4" t="s">
        <v>27</v>
      </c>
      <c r="B36" s="4">
        <v>304</v>
      </c>
      <c r="C36" s="6">
        <v>0.8</v>
      </c>
      <c r="D36" s="6" t="s">
        <v>28</v>
      </c>
      <c r="E36" s="7" t="s">
        <v>29</v>
      </c>
      <c r="F36" s="4" t="s">
        <v>22</v>
      </c>
      <c r="G36" s="8">
        <v>430</v>
      </c>
      <c r="H36" s="8">
        <v>3200</v>
      </c>
      <c r="I36" s="9"/>
      <c r="J36" s="8">
        <f t="shared" si="3"/>
        <v>3200</v>
      </c>
    </row>
    <row r="37" spans="1:10" ht="19.95" customHeight="1" x14ac:dyDescent="0.3">
      <c r="A37" s="4"/>
      <c r="B37" s="4"/>
      <c r="C37" s="6"/>
      <c r="D37" s="6"/>
      <c r="E37" s="7"/>
      <c r="F37" s="4"/>
      <c r="G37" s="4"/>
      <c r="H37" s="8"/>
      <c r="I37" s="9"/>
      <c r="J37" s="8">
        <f t="shared" si="3"/>
        <v>0</v>
      </c>
    </row>
    <row r="38" spans="1:10" ht="19.95" customHeight="1" x14ac:dyDescent="0.3">
      <c r="A38" s="4"/>
      <c r="B38" s="4"/>
      <c r="C38" s="6"/>
      <c r="D38" s="6"/>
      <c r="E38" s="7"/>
      <c r="F38" s="4"/>
      <c r="G38" s="8"/>
      <c r="H38" s="8"/>
      <c r="I38" s="9"/>
      <c r="J38" s="8">
        <f t="shared" si="3"/>
        <v>0</v>
      </c>
    </row>
    <row r="39" spans="1:10" ht="19.95" customHeight="1" x14ac:dyDescent="0.3">
      <c r="A39" s="4"/>
      <c r="B39" s="4"/>
      <c r="C39" s="6"/>
      <c r="D39" s="6"/>
      <c r="E39" s="7"/>
      <c r="F39" s="4"/>
      <c r="G39" s="4"/>
      <c r="H39" s="8"/>
      <c r="I39" s="9"/>
      <c r="J39" s="8">
        <f t="shared" si="3"/>
        <v>0</v>
      </c>
    </row>
    <row r="40" spans="1:10" ht="19.95" customHeight="1" x14ac:dyDescent="0.3">
      <c r="A40" s="4"/>
      <c r="B40" s="4"/>
      <c r="C40" s="6"/>
      <c r="D40" s="6"/>
      <c r="E40" s="7"/>
      <c r="F40" s="4"/>
      <c r="G40" s="4"/>
      <c r="H40" s="8"/>
      <c r="I40" s="9"/>
      <c r="J40" s="8">
        <f t="shared" si="3"/>
        <v>0</v>
      </c>
    </row>
    <row r="41" spans="1:10" ht="19.95" customHeight="1" x14ac:dyDescent="0.3">
      <c r="A41" s="10"/>
      <c r="B41" s="10"/>
      <c r="C41" s="10"/>
      <c r="D41" s="10"/>
      <c r="E41" s="11"/>
      <c r="F41" s="10"/>
      <c r="G41" s="12"/>
      <c r="H41" s="8">
        <f>SUM(H35:H40)</f>
        <v>6300</v>
      </c>
      <c r="I41" s="9">
        <f>SUM(I35:I40)</f>
        <v>0</v>
      </c>
      <c r="J41" s="8">
        <f>SUM(J35:J40)</f>
        <v>6300</v>
      </c>
    </row>
    <row r="42" spans="1:10" ht="19.95" customHeight="1" x14ac:dyDescent="0.3">
      <c r="A42" s="16"/>
      <c r="B42" s="16"/>
      <c r="C42" s="16"/>
      <c r="D42" s="16"/>
      <c r="E42" s="17"/>
      <c r="F42" s="16"/>
      <c r="G42" s="16"/>
      <c r="H42" s="18"/>
      <c r="I42" s="19"/>
      <c r="J42" s="18"/>
    </row>
    <row r="43" spans="1:10" ht="30" customHeight="1" x14ac:dyDescent="0.3">
      <c r="A43" s="31" t="s">
        <v>16</v>
      </c>
      <c r="B43" s="31"/>
      <c r="C43" s="31"/>
      <c r="D43" s="31"/>
      <c r="E43" s="31"/>
      <c r="F43" s="31"/>
      <c r="G43" s="31"/>
      <c r="H43" s="31"/>
      <c r="I43" s="31"/>
      <c r="J43" s="31"/>
    </row>
    <row r="44" spans="1:10" ht="30" customHeight="1" x14ac:dyDescent="0.3">
      <c r="A44" s="4" t="s">
        <v>2</v>
      </c>
      <c r="B44" s="4" t="s">
        <v>3</v>
      </c>
      <c r="C44" s="5" t="s">
        <v>4</v>
      </c>
      <c r="D44" s="5" t="s">
        <v>5</v>
      </c>
      <c r="E44" s="4" t="s">
        <v>6</v>
      </c>
      <c r="F44" s="5" t="s">
        <v>18</v>
      </c>
      <c r="G44" s="5" t="s">
        <v>7</v>
      </c>
      <c r="H44" s="4" t="s">
        <v>8</v>
      </c>
      <c r="I44" s="4" t="s">
        <v>9</v>
      </c>
      <c r="J44" s="4" t="s">
        <v>10</v>
      </c>
    </row>
    <row r="45" spans="1:10" ht="19.95" customHeight="1" x14ac:dyDescent="0.3">
      <c r="A45" s="4"/>
      <c r="B45" s="4"/>
      <c r="C45" s="6"/>
      <c r="D45" s="6"/>
      <c r="E45" s="7"/>
      <c r="F45" s="4"/>
      <c r="G45" s="4"/>
      <c r="H45" s="8"/>
      <c r="I45" s="9"/>
      <c r="J45" s="8">
        <f t="shared" ref="J45:J50" si="4">H45-I45</f>
        <v>0</v>
      </c>
    </row>
    <row r="46" spans="1:10" ht="19.95" customHeight="1" x14ac:dyDescent="0.3">
      <c r="A46" s="4"/>
      <c r="B46" s="4"/>
      <c r="C46" s="6"/>
      <c r="D46" s="6"/>
      <c r="E46" s="7"/>
      <c r="F46" s="4"/>
      <c r="G46" s="4"/>
      <c r="H46" s="8"/>
      <c r="I46" s="9"/>
      <c r="J46" s="8">
        <f t="shared" si="4"/>
        <v>0</v>
      </c>
    </row>
    <row r="47" spans="1:10" ht="19.95" customHeight="1" x14ac:dyDescent="0.3">
      <c r="A47" s="4"/>
      <c r="B47" s="4"/>
      <c r="C47" s="6"/>
      <c r="D47" s="6"/>
      <c r="E47" s="7"/>
      <c r="F47" s="4"/>
      <c r="G47" s="4"/>
      <c r="H47" s="8"/>
      <c r="I47" s="9"/>
      <c r="J47" s="8">
        <f t="shared" si="4"/>
        <v>0</v>
      </c>
    </row>
    <row r="48" spans="1:10" ht="19.95" customHeight="1" x14ac:dyDescent="0.3">
      <c r="A48" s="4"/>
      <c r="B48" s="4"/>
      <c r="C48" s="6"/>
      <c r="D48" s="6"/>
      <c r="E48" s="7"/>
      <c r="F48" s="4"/>
      <c r="G48" s="8"/>
      <c r="H48" s="8"/>
      <c r="I48" s="9"/>
      <c r="J48" s="8">
        <f t="shared" si="4"/>
        <v>0</v>
      </c>
    </row>
    <row r="49" spans="1:10" ht="19.95" customHeight="1" x14ac:dyDescent="0.3">
      <c r="A49" s="4"/>
      <c r="B49" s="4"/>
      <c r="C49" s="6"/>
      <c r="D49" s="6"/>
      <c r="E49" s="7"/>
      <c r="F49" s="4"/>
      <c r="G49" s="4"/>
      <c r="H49" s="8"/>
      <c r="I49" s="9"/>
      <c r="J49" s="8">
        <f t="shared" si="4"/>
        <v>0</v>
      </c>
    </row>
    <row r="50" spans="1:10" ht="19.95" customHeight="1" x14ac:dyDescent="0.3">
      <c r="A50" s="4"/>
      <c r="B50" s="4"/>
      <c r="C50" s="6"/>
      <c r="D50" s="6"/>
      <c r="E50" s="7"/>
      <c r="F50" s="4"/>
      <c r="G50" s="4"/>
      <c r="H50" s="8"/>
      <c r="I50" s="9"/>
      <c r="J50" s="8">
        <f t="shared" si="4"/>
        <v>0</v>
      </c>
    </row>
    <row r="51" spans="1:10" ht="19.95" customHeight="1" x14ac:dyDescent="0.3">
      <c r="A51" s="10"/>
      <c r="B51" s="10"/>
      <c r="C51" s="10"/>
      <c r="D51" s="10"/>
      <c r="E51" s="11"/>
      <c r="F51" s="10"/>
      <c r="G51" s="12"/>
      <c r="H51" s="8">
        <f>SUM(H45:H50)</f>
        <v>0</v>
      </c>
      <c r="I51" s="9">
        <f>SUM(I45:I50)</f>
        <v>0</v>
      </c>
      <c r="J51" s="8">
        <f>SUM(J45:J50)</f>
        <v>0</v>
      </c>
    </row>
    <row r="52" spans="1:10" ht="19.95" customHeight="1" x14ac:dyDescent="0.3">
      <c r="A52" s="16"/>
      <c r="B52" s="16"/>
      <c r="C52" s="16"/>
      <c r="D52" s="16"/>
      <c r="E52" s="17"/>
      <c r="F52" s="16"/>
      <c r="G52" s="16"/>
      <c r="H52" s="18"/>
      <c r="I52" s="19"/>
      <c r="J52" s="18"/>
    </row>
    <row r="54" spans="1:10" ht="23.4" x14ac:dyDescent="0.3">
      <c r="A54" s="31" t="s">
        <v>11</v>
      </c>
      <c r="B54" s="31"/>
      <c r="C54" s="31"/>
      <c r="D54" s="31"/>
      <c r="E54" s="31"/>
      <c r="F54" s="31"/>
      <c r="G54" s="31"/>
      <c r="H54" s="31"/>
      <c r="I54" s="31"/>
      <c r="J54" s="31"/>
    </row>
  </sheetData>
  <mergeCells count="8">
    <mergeCell ref="A43:J43"/>
    <mergeCell ref="A54:J54"/>
    <mergeCell ref="I1:J1"/>
    <mergeCell ref="A2:J2"/>
    <mergeCell ref="A3:J3"/>
    <mergeCell ref="A13:J13"/>
    <mergeCell ref="A23:J23"/>
    <mergeCell ref="A33:J33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45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zoomScale="55" zoomScaleNormal="55" workbookViewId="0">
      <selection activeCell="H6" sqref="H6"/>
    </sheetView>
  </sheetViews>
  <sheetFormatPr defaultRowHeight="14.4" x14ac:dyDescent="0.3"/>
  <cols>
    <col min="1" max="1" width="15.6640625" customWidth="1"/>
    <col min="2" max="3" width="12.6640625" customWidth="1"/>
    <col min="4" max="4" width="15.6640625" customWidth="1"/>
    <col min="5" max="5" width="80.6640625" customWidth="1"/>
    <col min="6" max="6" width="20.6640625" style="15" customWidth="1"/>
    <col min="7" max="7" width="12.33203125" customWidth="1"/>
    <col min="8" max="10" width="15.6640625" customWidth="1"/>
  </cols>
  <sheetData>
    <row r="1" spans="1:10" s="1" customFormat="1" ht="30" customHeight="1" x14ac:dyDescent="0.3">
      <c r="F1" s="2"/>
      <c r="G1" s="2"/>
      <c r="H1" s="3" t="s">
        <v>0</v>
      </c>
      <c r="I1" s="27">
        <v>45927</v>
      </c>
      <c r="J1" s="27"/>
    </row>
    <row r="2" spans="1:10" ht="40.049999999999997" customHeight="1" x14ac:dyDescent="0.3">
      <c r="A2" s="28" t="s">
        <v>1</v>
      </c>
      <c r="B2" s="29"/>
      <c r="C2" s="29"/>
      <c r="D2" s="29"/>
      <c r="E2" s="29"/>
      <c r="F2" s="29"/>
      <c r="G2" s="29"/>
      <c r="H2" s="29"/>
      <c r="I2" s="29"/>
      <c r="J2" s="30"/>
    </row>
    <row r="3" spans="1:10" ht="30" customHeight="1" x14ac:dyDescent="0.3">
      <c r="A3" s="31" t="s">
        <v>12</v>
      </c>
      <c r="B3" s="31"/>
      <c r="C3" s="31"/>
      <c r="D3" s="31"/>
      <c r="E3" s="31"/>
      <c r="F3" s="31"/>
      <c r="G3" s="31"/>
      <c r="H3" s="31"/>
      <c r="I3" s="31"/>
      <c r="J3" s="31"/>
    </row>
    <row r="4" spans="1:10" ht="30" customHeight="1" x14ac:dyDescent="0.3">
      <c r="A4" s="4" t="s">
        <v>2</v>
      </c>
      <c r="B4" s="4" t="s">
        <v>3</v>
      </c>
      <c r="C4" s="5" t="s">
        <v>4</v>
      </c>
      <c r="D4" s="5" t="s">
        <v>5</v>
      </c>
      <c r="E4" s="4" t="s">
        <v>6</v>
      </c>
      <c r="F4" s="5" t="s">
        <v>17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0" ht="19.95" customHeight="1" x14ac:dyDescent="0.3">
      <c r="A5" s="4">
        <v>10925</v>
      </c>
      <c r="B5" s="4">
        <v>430</v>
      </c>
      <c r="C5" s="6">
        <v>0.8</v>
      </c>
      <c r="D5" s="6" t="s">
        <v>26</v>
      </c>
      <c r="E5" s="7" t="s">
        <v>25</v>
      </c>
      <c r="F5" s="4" t="s">
        <v>22</v>
      </c>
      <c r="G5" s="4">
        <v>430</v>
      </c>
      <c r="H5" s="8">
        <v>3100</v>
      </c>
      <c r="I5" s="9"/>
      <c r="J5" s="8">
        <f t="shared" ref="J5:J10" si="0">H5-I5</f>
        <v>3100</v>
      </c>
    </row>
    <row r="6" spans="1:10" ht="19.95" customHeight="1" x14ac:dyDescent="0.3">
      <c r="A6" s="4" t="s">
        <v>27</v>
      </c>
      <c r="B6" s="4">
        <v>304</v>
      </c>
      <c r="C6" s="6">
        <v>0.8</v>
      </c>
      <c r="D6" s="6" t="s">
        <v>28</v>
      </c>
      <c r="E6" s="7" t="s">
        <v>29</v>
      </c>
      <c r="F6" s="4" t="s">
        <v>22</v>
      </c>
      <c r="G6" s="8">
        <v>430</v>
      </c>
      <c r="H6" s="8">
        <v>3200</v>
      </c>
      <c r="I6" s="9"/>
      <c r="J6" s="8">
        <f t="shared" si="0"/>
        <v>3200</v>
      </c>
    </row>
    <row r="7" spans="1:10" ht="19.95" customHeight="1" x14ac:dyDescent="0.3">
      <c r="A7" s="4"/>
      <c r="B7" s="4"/>
      <c r="C7" s="6"/>
      <c r="D7" s="6"/>
      <c r="E7" s="7"/>
      <c r="F7" s="4"/>
      <c r="G7" s="8"/>
      <c r="H7" s="8"/>
      <c r="I7" s="9"/>
      <c r="J7" s="8">
        <f t="shared" si="0"/>
        <v>0</v>
      </c>
    </row>
    <row r="8" spans="1:10" ht="19.95" customHeight="1" x14ac:dyDescent="0.3">
      <c r="A8" s="4"/>
      <c r="B8" s="4"/>
      <c r="C8" s="6"/>
      <c r="D8" s="6"/>
      <c r="E8" s="7"/>
      <c r="F8" s="4"/>
      <c r="G8" s="8"/>
      <c r="H8" s="8"/>
      <c r="I8" s="9"/>
      <c r="J8" s="8">
        <f t="shared" si="0"/>
        <v>0</v>
      </c>
    </row>
    <row r="9" spans="1:10" ht="19.95" customHeight="1" x14ac:dyDescent="0.3">
      <c r="A9" s="4"/>
      <c r="B9" s="4"/>
      <c r="C9" s="6"/>
      <c r="D9" s="6"/>
      <c r="E9" s="7"/>
      <c r="F9" s="4"/>
      <c r="G9" s="8"/>
      <c r="H9" s="8"/>
      <c r="I9" s="9"/>
      <c r="J9" s="8">
        <f t="shared" si="0"/>
        <v>0</v>
      </c>
    </row>
    <row r="10" spans="1:10" ht="19.95" customHeight="1" x14ac:dyDescent="0.3">
      <c r="A10" s="4"/>
      <c r="B10" s="4"/>
      <c r="C10" s="6"/>
      <c r="D10" s="6"/>
      <c r="E10" s="7"/>
      <c r="F10" s="4"/>
      <c r="G10" s="4"/>
      <c r="H10" s="8"/>
      <c r="I10" s="9"/>
      <c r="J10" s="8">
        <f t="shared" si="0"/>
        <v>0</v>
      </c>
    </row>
    <row r="11" spans="1:10" ht="19.95" customHeight="1" x14ac:dyDescent="0.3">
      <c r="A11" s="10"/>
      <c r="B11" s="10"/>
      <c r="C11" s="10"/>
      <c r="D11" s="10"/>
      <c r="E11" s="11"/>
      <c r="F11" s="10"/>
      <c r="G11" s="12"/>
      <c r="H11" s="13">
        <f>SUM(H5:H10)</f>
        <v>6300</v>
      </c>
      <c r="I11" s="14">
        <f>SUM(I5:I10)</f>
        <v>0</v>
      </c>
      <c r="J11" s="8">
        <f>SUM(J5:J10)</f>
        <v>6300</v>
      </c>
    </row>
    <row r="13" spans="1:10" ht="30" customHeight="1" x14ac:dyDescent="0.3">
      <c r="A13" s="31" t="s">
        <v>15</v>
      </c>
      <c r="B13" s="31"/>
      <c r="C13" s="31"/>
      <c r="D13" s="31"/>
      <c r="E13" s="31"/>
      <c r="F13" s="31"/>
      <c r="G13" s="31"/>
      <c r="H13" s="31"/>
      <c r="I13" s="31"/>
      <c r="J13" s="31"/>
    </row>
    <row r="14" spans="1:10" ht="30" customHeight="1" x14ac:dyDescent="0.3">
      <c r="A14" s="4" t="s">
        <v>2</v>
      </c>
      <c r="B14" s="4" t="s">
        <v>3</v>
      </c>
      <c r="C14" s="5" t="s">
        <v>4</v>
      </c>
      <c r="D14" s="5" t="s">
        <v>5</v>
      </c>
      <c r="E14" s="4" t="s">
        <v>6</v>
      </c>
      <c r="F14" s="5" t="s">
        <v>17</v>
      </c>
      <c r="G14" s="5" t="s">
        <v>7</v>
      </c>
      <c r="H14" s="4" t="s">
        <v>8</v>
      </c>
      <c r="I14" s="4" t="s">
        <v>9</v>
      </c>
      <c r="J14" s="4" t="s">
        <v>10</v>
      </c>
    </row>
    <row r="15" spans="1:10" ht="19.95" customHeight="1" x14ac:dyDescent="0.3">
      <c r="A15" s="4">
        <v>10925</v>
      </c>
      <c r="B15" s="4">
        <v>430</v>
      </c>
      <c r="C15" s="6">
        <v>0.8</v>
      </c>
      <c r="D15" s="6" t="s">
        <v>26</v>
      </c>
      <c r="E15" s="7" t="s">
        <v>25</v>
      </c>
      <c r="F15" s="4" t="s">
        <v>22</v>
      </c>
      <c r="G15" s="4">
        <v>430</v>
      </c>
      <c r="H15" s="8">
        <v>3100</v>
      </c>
      <c r="I15" s="9"/>
      <c r="J15" s="8">
        <f t="shared" ref="J15:J20" si="1">H15-I15</f>
        <v>3100</v>
      </c>
    </row>
    <row r="16" spans="1:10" ht="19.95" customHeight="1" x14ac:dyDescent="0.3">
      <c r="A16" s="4" t="s">
        <v>27</v>
      </c>
      <c r="B16" s="4">
        <v>304</v>
      </c>
      <c r="C16" s="6">
        <v>0.8</v>
      </c>
      <c r="D16" s="6" t="s">
        <v>28</v>
      </c>
      <c r="E16" s="7" t="s">
        <v>29</v>
      </c>
      <c r="F16" s="4" t="s">
        <v>22</v>
      </c>
      <c r="G16" s="8">
        <v>430</v>
      </c>
      <c r="H16" s="8">
        <v>3200</v>
      </c>
      <c r="I16" s="9"/>
      <c r="J16" s="8">
        <f t="shared" si="1"/>
        <v>3200</v>
      </c>
    </row>
    <row r="17" spans="1:10" ht="19.95" customHeight="1" x14ac:dyDescent="0.3">
      <c r="A17" s="4"/>
      <c r="B17" s="4"/>
      <c r="C17" s="6"/>
      <c r="D17" s="6"/>
      <c r="E17" s="7"/>
      <c r="F17" s="4"/>
      <c r="G17" s="4"/>
      <c r="H17" s="8"/>
      <c r="I17" s="9"/>
      <c r="J17" s="8">
        <f t="shared" si="1"/>
        <v>0</v>
      </c>
    </row>
    <row r="18" spans="1:10" ht="19.95" customHeight="1" x14ac:dyDescent="0.3">
      <c r="A18" s="4"/>
      <c r="B18" s="4"/>
      <c r="C18" s="6"/>
      <c r="D18" s="6"/>
      <c r="E18" s="7"/>
      <c r="F18" s="4"/>
      <c r="G18" s="8"/>
      <c r="H18" s="8"/>
      <c r="I18" s="9"/>
      <c r="J18" s="8">
        <f t="shared" si="1"/>
        <v>0</v>
      </c>
    </row>
    <row r="19" spans="1:10" ht="19.95" customHeight="1" x14ac:dyDescent="0.3">
      <c r="A19" s="4"/>
      <c r="B19" s="4"/>
      <c r="C19" s="6"/>
      <c r="D19" s="6"/>
      <c r="E19" s="7"/>
      <c r="F19" s="4"/>
      <c r="G19" s="4"/>
      <c r="H19" s="8"/>
      <c r="I19" s="9"/>
      <c r="J19" s="8">
        <f t="shared" si="1"/>
        <v>0</v>
      </c>
    </row>
    <row r="20" spans="1:10" ht="19.95" customHeight="1" x14ac:dyDescent="0.3">
      <c r="A20" s="4"/>
      <c r="B20" s="4"/>
      <c r="C20" s="6"/>
      <c r="D20" s="6"/>
      <c r="E20" s="7"/>
      <c r="F20" s="4"/>
      <c r="G20" s="4"/>
      <c r="H20" s="8"/>
      <c r="I20" s="9"/>
      <c r="J20" s="8">
        <f t="shared" si="1"/>
        <v>0</v>
      </c>
    </row>
    <row r="21" spans="1:10" ht="19.95" customHeight="1" x14ac:dyDescent="0.3">
      <c r="A21" s="10"/>
      <c r="B21" s="10"/>
      <c r="C21" s="10"/>
      <c r="D21" s="10"/>
      <c r="E21" s="11"/>
      <c r="F21" s="10"/>
      <c r="G21" s="12"/>
      <c r="H21" s="8">
        <f>SUM(H15:H20)</f>
        <v>6300</v>
      </c>
      <c r="I21" s="9">
        <f>SUM(I15:I20)</f>
        <v>0</v>
      </c>
      <c r="J21" s="8">
        <f>SUM(J15:J20)</f>
        <v>6300</v>
      </c>
    </row>
    <row r="22" spans="1:10" ht="19.95" customHeight="1" x14ac:dyDescent="0.3">
      <c r="A22" s="16"/>
      <c r="B22" s="16"/>
      <c r="C22" s="16"/>
      <c r="D22" s="16"/>
      <c r="E22" s="17"/>
      <c r="F22" s="16"/>
      <c r="G22" s="16"/>
      <c r="H22" s="18"/>
      <c r="I22" s="19"/>
      <c r="J22" s="18"/>
    </row>
    <row r="23" spans="1:10" ht="30" customHeight="1" x14ac:dyDescent="0.3">
      <c r="A23" s="31" t="s">
        <v>13</v>
      </c>
      <c r="B23" s="31"/>
      <c r="C23" s="31"/>
      <c r="D23" s="31"/>
      <c r="E23" s="31"/>
      <c r="F23" s="31"/>
      <c r="G23" s="31"/>
      <c r="H23" s="31"/>
      <c r="I23" s="31"/>
      <c r="J23" s="31"/>
    </row>
    <row r="24" spans="1:10" ht="30" customHeight="1" x14ac:dyDescent="0.3">
      <c r="A24" s="4" t="s">
        <v>2</v>
      </c>
      <c r="B24" s="4" t="s">
        <v>3</v>
      </c>
      <c r="C24" s="5" t="s">
        <v>4</v>
      </c>
      <c r="D24" s="5" t="s">
        <v>5</v>
      </c>
      <c r="E24" s="4" t="s">
        <v>6</v>
      </c>
      <c r="F24" s="5" t="s">
        <v>17</v>
      </c>
      <c r="G24" s="5" t="s">
        <v>7</v>
      </c>
      <c r="H24" s="4" t="s">
        <v>8</v>
      </c>
      <c r="I24" s="4" t="s">
        <v>9</v>
      </c>
      <c r="J24" s="4" t="s">
        <v>10</v>
      </c>
    </row>
    <row r="25" spans="1:10" ht="19.95" customHeight="1" x14ac:dyDescent="0.3">
      <c r="A25" s="4">
        <v>10925</v>
      </c>
      <c r="B25" s="4">
        <v>430</v>
      </c>
      <c r="C25" s="6">
        <v>0.8</v>
      </c>
      <c r="D25" s="6" t="s">
        <v>26</v>
      </c>
      <c r="E25" s="7" t="s">
        <v>25</v>
      </c>
      <c r="F25" s="4" t="s">
        <v>22</v>
      </c>
      <c r="G25" s="4">
        <v>430</v>
      </c>
      <c r="H25" s="8">
        <v>3100</v>
      </c>
      <c r="I25" s="9"/>
      <c r="J25" s="8">
        <f t="shared" ref="J25:J30" si="2">H25-I25</f>
        <v>3100</v>
      </c>
    </row>
    <row r="26" spans="1:10" ht="19.95" customHeight="1" x14ac:dyDescent="0.3">
      <c r="A26" s="4" t="s">
        <v>27</v>
      </c>
      <c r="B26" s="4">
        <v>304</v>
      </c>
      <c r="C26" s="6">
        <v>0.8</v>
      </c>
      <c r="D26" s="6" t="s">
        <v>28</v>
      </c>
      <c r="E26" s="7" t="s">
        <v>29</v>
      </c>
      <c r="F26" s="4" t="s">
        <v>22</v>
      </c>
      <c r="G26" s="8">
        <v>430</v>
      </c>
      <c r="H26" s="8">
        <v>3200</v>
      </c>
      <c r="I26" s="9"/>
      <c r="J26" s="8">
        <f t="shared" si="2"/>
        <v>3200</v>
      </c>
    </row>
    <row r="27" spans="1:10" ht="19.95" customHeight="1" x14ac:dyDescent="0.3">
      <c r="A27" s="4"/>
      <c r="B27" s="4"/>
      <c r="C27" s="6"/>
      <c r="D27" s="6"/>
      <c r="E27" s="7"/>
      <c r="F27" s="4"/>
      <c r="G27" s="4"/>
      <c r="H27" s="8"/>
      <c r="I27" s="9"/>
      <c r="J27" s="8">
        <f t="shared" si="2"/>
        <v>0</v>
      </c>
    </row>
    <row r="28" spans="1:10" ht="19.95" customHeight="1" x14ac:dyDescent="0.3">
      <c r="A28" s="4"/>
      <c r="B28" s="4"/>
      <c r="C28" s="6"/>
      <c r="D28" s="6"/>
      <c r="E28" s="7"/>
      <c r="F28" s="4"/>
      <c r="G28" s="8"/>
      <c r="H28" s="8"/>
      <c r="I28" s="9"/>
      <c r="J28" s="8">
        <f t="shared" si="2"/>
        <v>0</v>
      </c>
    </row>
    <row r="29" spans="1:10" ht="19.95" customHeight="1" x14ac:dyDescent="0.3">
      <c r="A29" s="4"/>
      <c r="B29" s="4"/>
      <c r="C29" s="6"/>
      <c r="D29" s="6"/>
      <c r="E29" s="7"/>
      <c r="F29" s="4"/>
      <c r="G29" s="4"/>
      <c r="H29" s="8"/>
      <c r="I29" s="9"/>
      <c r="J29" s="8">
        <f t="shared" si="2"/>
        <v>0</v>
      </c>
    </row>
    <row r="30" spans="1:10" ht="19.95" customHeight="1" x14ac:dyDescent="0.3">
      <c r="A30" s="4"/>
      <c r="B30" s="4"/>
      <c r="C30" s="6"/>
      <c r="D30" s="6"/>
      <c r="E30" s="7"/>
      <c r="F30" s="4"/>
      <c r="G30" s="4"/>
      <c r="H30" s="8"/>
      <c r="I30" s="9"/>
      <c r="J30" s="8">
        <f t="shared" si="2"/>
        <v>0</v>
      </c>
    </row>
    <row r="31" spans="1:10" ht="19.95" customHeight="1" x14ac:dyDescent="0.3">
      <c r="A31" s="10"/>
      <c r="B31" s="10"/>
      <c r="C31" s="10"/>
      <c r="D31" s="10"/>
      <c r="E31" s="11"/>
      <c r="F31" s="10"/>
      <c r="G31" s="12"/>
      <c r="H31" s="8">
        <f>SUM(H25:H30)</f>
        <v>6300</v>
      </c>
      <c r="I31" s="9">
        <f>SUM(I25:I30)</f>
        <v>0</v>
      </c>
      <c r="J31" s="8">
        <f>SUM(J25:J30)</f>
        <v>6300</v>
      </c>
    </row>
    <row r="32" spans="1:10" ht="19.95" customHeight="1" x14ac:dyDescent="0.3">
      <c r="A32" s="16"/>
      <c r="B32" s="16"/>
      <c r="C32" s="16"/>
      <c r="D32" s="16"/>
      <c r="E32" s="17"/>
      <c r="F32" s="16"/>
      <c r="G32" s="16"/>
      <c r="H32" s="18"/>
      <c r="I32" s="19"/>
      <c r="J32" s="18"/>
    </row>
    <row r="33" spans="1:10" ht="30" customHeight="1" x14ac:dyDescent="0.3">
      <c r="A33" s="31" t="s">
        <v>14</v>
      </c>
      <c r="B33" s="31"/>
      <c r="C33" s="31"/>
      <c r="D33" s="31"/>
      <c r="E33" s="31"/>
      <c r="F33" s="31"/>
      <c r="G33" s="31"/>
      <c r="H33" s="31"/>
      <c r="I33" s="31"/>
      <c r="J33" s="31"/>
    </row>
    <row r="34" spans="1:10" ht="30" customHeight="1" x14ac:dyDescent="0.3">
      <c r="A34" s="4" t="s">
        <v>2</v>
      </c>
      <c r="B34" s="4" t="s">
        <v>3</v>
      </c>
      <c r="C34" s="5" t="s">
        <v>4</v>
      </c>
      <c r="D34" s="5" t="s">
        <v>5</v>
      </c>
      <c r="E34" s="4" t="s">
        <v>6</v>
      </c>
      <c r="F34" s="5" t="s">
        <v>17</v>
      </c>
      <c r="G34" s="5" t="s">
        <v>7</v>
      </c>
      <c r="H34" s="4" t="s">
        <v>8</v>
      </c>
      <c r="I34" s="4" t="s">
        <v>9</v>
      </c>
      <c r="J34" s="4" t="s">
        <v>10</v>
      </c>
    </row>
    <row r="35" spans="1:10" ht="19.95" customHeight="1" x14ac:dyDescent="0.3">
      <c r="A35" s="4">
        <v>10925</v>
      </c>
      <c r="B35" s="4">
        <v>430</v>
      </c>
      <c r="C35" s="6">
        <v>0.8</v>
      </c>
      <c r="D35" s="6" t="s">
        <v>26</v>
      </c>
      <c r="E35" s="7" t="s">
        <v>25</v>
      </c>
      <c r="F35" s="4" t="s">
        <v>22</v>
      </c>
      <c r="G35" s="4">
        <v>430</v>
      </c>
      <c r="H35" s="8">
        <v>3100</v>
      </c>
      <c r="I35" s="9"/>
      <c r="J35" s="8">
        <f t="shared" ref="J35:J40" si="3">H35-I35</f>
        <v>3100</v>
      </c>
    </row>
    <row r="36" spans="1:10" ht="19.95" customHeight="1" x14ac:dyDescent="0.3">
      <c r="A36" s="4" t="s">
        <v>27</v>
      </c>
      <c r="B36" s="4">
        <v>304</v>
      </c>
      <c r="C36" s="6">
        <v>0.8</v>
      </c>
      <c r="D36" s="6" t="s">
        <v>28</v>
      </c>
      <c r="E36" s="7" t="s">
        <v>29</v>
      </c>
      <c r="F36" s="4" t="s">
        <v>22</v>
      </c>
      <c r="G36" s="8">
        <v>430</v>
      </c>
      <c r="H36" s="8">
        <v>3200</v>
      </c>
      <c r="I36" s="9"/>
      <c r="J36" s="8">
        <f t="shared" si="3"/>
        <v>3200</v>
      </c>
    </row>
    <row r="37" spans="1:10" ht="19.95" customHeight="1" x14ac:dyDescent="0.3">
      <c r="A37" s="4"/>
      <c r="B37" s="4"/>
      <c r="C37" s="6"/>
      <c r="D37" s="6"/>
      <c r="E37" s="7"/>
      <c r="F37" s="4"/>
      <c r="G37" s="4"/>
      <c r="H37" s="8"/>
      <c r="I37" s="9"/>
      <c r="J37" s="8">
        <f t="shared" si="3"/>
        <v>0</v>
      </c>
    </row>
    <row r="38" spans="1:10" ht="19.95" customHeight="1" x14ac:dyDescent="0.3">
      <c r="A38" s="4"/>
      <c r="B38" s="4"/>
      <c r="C38" s="6"/>
      <c r="D38" s="6"/>
      <c r="E38" s="7"/>
      <c r="F38" s="4"/>
      <c r="G38" s="8"/>
      <c r="H38" s="8"/>
      <c r="I38" s="9"/>
      <c r="J38" s="8">
        <f t="shared" si="3"/>
        <v>0</v>
      </c>
    </row>
    <row r="39" spans="1:10" ht="19.95" customHeight="1" x14ac:dyDescent="0.3">
      <c r="A39" s="4"/>
      <c r="B39" s="4"/>
      <c r="C39" s="6"/>
      <c r="D39" s="6"/>
      <c r="E39" s="7"/>
      <c r="F39" s="4"/>
      <c r="G39" s="4"/>
      <c r="H39" s="8"/>
      <c r="I39" s="9"/>
      <c r="J39" s="8">
        <f t="shared" si="3"/>
        <v>0</v>
      </c>
    </row>
    <row r="40" spans="1:10" ht="19.95" customHeight="1" x14ac:dyDescent="0.3">
      <c r="A40" s="4"/>
      <c r="B40" s="4"/>
      <c r="C40" s="6"/>
      <c r="D40" s="6"/>
      <c r="E40" s="7"/>
      <c r="F40" s="4"/>
      <c r="G40" s="4"/>
      <c r="H40" s="8"/>
      <c r="I40" s="9"/>
      <c r="J40" s="8">
        <f t="shared" si="3"/>
        <v>0</v>
      </c>
    </row>
    <row r="41" spans="1:10" ht="19.95" customHeight="1" x14ac:dyDescent="0.3">
      <c r="A41" s="10"/>
      <c r="B41" s="10"/>
      <c r="C41" s="10"/>
      <c r="D41" s="10"/>
      <c r="E41" s="11"/>
      <c r="F41" s="10"/>
      <c r="G41" s="12"/>
      <c r="H41" s="8">
        <f>SUM(H35:H40)</f>
        <v>6300</v>
      </c>
      <c r="I41" s="9">
        <f>SUM(I35:I40)</f>
        <v>0</v>
      </c>
      <c r="J41" s="8">
        <f>SUM(J35:J40)</f>
        <v>6300</v>
      </c>
    </row>
    <row r="42" spans="1:10" ht="19.95" customHeight="1" x14ac:dyDescent="0.3">
      <c r="A42" s="16"/>
      <c r="B42" s="16"/>
      <c r="C42" s="16"/>
      <c r="D42" s="16"/>
      <c r="E42" s="17"/>
      <c r="F42" s="16"/>
      <c r="G42" s="16"/>
      <c r="H42" s="18"/>
      <c r="I42" s="19"/>
      <c r="J42" s="18"/>
    </row>
    <row r="43" spans="1:10" ht="30" customHeight="1" x14ac:dyDescent="0.3">
      <c r="A43" s="31" t="s">
        <v>16</v>
      </c>
      <c r="B43" s="31"/>
      <c r="C43" s="31"/>
      <c r="D43" s="31"/>
      <c r="E43" s="31"/>
      <c r="F43" s="31"/>
      <c r="G43" s="31"/>
      <c r="H43" s="31"/>
      <c r="I43" s="31"/>
      <c r="J43" s="31"/>
    </row>
    <row r="44" spans="1:10" ht="30" customHeight="1" x14ac:dyDescent="0.3">
      <c r="A44" s="4" t="s">
        <v>2</v>
      </c>
      <c r="B44" s="4" t="s">
        <v>3</v>
      </c>
      <c r="C44" s="5" t="s">
        <v>4</v>
      </c>
      <c r="D44" s="5" t="s">
        <v>5</v>
      </c>
      <c r="E44" s="4" t="s">
        <v>6</v>
      </c>
      <c r="F44" s="5" t="s">
        <v>18</v>
      </c>
      <c r="G44" s="5" t="s">
        <v>7</v>
      </c>
      <c r="H44" s="4" t="s">
        <v>8</v>
      </c>
      <c r="I44" s="4" t="s">
        <v>9</v>
      </c>
      <c r="J44" s="4" t="s">
        <v>10</v>
      </c>
    </row>
    <row r="45" spans="1:10" ht="19.95" customHeight="1" x14ac:dyDescent="0.3">
      <c r="A45" s="4"/>
      <c r="B45" s="4"/>
      <c r="C45" s="6"/>
      <c r="D45" s="6"/>
      <c r="E45" s="7"/>
      <c r="F45" s="4"/>
      <c r="G45" s="4"/>
      <c r="H45" s="8"/>
      <c r="I45" s="9"/>
      <c r="J45" s="8">
        <f t="shared" ref="J45:J50" si="4">H45-I45</f>
        <v>0</v>
      </c>
    </row>
    <row r="46" spans="1:10" ht="19.95" customHeight="1" x14ac:dyDescent="0.3">
      <c r="A46" s="4"/>
      <c r="B46" s="4"/>
      <c r="C46" s="6"/>
      <c r="D46" s="6"/>
      <c r="E46" s="7"/>
      <c r="F46" s="4"/>
      <c r="G46" s="4"/>
      <c r="H46" s="8"/>
      <c r="I46" s="9"/>
      <c r="J46" s="8">
        <f t="shared" si="4"/>
        <v>0</v>
      </c>
    </row>
    <row r="47" spans="1:10" ht="19.95" customHeight="1" x14ac:dyDescent="0.3">
      <c r="A47" s="4"/>
      <c r="B47" s="4"/>
      <c r="C47" s="6"/>
      <c r="D47" s="6"/>
      <c r="E47" s="7"/>
      <c r="F47" s="4"/>
      <c r="G47" s="4"/>
      <c r="H47" s="8"/>
      <c r="I47" s="9"/>
      <c r="J47" s="8">
        <f t="shared" si="4"/>
        <v>0</v>
      </c>
    </row>
    <row r="48" spans="1:10" ht="19.95" customHeight="1" x14ac:dyDescent="0.3">
      <c r="A48" s="4"/>
      <c r="B48" s="4"/>
      <c r="C48" s="6"/>
      <c r="D48" s="6"/>
      <c r="E48" s="7"/>
      <c r="F48" s="4"/>
      <c r="G48" s="8"/>
      <c r="H48" s="8"/>
      <c r="I48" s="9"/>
      <c r="J48" s="8">
        <f t="shared" si="4"/>
        <v>0</v>
      </c>
    </row>
    <row r="49" spans="1:10" ht="19.95" customHeight="1" x14ac:dyDescent="0.3">
      <c r="A49" s="4"/>
      <c r="B49" s="4"/>
      <c r="C49" s="6"/>
      <c r="D49" s="6"/>
      <c r="E49" s="7"/>
      <c r="F49" s="4"/>
      <c r="G49" s="4"/>
      <c r="H49" s="8"/>
      <c r="I49" s="9"/>
      <c r="J49" s="8">
        <f t="shared" si="4"/>
        <v>0</v>
      </c>
    </row>
    <row r="50" spans="1:10" ht="19.95" customHeight="1" x14ac:dyDescent="0.3">
      <c r="A50" s="4"/>
      <c r="B50" s="4"/>
      <c r="C50" s="6"/>
      <c r="D50" s="6"/>
      <c r="E50" s="7"/>
      <c r="F50" s="4"/>
      <c r="G50" s="4"/>
      <c r="H50" s="8"/>
      <c r="I50" s="9"/>
      <c r="J50" s="8">
        <f t="shared" si="4"/>
        <v>0</v>
      </c>
    </row>
    <row r="51" spans="1:10" ht="19.95" customHeight="1" x14ac:dyDescent="0.3">
      <c r="A51" s="10"/>
      <c r="B51" s="10"/>
      <c r="C51" s="10"/>
      <c r="D51" s="10"/>
      <c r="E51" s="11"/>
      <c r="F51" s="10"/>
      <c r="G51" s="12"/>
      <c r="H51" s="8">
        <f>SUM(H45:H50)</f>
        <v>0</v>
      </c>
      <c r="I51" s="9">
        <f>SUM(I45:I50)</f>
        <v>0</v>
      </c>
      <c r="J51" s="8">
        <f>SUM(J45:J50)</f>
        <v>0</v>
      </c>
    </row>
    <row r="52" spans="1:10" ht="19.95" customHeight="1" x14ac:dyDescent="0.3">
      <c r="A52" s="16"/>
      <c r="B52" s="16"/>
      <c r="C52" s="16"/>
      <c r="D52" s="16"/>
      <c r="E52" s="17"/>
      <c r="F52" s="16"/>
      <c r="G52" s="16"/>
      <c r="H52" s="18"/>
      <c r="I52" s="19"/>
      <c r="J52" s="18"/>
    </row>
    <row r="54" spans="1:10" ht="23.4" x14ac:dyDescent="0.3">
      <c r="A54" s="31" t="s">
        <v>11</v>
      </c>
      <c r="B54" s="31"/>
      <c r="C54" s="31"/>
      <c r="D54" s="31"/>
      <c r="E54" s="31"/>
      <c r="F54" s="31"/>
      <c r="G54" s="31"/>
      <c r="H54" s="31"/>
      <c r="I54" s="31"/>
      <c r="J54" s="31"/>
    </row>
  </sheetData>
  <mergeCells count="8">
    <mergeCell ref="A43:J43"/>
    <mergeCell ref="A54:J54"/>
    <mergeCell ref="I1:J1"/>
    <mergeCell ref="A2:J2"/>
    <mergeCell ref="A3:J3"/>
    <mergeCell ref="A13:J13"/>
    <mergeCell ref="A23:J23"/>
    <mergeCell ref="A33:J33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45" orientation="landscape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zoomScale="55" zoomScaleNormal="55" workbookViewId="0">
      <selection activeCell="I15" sqref="I15"/>
    </sheetView>
  </sheetViews>
  <sheetFormatPr defaultRowHeight="14.4" x14ac:dyDescent="0.3"/>
  <cols>
    <col min="1" max="1" width="15.6640625" customWidth="1"/>
    <col min="2" max="3" width="12.6640625" customWidth="1"/>
    <col min="4" max="4" width="15.6640625" customWidth="1"/>
    <col min="5" max="5" width="80.6640625" customWidth="1"/>
    <col min="6" max="6" width="20.6640625" style="15" customWidth="1"/>
    <col min="7" max="7" width="12.33203125" customWidth="1"/>
    <col min="8" max="10" width="15.6640625" customWidth="1"/>
  </cols>
  <sheetData>
    <row r="1" spans="1:10" s="1" customFormat="1" ht="30" customHeight="1" x14ac:dyDescent="0.3">
      <c r="F1" s="2"/>
      <c r="G1" s="2"/>
      <c r="H1" s="3" t="s">
        <v>0</v>
      </c>
      <c r="I1" s="27">
        <v>45929</v>
      </c>
      <c r="J1" s="27"/>
    </row>
    <row r="2" spans="1:10" ht="40.049999999999997" customHeight="1" x14ac:dyDescent="0.3">
      <c r="A2" s="28" t="s">
        <v>30</v>
      </c>
      <c r="B2" s="29"/>
      <c r="C2" s="29"/>
      <c r="D2" s="29"/>
      <c r="E2" s="29"/>
      <c r="F2" s="29"/>
      <c r="G2" s="29"/>
      <c r="H2" s="29"/>
      <c r="I2" s="29"/>
      <c r="J2" s="30"/>
    </row>
    <row r="3" spans="1:10" ht="30" customHeight="1" x14ac:dyDescent="0.3">
      <c r="A3" s="31" t="s">
        <v>12</v>
      </c>
      <c r="B3" s="31"/>
      <c r="C3" s="31"/>
      <c r="D3" s="31"/>
      <c r="E3" s="31"/>
      <c r="F3" s="31"/>
      <c r="G3" s="31"/>
      <c r="H3" s="31"/>
      <c r="I3" s="31"/>
      <c r="J3" s="31"/>
    </row>
    <row r="4" spans="1:10" ht="30" customHeight="1" x14ac:dyDescent="0.3">
      <c r="A4" s="4" t="s">
        <v>2</v>
      </c>
      <c r="B4" s="4" t="s">
        <v>3</v>
      </c>
      <c r="C4" s="5" t="s">
        <v>4</v>
      </c>
      <c r="D4" s="5" t="s">
        <v>5</v>
      </c>
      <c r="E4" s="4" t="s">
        <v>6</v>
      </c>
      <c r="F4" s="5" t="s">
        <v>17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0" ht="19.95" customHeight="1" x14ac:dyDescent="0.3">
      <c r="A5" s="4">
        <v>10925</v>
      </c>
      <c r="B5" s="4">
        <v>430</v>
      </c>
      <c r="C5" s="6">
        <v>0.8</v>
      </c>
      <c r="D5" s="6" t="s">
        <v>22</v>
      </c>
      <c r="E5" s="7" t="s">
        <v>31</v>
      </c>
      <c r="F5" s="4" t="s">
        <v>34</v>
      </c>
      <c r="G5" s="4" t="s">
        <v>22</v>
      </c>
      <c r="H5" s="8">
        <v>3100</v>
      </c>
      <c r="I5" s="9">
        <v>1085</v>
      </c>
      <c r="J5" s="8">
        <f t="shared" ref="J5:J10" si="0">H5-I5</f>
        <v>2015</v>
      </c>
    </row>
    <row r="6" spans="1:10" ht="19.95" customHeight="1" x14ac:dyDescent="0.3">
      <c r="A6" s="4" t="s">
        <v>27</v>
      </c>
      <c r="B6" s="4">
        <v>304</v>
      </c>
      <c r="C6" s="6">
        <v>0.8</v>
      </c>
      <c r="D6" s="6" t="s">
        <v>22</v>
      </c>
      <c r="E6" s="7" t="s">
        <v>32</v>
      </c>
      <c r="F6" s="4" t="s">
        <v>33</v>
      </c>
      <c r="G6" s="8" t="s">
        <v>22</v>
      </c>
      <c r="H6" s="8">
        <v>3200</v>
      </c>
      <c r="I6" s="9"/>
      <c r="J6" s="8">
        <f t="shared" si="0"/>
        <v>3200</v>
      </c>
    </row>
    <row r="7" spans="1:10" ht="19.95" customHeight="1" x14ac:dyDescent="0.3">
      <c r="A7" s="4"/>
      <c r="B7" s="4"/>
      <c r="C7" s="6"/>
      <c r="D7" s="6"/>
      <c r="E7" s="7"/>
      <c r="F7" s="4"/>
      <c r="G7" s="8"/>
      <c r="H7" s="8"/>
      <c r="I7" s="9"/>
      <c r="J7" s="8">
        <f t="shared" si="0"/>
        <v>0</v>
      </c>
    </row>
    <row r="8" spans="1:10" ht="19.95" customHeight="1" x14ac:dyDescent="0.3">
      <c r="A8" s="4"/>
      <c r="B8" s="4"/>
      <c r="C8" s="6"/>
      <c r="D8" s="6"/>
      <c r="E8" s="7"/>
      <c r="F8" s="4"/>
      <c r="G8" s="8"/>
      <c r="H8" s="8"/>
      <c r="I8" s="9"/>
      <c r="J8" s="8">
        <f t="shared" si="0"/>
        <v>0</v>
      </c>
    </row>
    <row r="9" spans="1:10" ht="19.95" customHeight="1" x14ac:dyDescent="0.3">
      <c r="A9" s="4"/>
      <c r="B9" s="4"/>
      <c r="C9" s="6"/>
      <c r="D9" s="6"/>
      <c r="E9" s="7"/>
      <c r="F9" s="4"/>
      <c r="G9" s="8"/>
      <c r="H9" s="8"/>
      <c r="I9" s="9"/>
      <c r="J9" s="8">
        <f t="shared" si="0"/>
        <v>0</v>
      </c>
    </row>
    <row r="10" spans="1:10" ht="19.95" customHeight="1" x14ac:dyDescent="0.3">
      <c r="A10" s="4"/>
      <c r="B10" s="4"/>
      <c r="C10" s="6"/>
      <c r="D10" s="6"/>
      <c r="E10" s="7"/>
      <c r="F10" s="4"/>
      <c r="G10" s="4"/>
      <c r="H10" s="8"/>
      <c r="I10" s="9"/>
      <c r="J10" s="8">
        <f t="shared" si="0"/>
        <v>0</v>
      </c>
    </row>
    <row r="11" spans="1:10" ht="19.95" customHeight="1" x14ac:dyDescent="0.3">
      <c r="A11" s="10"/>
      <c r="B11" s="10"/>
      <c r="C11" s="10"/>
      <c r="D11" s="10"/>
      <c r="E11" s="11"/>
      <c r="F11" s="10"/>
      <c r="G11" s="12"/>
      <c r="H11" s="13">
        <f>SUM(H5:H10)</f>
        <v>6300</v>
      </c>
      <c r="I11" s="14">
        <f>SUM(I5:I10)</f>
        <v>1085</v>
      </c>
      <c r="J11" s="8">
        <f>SUM(J5:J10)</f>
        <v>5215</v>
      </c>
    </row>
    <row r="13" spans="1:10" ht="30" customHeight="1" x14ac:dyDescent="0.3">
      <c r="A13" s="31" t="s">
        <v>15</v>
      </c>
      <c r="B13" s="31"/>
      <c r="C13" s="31"/>
      <c r="D13" s="31"/>
      <c r="E13" s="31"/>
      <c r="F13" s="31"/>
      <c r="G13" s="31"/>
      <c r="H13" s="31"/>
      <c r="I13" s="31"/>
      <c r="J13" s="31"/>
    </row>
    <row r="14" spans="1:10" ht="30" customHeight="1" x14ac:dyDescent="0.3">
      <c r="A14" s="4" t="s">
        <v>2</v>
      </c>
      <c r="B14" s="4" t="s">
        <v>3</v>
      </c>
      <c r="C14" s="5" t="s">
        <v>4</v>
      </c>
      <c r="D14" s="5" t="s">
        <v>5</v>
      </c>
      <c r="E14" s="4" t="s">
        <v>6</v>
      </c>
      <c r="F14" s="5" t="s">
        <v>17</v>
      </c>
      <c r="G14" s="5" t="s">
        <v>7</v>
      </c>
      <c r="H14" s="4" t="s">
        <v>8</v>
      </c>
      <c r="I14" s="4" t="s">
        <v>9</v>
      </c>
      <c r="J14" s="4" t="s">
        <v>10</v>
      </c>
    </row>
    <row r="15" spans="1:10" ht="19.95" customHeight="1" x14ac:dyDescent="0.3">
      <c r="A15" s="4">
        <v>10925</v>
      </c>
      <c r="B15" s="4">
        <v>430</v>
      </c>
      <c r="C15" s="6">
        <v>0.8</v>
      </c>
      <c r="D15" s="6" t="s">
        <v>22</v>
      </c>
      <c r="E15" s="7" t="s">
        <v>31</v>
      </c>
      <c r="F15" s="4" t="s">
        <v>34</v>
      </c>
      <c r="G15" s="4" t="s">
        <v>22</v>
      </c>
      <c r="H15" s="8">
        <v>3100</v>
      </c>
      <c r="I15" s="9">
        <v>700</v>
      </c>
      <c r="J15" s="8">
        <f t="shared" ref="J15:J20" si="1">H15-I15</f>
        <v>2400</v>
      </c>
    </row>
    <row r="16" spans="1:10" ht="19.95" customHeight="1" x14ac:dyDescent="0.3">
      <c r="A16" s="4" t="s">
        <v>27</v>
      </c>
      <c r="B16" s="4">
        <v>304</v>
      </c>
      <c r="C16" s="6">
        <v>0.8</v>
      </c>
      <c r="D16" s="6" t="s">
        <v>22</v>
      </c>
      <c r="E16" s="7" t="s">
        <v>32</v>
      </c>
      <c r="F16" s="4" t="s">
        <v>33</v>
      </c>
      <c r="G16" s="8" t="s">
        <v>22</v>
      </c>
      <c r="H16" s="8">
        <v>3200</v>
      </c>
      <c r="I16" s="9"/>
      <c r="J16" s="8">
        <f t="shared" si="1"/>
        <v>3200</v>
      </c>
    </row>
    <row r="17" spans="1:10" ht="19.95" customHeight="1" x14ac:dyDescent="0.3">
      <c r="A17" s="4"/>
      <c r="B17" s="4"/>
      <c r="C17" s="6"/>
      <c r="D17" s="6"/>
      <c r="E17" s="7"/>
      <c r="F17" s="4"/>
      <c r="G17" s="4"/>
      <c r="H17" s="8"/>
      <c r="I17" s="9"/>
      <c r="J17" s="8">
        <f t="shared" si="1"/>
        <v>0</v>
      </c>
    </row>
    <row r="18" spans="1:10" ht="19.95" customHeight="1" x14ac:dyDescent="0.3">
      <c r="A18" s="4"/>
      <c r="B18" s="4"/>
      <c r="C18" s="6"/>
      <c r="D18" s="6"/>
      <c r="E18" s="7"/>
      <c r="F18" s="4"/>
      <c r="G18" s="8"/>
      <c r="H18" s="8"/>
      <c r="I18" s="9"/>
      <c r="J18" s="8">
        <f t="shared" si="1"/>
        <v>0</v>
      </c>
    </row>
    <row r="19" spans="1:10" ht="19.95" customHeight="1" x14ac:dyDescent="0.3">
      <c r="A19" s="4"/>
      <c r="B19" s="4"/>
      <c r="C19" s="6"/>
      <c r="D19" s="6"/>
      <c r="E19" s="7"/>
      <c r="F19" s="4"/>
      <c r="G19" s="4"/>
      <c r="H19" s="8"/>
      <c r="I19" s="9"/>
      <c r="J19" s="8">
        <f t="shared" si="1"/>
        <v>0</v>
      </c>
    </row>
    <row r="20" spans="1:10" ht="19.95" customHeight="1" x14ac:dyDescent="0.3">
      <c r="A20" s="4"/>
      <c r="B20" s="4"/>
      <c r="C20" s="6"/>
      <c r="D20" s="6"/>
      <c r="E20" s="7"/>
      <c r="F20" s="4"/>
      <c r="G20" s="4"/>
      <c r="H20" s="8"/>
      <c r="I20" s="9"/>
      <c r="J20" s="8">
        <f t="shared" si="1"/>
        <v>0</v>
      </c>
    </row>
    <row r="21" spans="1:10" ht="19.95" customHeight="1" x14ac:dyDescent="0.3">
      <c r="A21" s="10"/>
      <c r="B21" s="10"/>
      <c r="C21" s="10"/>
      <c r="D21" s="10"/>
      <c r="E21" s="11"/>
      <c r="F21" s="10"/>
      <c r="G21" s="12"/>
      <c r="H21" s="8">
        <f>SUM(H15:H20)</f>
        <v>6300</v>
      </c>
      <c r="I21" s="9">
        <f>SUM(I15:I20)</f>
        <v>700</v>
      </c>
      <c r="J21" s="8">
        <f>SUM(J15:J20)</f>
        <v>5600</v>
      </c>
    </row>
    <row r="22" spans="1:10" ht="19.95" customHeight="1" x14ac:dyDescent="0.3">
      <c r="A22" s="16"/>
      <c r="B22" s="16"/>
      <c r="C22" s="16"/>
      <c r="D22" s="16"/>
      <c r="E22" s="17"/>
      <c r="F22" s="16"/>
      <c r="G22" s="16"/>
      <c r="H22" s="18"/>
      <c r="I22" s="19"/>
      <c r="J22" s="18"/>
    </row>
    <row r="23" spans="1:10" ht="30" customHeight="1" x14ac:dyDescent="0.3">
      <c r="A23" s="31" t="s">
        <v>13</v>
      </c>
      <c r="B23" s="31"/>
      <c r="C23" s="31"/>
      <c r="D23" s="31"/>
      <c r="E23" s="31"/>
      <c r="F23" s="31"/>
      <c r="G23" s="31"/>
      <c r="H23" s="31"/>
      <c r="I23" s="31"/>
      <c r="J23" s="31"/>
    </row>
    <row r="24" spans="1:10" ht="30" customHeight="1" x14ac:dyDescent="0.3">
      <c r="A24" s="4" t="s">
        <v>2</v>
      </c>
      <c r="B24" s="4" t="s">
        <v>3</v>
      </c>
      <c r="C24" s="5" t="s">
        <v>4</v>
      </c>
      <c r="D24" s="5" t="s">
        <v>5</v>
      </c>
      <c r="E24" s="4" t="s">
        <v>6</v>
      </c>
      <c r="F24" s="5" t="s">
        <v>17</v>
      </c>
      <c r="G24" s="5" t="s">
        <v>7</v>
      </c>
      <c r="H24" s="4" t="s">
        <v>8</v>
      </c>
      <c r="I24" s="4" t="s">
        <v>9</v>
      </c>
      <c r="J24" s="4" t="s">
        <v>10</v>
      </c>
    </row>
    <row r="25" spans="1:10" ht="19.95" customHeight="1" x14ac:dyDescent="0.3">
      <c r="A25" s="4">
        <v>10925</v>
      </c>
      <c r="B25" s="4">
        <v>430</v>
      </c>
      <c r="C25" s="6">
        <v>0.8</v>
      </c>
      <c r="D25" s="6" t="s">
        <v>22</v>
      </c>
      <c r="E25" s="7" t="s">
        <v>31</v>
      </c>
      <c r="F25" s="4" t="s">
        <v>34</v>
      </c>
      <c r="G25" s="4" t="s">
        <v>22</v>
      </c>
      <c r="H25" s="8">
        <v>3100</v>
      </c>
      <c r="I25" s="9"/>
      <c r="J25" s="8">
        <f t="shared" ref="J25:J30" si="2">H25-I25</f>
        <v>3100</v>
      </c>
    </row>
    <row r="26" spans="1:10" ht="19.95" customHeight="1" x14ac:dyDescent="0.3">
      <c r="A26" s="4" t="s">
        <v>27</v>
      </c>
      <c r="B26" s="4">
        <v>304</v>
      </c>
      <c r="C26" s="6">
        <v>0.8</v>
      </c>
      <c r="D26" s="6" t="s">
        <v>22</v>
      </c>
      <c r="E26" s="7" t="s">
        <v>32</v>
      </c>
      <c r="F26" s="4" t="s">
        <v>33</v>
      </c>
      <c r="G26" s="8" t="s">
        <v>22</v>
      </c>
      <c r="H26" s="8">
        <v>3200</v>
      </c>
      <c r="I26" s="9"/>
      <c r="J26" s="8">
        <f t="shared" si="2"/>
        <v>3200</v>
      </c>
    </row>
    <row r="27" spans="1:10" ht="19.95" customHeight="1" x14ac:dyDescent="0.3">
      <c r="A27" s="4"/>
      <c r="B27" s="4"/>
      <c r="C27" s="6"/>
      <c r="D27" s="6"/>
      <c r="E27" s="7"/>
      <c r="F27" s="4"/>
      <c r="G27" s="4"/>
      <c r="H27" s="8"/>
      <c r="I27" s="9"/>
      <c r="J27" s="8">
        <f t="shared" si="2"/>
        <v>0</v>
      </c>
    </row>
    <row r="28" spans="1:10" ht="19.95" customHeight="1" x14ac:dyDescent="0.3">
      <c r="A28" s="4"/>
      <c r="B28" s="4"/>
      <c r="C28" s="6"/>
      <c r="D28" s="6"/>
      <c r="E28" s="7"/>
      <c r="F28" s="4"/>
      <c r="G28" s="8"/>
      <c r="H28" s="8"/>
      <c r="I28" s="9"/>
      <c r="J28" s="8">
        <f t="shared" si="2"/>
        <v>0</v>
      </c>
    </row>
    <row r="29" spans="1:10" ht="19.95" customHeight="1" x14ac:dyDescent="0.3">
      <c r="A29" s="4"/>
      <c r="B29" s="4"/>
      <c r="C29" s="6"/>
      <c r="D29" s="6"/>
      <c r="E29" s="7"/>
      <c r="F29" s="4"/>
      <c r="G29" s="4"/>
      <c r="H29" s="8"/>
      <c r="I29" s="9"/>
      <c r="J29" s="8">
        <f t="shared" si="2"/>
        <v>0</v>
      </c>
    </row>
    <row r="30" spans="1:10" ht="19.95" customHeight="1" x14ac:dyDescent="0.3">
      <c r="A30" s="4"/>
      <c r="B30" s="4"/>
      <c r="C30" s="6"/>
      <c r="D30" s="6"/>
      <c r="E30" s="7"/>
      <c r="F30" s="4"/>
      <c r="G30" s="4"/>
      <c r="H30" s="8"/>
      <c r="I30" s="9"/>
      <c r="J30" s="8">
        <f t="shared" si="2"/>
        <v>0</v>
      </c>
    </row>
    <row r="31" spans="1:10" ht="19.95" customHeight="1" x14ac:dyDescent="0.3">
      <c r="A31" s="10"/>
      <c r="B31" s="10"/>
      <c r="C31" s="10"/>
      <c r="D31" s="10"/>
      <c r="E31" s="11"/>
      <c r="F31" s="10"/>
      <c r="G31" s="12"/>
      <c r="H31" s="8">
        <f>SUM(H25:H30)</f>
        <v>6300</v>
      </c>
      <c r="I31" s="9">
        <f>SUM(I25:I30)</f>
        <v>0</v>
      </c>
      <c r="J31" s="8">
        <f>SUM(J25:J30)</f>
        <v>6300</v>
      </c>
    </row>
    <row r="32" spans="1:10" ht="19.95" customHeight="1" x14ac:dyDescent="0.3">
      <c r="A32" s="16"/>
      <c r="B32" s="16"/>
      <c r="C32" s="16"/>
      <c r="D32" s="16"/>
      <c r="E32" s="17"/>
      <c r="F32" s="16"/>
      <c r="G32" s="16"/>
      <c r="H32" s="18"/>
      <c r="I32" s="19"/>
      <c r="J32" s="18"/>
    </row>
    <row r="33" spans="1:10" ht="30" customHeight="1" x14ac:dyDescent="0.3">
      <c r="A33" s="31" t="s">
        <v>14</v>
      </c>
      <c r="B33" s="31"/>
      <c r="C33" s="31"/>
      <c r="D33" s="31"/>
      <c r="E33" s="31"/>
      <c r="F33" s="31"/>
      <c r="G33" s="31"/>
      <c r="H33" s="31"/>
      <c r="I33" s="31"/>
      <c r="J33" s="31"/>
    </row>
    <row r="34" spans="1:10" ht="30" customHeight="1" x14ac:dyDescent="0.3">
      <c r="A34" s="4" t="s">
        <v>2</v>
      </c>
      <c r="B34" s="4" t="s">
        <v>3</v>
      </c>
      <c r="C34" s="5" t="s">
        <v>4</v>
      </c>
      <c r="D34" s="5" t="s">
        <v>5</v>
      </c>
      <c r="E34" s="4" t="s">
        <v>6</v>
      </c>
      <c r="F34" s="5" t="s">
        <v>17</v>
      </c>
      <c r="G34" s="5" t="s">
        <v>7</v>
      </c>
      <c r="H34" s="4" t="s">
        <v>8</v>
      </c>
      <c r="I34" s="4" t="s">
        <v>9</v>
      </c>
      <c r="J34" s="4" t="s">
        <v>10</v>
      </c>
    </row>
    <row r="35" spans="1:10" ht="19.95" customHeight="1" x14ac:dyDescent="0.3">
      <c r="A35" s="4">
        <v>10925</v>
      </c>
      <c r="B35" s="4">
        <v>430</v>
      </c>
      <c r="C35" s="6">
        <v>0.8</v>
      </c>
      <c r="D35" s="6" t="s">
        <v>22</v>
      </c>
      <c r="E35" s="7" t="s">
        <v>31</v>
      </c>
      <c r="F35" s="4" t="s">
        <v>34</v>
      </c>
      <c r="G35" s="4" t="s">
        <v>22</v>
      </c>
      <c r="H35" s="8">
        <v>3100</v>
      </c>
      <c r="I35" s="9"/>
      <c r="J35" s="8">
        <f t="shared" ref="J35:J40" si="3">H35-I35</f>
        <v>3100</v>
      </c>
    </row>
    <row r="36" spans="1:10" ht="19.95" customHeight="1" x14ac:dyDescent="0.3">
      <c r="A36" s="4" t="s">
        <v>27</v>
      </c>
      <c r="B36" s="4">
        <v>304</v>
      </c>
      <c r="C36" s="6">
        <v>0.8</v>
      </c>
      <c r="D36" s="6" t="s">
        <v>22</v>
      </c>
      <c r="E36" s="7" t="s">
        <v>32</v>
      </c>
      <c r="F36" s="4" t="s">
        <v>33</v>
      </c>
      <c r="G36" s="8" t="s">
        <v>22</v>
      </c>
      <c r="H36" s="8">
        <v>3200</v>
      </c>
      <c r="I36" s="9"/>
      <c r="J36" s="8">
        <f t="shared" si="3"/>
        <v>3200</v>
      </c>
    </row>
    <row r="37" spans="1:10" ht="19.95" customHeight="1" x14ac:dyDescent="0.3">
      <c r="A37" s="4"/>
      <c r="B37" s="4"/>
      <c r="C37" s="6"/>
      <c r="D37" s="6"/>
      <c r="E37" s="7"/>
      <c r="F37" s="4"/>
      <c r="G37" s="4"/>
      <c r="H37" s="8"/>
      <c r="I37" s="9"/>
      <c r="J37" s="8">
        <f t="shared" si="3"/>
        <v>0</v>
      </c>
    </row>
    <row r="38" spans="1:10" ht="19.95" customHeight="1" x14ac:dyDescent="0.3">
      <c r="A38" s="4"/>
      <c r="B38" s="4"/>
      <c r="C38" s="6"/>
      <c r="D38" s="6"/>
      <c r="E38" s="7"/>
      <c r="F38" s="4"/>
      <c r="G38" s="8"/>
      <c r="H38" s="8"/>
      <c r="I38" s="9"/>
      <c r="J38" s="8">
        <f t="shared" si="3"/>
        <v>0</v>
      </c>
    </row>
    <row r="39" spans="1:10" ht="19.95" customHeight="1" x14ac:dyDescent="0.3">
      <c r="A39" s="4"/>
      <c r="B39" s="4"/>
      <c r="C39" s="6"/>
      <c r="D39" s="6"/>
      <c r="E39" s="7"/>
      <c r="F39" s="4"/>
      <c r="G39" s="4"/>
      <c r="H39" s="8"/>
      <c r="I39" s="9"/>
      <c r="J39" s="8">
        <f t="shared" si="3"/>
        <v>0</v>
      </c>
    </row>
    <row r="40" spans="1:10" ht="19.95" customHeight="1" x14ac:dyDescent="0.3">
      <c r="A40" s="4"/>
      <c r="B40" s="4"/>
      <c r="C40" s="6"/>
      <c r="D40" s="6"/>
      <c r="E40" s="7"/>
      <c r="F40" s="4"/>
      <c r="G40" s="4"/>
      <c r="H40" s="8"/>
      <c r="I40" s="9"/>
      <c r="J40" s="8">
        <f t="shared" si="3"/>
        <v>0</v>
      </c>
    </row>
    <row r="41" spans="1:10" ht="19.95" customHeight="1" x14ac:dyDescent="0.3">
      <c r="A41" s="10"/>
      <c r="B41" s="10"/>
      <c r="C41" s="10"/>
      <c r="D41" s="10"/>
      <c r="E41" s="11"/>
      <c r="F41" s="10"/>
      <c r="G41" s="12"/>
      <c r="H41" s="8">
        <f>SUM(H35:H40)</f>
        <v>6300</v>
      </c>
      <c r="I41" s="9">
        <f>SUM(I35:I40)</f>
        <v>0</v>
      </c>
      <c r="J41" s="8">
        <f>SUM(J35:J40)</f>
        <v>6300</v>
      </c>
    </row>
    <row r="42" spans="1:10" ht="19.95" customHeight="1" x14ac:dyDescent="0.3">
      <c r="A42" s="16"/>
      <c r="B42" s="16"/>
      <c r="C42" s="16"/>
      <c r="D42" s="16"/>
      <c r="E42" s="17"/>
      <c r="F42" s="16"/>
      <c r="G42" s="16"/>
      <c r="H42" s="18"/>
      <c r="I42" s="19"/>
      <c r="J42" s="18"/>
    </row>
    <row r="43" spans="1:10" ht="30" customHeight="1" x14ac:dyDescent="0.3">
      <c r="A43" s="31" t="s">
        <v>16</v>
      </c>
      <c r="B43" s="31"/>
      <c r="C43" s="31"/>
      <c r="D43" s="31"/>
      <c r="E43" s="31"/>
      <c r="F43" s="31"/>
      <c r="G43" s="31"/>
      <c r="H43" s="31"/>
      <c r="I43" s="31"/>
      <c r="J43" s="31"/>
    </row>
    <row r="44" spans="1:10" ht="30" customHeight="1" x14ac:dyDescent="0.3">
      <c r="A44" s="4" t="s">
        <v>2</v>
      </c>
      <c r="B44" s="4" t="s">
        <v>3</v>
      </c>
      <c r="C44" s="5" t="s">
        <v>4</v>
      </c>
      <c r="D44" s="5" t="s">
        <v>5</v>
      </c>
      <c r="E44" s="4" t="s">
        <v>6</v>
      </c>
      <c r="F44" s="5" t="s">
        <v>18</v>
      </c>
      <c r="G44" s="5" t="s">
        <v>7</v>
      </c>
      <c r="H44" s="4" t="s">
        <v>8</v>
      </c>
      <c r="I44" s="4" t="s">
        <v>9</v>
      </c>
      <c r="J44" s="4" t="s">
        <v>10</v>
      </c>
    </row>
    <row r="45" spans="1:10" ht="19.95" customHeight="1" x14ac:dyDescent="0.3">
      <c r="A45" s="4"/>
      <c r="B45" s="4"/>
      <c r="C45" s="6"/>
      <c r="D45" s="6"/>
      <c r="E45" s="7"/>
      <c r="F45" s="4"/>
      <c r="G45" s="4"/>
      <c r="H45" s="8"/>
      <c r="I45" s="9"/>
      <c r="J45" s="8">
        <f t="shared" ref="J45:J50" si="4">H45-I45</f>
        <v>0</v>
      </c>
    </row>
    <row r="46" spans="1:10" ht="19.95" customHeight="1" x14ac:dyDescent="0.3">
      <c r="A46" s="4"/>
      <c r="B46" s="4"/>
      <c r="C46" s="6"/>
      <c r="D46" s="6"/>
      <c r="E46" s="7"/>
      <c r="F46" s="4"/>
      <c r="G46" s="4"/>
      <c r="H46" s="8"/>
      <c r="I46" s="9"/>
      <c r="J46" s="8">
        <f t="shared" si="4"/>
        <v>0</v>
      </c>
    </row>
    <row r="47" spans="1:10" ht="19.95" customHeight="1" x14ac:dyDescent="0.3">
      <c r="A47" s="4"/>
      <c r="B47" s="4"/>
      <c r="C47" s="6"/>
      <c r="D47" s="6"/>
      <c r="E47" s="7"/>
      <c r="F47" s="4"/>
      <c r="G47" s="4"/>
      <c r="H47" s="8"/>
      <c r="I47" s="9"/>
      <c r="J47" s="8">
        <f t="shared" si="4"/>
        <v>0</v>
      </c>
    </row>
    <row r="48" spans="1:10" ht="19.95" customHeight="1" x14ac:dyDescent="0.3">
      <c r="A48" s="4"/>
      <c r="B48" s="4"/>
      <c r="C48" s="6"/>
      <c r="D48" s="6"/>
      <c r="E48" s="7"/>
      <c r="F48" s="4"/>
      <c r="G48" s="8"/>
      <c r="H48" s="8"/>
      <c r="I48" s="9"/>
      <c r="J48" s="8">
        <f t="shared" si="4"/>
        <v>0</v>
      </c>
    </row>
    <row r="49" spans="1:10" ht="19.95" customHeight="1" x14ac:dyDescent="0.3">
      <c r="A49" s="4"/>
      <c r="B49" s="4"/>
      <c r="C49" s="6"/>
      <c r="D49" s="6"/>
      <c r="E49" s="7"/>
      <c r="F49" s="4"/>
      <c r="G49" s="4"/>
      <c r="H49" s="8"/>
      <c r="I49" s="9"/>
      <c r="J49" s="8">
        <f t="shared" si="4"/>
        <v>0</v>
      </c>
    </row>
    <row r="50" spans="1:10" ht="19.95" customHeight="1" x14ac:dyDescent="0.3">
      <c r="A50" s="4"/>
      <c r="B50" s="4"/>
      <c r="C50" s="6"/>
      <c r="D50" s="6"/>
      <c r="E50" s="7"/>
      <c r="F50" s="4"/>
      <c r="G50" s="4"/>
      <c r="H50" s="8"/>
      <c r="I50" s="9"/>
      <c r="J50" s="8">
        <f t="shared" si="4"/>
        <v>0</v>
      </c>
    </row>
    <row r="51" spans="1:10" ht="19.95" customHeight="1" x14ac:dyDescent="0.3">
      <c r="A51" s="10"/>
      <c r="B51" s="10"/>
      <c r="C51" s="10"/>
      <c r="D51" s="10"/>
      <c r="E51" s="11"/>
      <c r="F51" s="10"/>
      <c r="G51" s="12"/>
      <c r="H51" s="8">
        <f>SUM(H45:H50)</f>
        <v>0</v>
      </c>
      <c r="I51" s="9">
        <f>SUM(I45:I50)</f>
        <v>0</v>
      </c>
      <c r="J51" s="8">
        <f>SUM(J45:J50)</f>
        <v>0</v>
      </c>
    </row>
    <row r="52" spans="1:10" ht="19.95" customHeight="1" x14ac:dyDescent="0.3">
      <c r="A52" s="16"/>
      <c r="B52" s="16"/>
      <c r="C52" s="16"/>
      <c r="D52" s="16"/>
      <c r="E52" s="17"/>
      <c r="F52" s="16"/>
      <c r="G52" s="16"/>
      <c r="H52" s="18"/>
      <c r="I52" s="19"/>
      <c r="J52" s="18"/>
    </row>
    <row r="54" spans="1:10" ht="23.4" x14ac:dyDescent="0.3">
      <c r="A54" s="31" t="s">
        <v>11</v>
      </c>
      <c r="B54" s="31"/>
      <c r="C54" s="31"/>
      <c r="D54" s="31"/>
      <c r="E54" s="31"/>
      <c r="F54" s="31"/>
      <c r="G54" s="31"/>
      <c r="H54" s="31"/>
      <c r="I54" s="31"/>
      <c r="J54" s="31"/>
    </row>
  </sheetData>
  <mergeCells count="8">
    <mergeCell ref="A43:J43"/>
    <mergeCell ref="A54:J54"/>
    <mergeCell ref="I1:J1"/>
    <mergeCell ref="A2:J2"/>
    <mergeCell ref="A3:J3"/>
    <mergeCell ref="A13:J13"/>
    <mergeCell ref="A23:J23"/>
    <mergeCell ref="A33:J33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45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zoomScale="55" zoomScaleNormal="55" workbookViewId="0">
      <selection activeCell="I26" sqref="I26"/>
    </sheetView>
  </sheetViews>
  <sheetFormatPr defaultRowHeight="14.4" x14ac:dyDescent="0.3"/>
  <cols>
    <col min="1" max="1" width="15.6640625" customWidth="1"/>
    <col min="2" max="3" width="12.6640625" customWidth="1"/>
    <col min="4" max="4" width="15.6640625" customWidth="1"/>
    <col min="5" max="5" width="80.6640625" customWidth="1"/>
    <col min="6" max="6" width="20.6640625" style="15" customWidth="1"/>
    <col min="7" max="7" width="12.33203125" customWidth="1"/>
    <col min="8" max="10" width="15.6640625" customWidth="1"/>
  </cols>
  <sheetData>
    <row r="1" spans="1:10" s="1" customFormat="1" ht="30" customHeight="1" x14ac:dyDescent="0.3">
      <c r="F1" s="2"/>
      <c r="G1" s="2"/>
      <c r="H1" s="3" t="s">
        <v>0</v>
      </c>
      <c r="I1" s="27">
        <v>45930</v>
      </c>
      <c r="J1" s="27"/>
    </row>
    <row r="2" spans="1:10" ht="40.049999999999997" customHeight="1" x14ac:dyDescent="0.3">
      <c r="A2" s="28" t="s">
        <v>35</v>
      </c>
      <c r="B2" s="29"/>
      <c r="C2" s="29"/>
      <c r="D2" s="29"/>
      <c r="E2" s="29"/>
      <c r="F2" s="29"/>
      <c r="G2" s="29"/>
      <c r="H2" s="29"/>
      <c r="I2" s="29"/>
      <c r="J2" s="30"/>
    </row>
    <row r="3" spans="1:10" ht="30" customHeight="1" x14ac:dyDescent="0.3">
      <c r="A3" s="31" t="s">
        <v>12</v>
      </c>
      <c r="B3" s="31"/>
      <c r="C3" s="31"/>
      <c r="D3" s="31"/>
      <c r="E3" s="31"/>
      <c r="F3" s="31"/>
      <c r="G3" s="31"/>
      <c r="H3" s="31"/>
      <c r="I3" s="31"/>
      <c r="J3" s="31"/>
    </row>
    <row r="4" spans="1:10" ht="30" customHeight="1" x14ac:dyDescent="0.3">
      <c r="A4" s="4" t="s">
        <v>2</v>
      </c>
      <c r="B4" s="4" t="s">
        <v>3</v>
      </c>
      <c r="C4" s="5" t="s">
        <v>4</v>
      </c>
      <c r="D4" s="5" t="s">
        <v>5</v>
      </c>
      <c r="E4" s="4" t="s">
        <v>6</v>
      </c>
      <c r="F4" s="5" t="s">
        <v>17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0" ht="19.95" customHeight="1" x14ac:dyDescent="0.3">
      <c r="A5" s="4">
        <v>10925</v>
      </c>
      <c r="B5" s="4">
        <v>430</v>
      </c>
      <c r="C5" s="6">
        <v>0.8</v>
      </c>
      <c r="D5" s="6" t="s">
        <v>22</v>
      </c>
      <c r="E5" s="7" t="s">
        <v>31</v>
      </c>
      <c r="F5" s="4" t="s">
        <v>34</v>
      </c>
      <c r="G5" s="4" t="s">
        <v>22</v>
      </c>
      <c r="H5" s="8">
        <v>3100</v>
      </c>
      <c r="I5" s="9">
        <f>1085+2045</f>
        <v>3130</v>
      </c>
      <c r="J5" s="8">
        <f t="shared" ref="J5:J10" si="0">H5-I5</f>
        <v>-30</v>
      </c>
    </row>
    <row r="6" spans="1:10" ht="19.95" customHeight="1" x14ac:dyDescent="0.3">
      <c r="A6" s="4" t="s">
        <v>27</v>
      </c>
      <c r="B6" s="4">
        <v>304</v>
      </c>
      <c r="C6" s="6">
        <v>0.8</v>
      </c>
      <c r="D6" s="6" t="s">
        <v>22</v>
      </c>
      <c r="E6" s="7" t="s">
        <v>32</v>
      </c>
      <c r="F6" s="4" t="s">
        <v>33</v>
      </c>
      <c r="G6" s="8" t="s">
        <v>22</v>
      </c>
      <c r="H6" s="8">
        <v>3200</v>
      </c>
      <c r="I6" s="9">
        <v>455</v>
      </c>
      <c r="J6" s="8">
        <f t="shared" si="0"/>
        <v>2745</v>
      </c>
    </row>
    <row r="7" spans="1:10" ht="19.95" customHeight="1" x14ac:dyDescent="0.3">
      <c r="A7" s="4"/>
      <c r="B7" s="4"/>
      <c r="C7" s="6"/>
      <c r="D7" s="6"/>
      <c r="E7" s="7"/>
      <c r="F7" s="4"/>
      <c r="G7" s="8"/>
      <c r="H7" s="8"/>
      <c r="I7" s="9"/>
      <c r="J7" s="8">
        <f t="shared" si="0"/>
        <v>0</v>
      </c>
    </row>
    <row r="8" spans="1:10" ht="19.95" customHeight="1" x14ac:dyDescent="0.3">
      <c r="A8" s="4"/>
      <c r="B8" s="4"/>
      <c r="C8" s="6"/>
      <c r="D8" s="6"/>
      <c r="E8" s="7"/>
      <c r="F8" s="4"/>
      <c r="G8" s="8"/>
      <c r="H8" s="8"/>
      <c r="I8" s="9"/>
      <c r="J8" s="8">
        <f t="shared" si="0"/>
        <v>0</v>
      </c>
    </row>
    <row r="9" spans="1:10" ht="19.95" customHeight="1" x14ac:dyDescent="0.3">
      <c r="A9" s="4"/>
      <c r="B9" s="4"/>
      <c r="C9" s="6"/>
      <c r="D9" s="6"/>
      <c r="E9" s="7"/>
      <c r="F9" s="4"/>
      <c r="G9" s="8"/>
      <c r="H9" s="8"/>
      <c r="I9" s="9"/>
      <c r="J9" s="8">
        <f t="shared" si="0"/>
        <v>0</v>
      </c>
    </row>
    <row r="10" spans="1:10" ht="19.95" customHeight="1" x14ac:dyDescent="0.3">
      <c r="A10" s="4"/>
      <c r="B10" s="4"/>
      <c r="C10" s="6"/>
      <c r="D10" s="6"/>
      <c r="E10" s="7"/>
      <c r="F10" s="4"/>
      <c r="G10" s="4"/>
      <c r="H10" s="8"/>
      <c r="I10" s="9"/>
      <c r="J10" s="8">
        <f t="shared" si="0"/>
        <v>0</v>
      </c>
    </row>
    <row r="11" spans="1:10" ht="19.95" customHeight="1" x14ac:dyDescent="0.3">
      <c r="A11" s="10"/>
      <c r="B11" s="10"/>
      <c r="C11" s="10"/>
      <c r="D11" s="10"/>
      <c r="E11" s="11"/>
      <c r="F11" s="10"/>
      <c r="G11" s="12"/>
      <c r="H11" s="13">
        <f>SUM(H5:H10)</f>
        <v>6300</v>
      </c>
      <c r="I11" s="14">
        <f>SUM(I5:I10)</f>
        <v>3585</v>
      </c>
      <c r="J11" s="8">
        <f>SUM(J5:J10)</f>
        <v>2715</v>
      </c>
    </row>
    <row r="13" spans="1:10" ht="30" customHeight="1" x14ac:dyDescent="0.3">
      <c r="A13" s="31" t="s">
        <v>15</v>
      </c>
      <c r="B13" s="31"/>
      <c r="C13" s="31"/>
      <c r="D13" s="31"/>
      <c r="E13" s="31"/>
      <c r="F13" s="31"/>
      <c r="G13" s="31"/>
      <c r="H13" s="31"/>
      <c r="I13" s="31"/>
      <c r="J13" s="31"/>
    </row>
    <row r="14" spans="1:10" ht="30" customHeight="1" x14ac:dyDescent="0.3">
      <c r="A14" s="4" t="s">
        <v>2</v>
      </c>
      <c r="B14" s="4" t="s">
        <v>3</v>
      </c>
      <c r="C14" s="5" t="s">
        <v>4</v>
      </c>
      <c r="D14" s="5" t="s">
        <v>5</v>
      </c>
      <c r="E14" s="4" t="s">
        <v>6</v>
      </c>
      <c r="F14" s="5" t="s">
        <v>17</v>
      </c>
      <c r="G14" s="5" t="s">
        <v>7</v>
      </c>
      <c r="H14" s="4" t="s">
        <v>8</v>
      </c>
      <c r="I14" s="4" t="s">
        <v>9</v>
      </c>
      <c r="J14" s="4" t="s">
        <v>10</v>
      </c>
    </row>
    <row r="15" spans="1:10" ht="19.95" customHeight="1" x14ac:dyDescent="0.3">
      <c r="A15" s="4">
        <v>10925</v>
      </c>
      <c r="B15" s="4">
        <v>430</v>
      </c>
      <c r="C15" s="6">
        <v>0.8</v>
      </c>
      <c r="D15" s="6" t="s">
        <v>22</v>
      </c>
      <c r="E15" s="7" t="s">
        <v>31</v>
      </c>
      <c r="F15" s="4" t="s">
        <v>34</v>
      </c>
      <c r="G15" s="4" t="s">
        <v>22</v>
      </c>
      <c r="H15" s="8">
        <v>3100</v>
      </c>
      <c r="I15" s="9">
        <f>700+2000</f>
        <v>2700</v>
      </c>
      <c r="J15" s="8">
        <f t="shared" ref="J15:J20" si="1">H15-I15</f>
        <v>400</v>
      </c>
    </row>
    <row r="16" spans="1:10" ht="19.95" customHeight="1" x14ac:dyDescent="0.3">
      <c r="A16" s="4" t="s">
        <v>27</v>
      </c>
      <c r="B16" s="4">
        <v>304</v>
      </c>
      <c r="C16" s="6">
        <v>0.8</v>
      </c>
      <c r="D16" s="6" t="s">
        <v>22</v>
      </c>
      <c r="E16" s="7" t="s">
        <v>32</v>
      </c>
      <c r="F16" s="4" t="s">
        <v>33</v>
      </c>
      <c r="G16" s="8" t="s">
        <v>22</v>
      </c>
      <c r="H16" s="8">
        <v>3200</v>
      </c>
      <c r="I16" s="9"/>
      <c r="J16" s="8">
        <f t="shared" si="1"/>
        <v>3200</v>
      </c>
    </row>
    <row r="17" spans="1:10" ht="19.95" customHeight="1" x14ac:dyDescent="0.3">
      <c r="A17" s="4"/>
      <c r="B17" s="4"/>
      <c r="C17" s="6"/>
      <c r="D17" s="6"/>
      <c r="E17" s="7"/>
      <c r="F17" s="4"/>
      <c r="G17" s="4"/>
      <c r="H17" s="8"/>
      <c r="I17" s="9"/>
      <c r="J17" s="8">
        <f t="shared" si="1"/>
        <v>0</v>
      </c>
    </row>
    <row r="18" spans="1:10" ht="19.95" customHeight="1" x14ac:dyDescent="0.3">
      <c r="A18" s="4"/>
      <c r="B18" s="4"/>
      <c r="C18" s="6"/>
      <c r="D18" s="6"/>
      <c r="E18" s="7"/>
      <c r="F18" s="4"/>
      <c r="G18" s="8"/>
      <c r="H18" s="8"/>
      <c r="I18" s="9"/>
      <c r="J18" s="8">
        <f t="shared" si="1"/>
        <v>0</v>
      </c>
    </row>
    <row r="19" spans="1:10" ht="19.95" customHeight="1" x14ac:dyDescent="0.3">
      <c r="A19" s="4"/>
      <c r="B19" s="4"/>
      <c r="C19" s="6"/>
      <c r="D19" s="6"/>
      <c r="E19" s="7"/>
      <c r="F19" s="4"/>
      <c r="G19" s="4"/>
      <c r="H19" s="8"/>
      <c r="I19" s="9"/>
      <c r="J19" s="8">
        <f t="shared" si="1"/>
        <v>0</v>
      </c>
    </row>
    <row r="20" spans="1:10" ht="19.95" customHeight="1" x14ac:dyDescent="0.3">
      <c r="A20" s="4"/>
      <c r="B20" s="4"/>
      <c r="C20" s="6"/>
      <c r="D20" s="6"/>
      <c r="E20" s="7"/>
      <c r="F20" s="4"/>
      <c r="G20" s="4"/>
      <c r="H20" s="8"/>
      <c r="I20" s="9"/>
      <c r="J20" s="8">
        <f t="shared" si="1"/>
        <v>0</v>
      </c>
    </row>
    <row r="21" spans="1:10" ht="19.95" customHeight="1" x14ac:dyDescent="0.3">
      <c r="A21" s="10"/>
      <c r="B21" s="10"/>
      <c r="C21" s="10"/>
      <c r="D21" s="10"/>
      <c r="E21" s="11"/>
      <c r="F21" s="10"/>
      <c r="G21" s="12"/>
      <c r="H21" s="8">
        <f>SUM(H15:H20)</f>
        <v>6300</v>
      </c>
      <c r="I21" s="9">
        <f>SUM(I15:I20)</f>
        <v>2700</v>
      </c>
      <c r="J21" s="8">
        <f>SUM(J15:J20)</f>
        <v>3600</v>
      </c>
    </row>
    <row r="22" spans="1:10" ht="19.95" customHeight="1" x14ac:dyDescent="0.3">
      <c r="A22" s="16"/>
      <c r="B22" s="16"/>
      <c r="C22" s="16"/>
      <c r="D22" s="16"/>
      <c r="E22" s="17"/>
      <c r="F22" s="16"/>
      <c r="G22" s="16"/>
      <c r="H22" s="18"/>
      <c r="I22" s="19"/>
      <c r="J22" s="18"/>
    </row>
    <row r="23" spans="1:10" ht="30" customHeight="1" x14ac:dyDescent="0.3">
      <c r="A23" s="31" t="s">
        <v>13</v>
      </c>
      <c r="B23" s="31"/>
      <c r="C23" s="31"/>
      <c r="D23" s="31"/>
      <c r="E23" s="31"/>
      <c r="F23" s="31"/>
      <c r="G23" s="31"/>
      <c r="H23" s="31"/>
      <c r="I23" s="31"/>
      <c r="J23" s="31"/>
    </row>
    <row r="24" spans="1:10" ht="30" customHeight="1" x14ac:dyDescent="0.3">
      <c r="A24" s="4" t="s">
        <v>2</v>
      </c>
      <c r="B24" s="4" t="s">
        <v>3</v>
      </c>
      <c r="C24" s="5" t="s">
        <v>4</v>
      </c>
      <c r="D24" s="5" t="s">
        <v>5</v>
      </c>
      <c r="E24" s="4" t="s">
        <v>6</v>
      </c>
      <c r="F24" s="5" t="s">
        <v>17</v>
      </c>
      <c r="G24" s="5" t="s">
        <v>7</v>
      </c>
      <c r="H24" s="4" t="s">
        <v>8</v>
      </c>
      <c r="I24" s="4" t="s">
        <v>9</v>
      </c>
      <c r="J24" s="4" t="s">
        <v>10</v>
      </c>
    </row>
    <row r="25" spans="1:10" ht="19.95" customHeight="1" x14ac:dyDescent="0.3">
      <c r="A25" s="4">
        <v>10925</v>
      </c>
      <c r="B25" s="4">
        <v>430</v>
      </c>
      <c r="C25" s="6">
        <v>0.8</v>
      </c>
      <c r="D25" s="6" t="s">
        <v>22</v>
      </c>
      <c r="E25" s="7" t="s">
        <v>31</v>
      </c>
      <c r="F25" s="4" t="s">
        <v>34</v>
      </c>
      <c r="G25" s="4" t="s">
        <v>22</v>
      </c>
      <c r="H25" s="8">
        <v>3100</v>
      </c>
      <c r="I25" s="9">
        <v>600</v>
      </c>
      <c r="J25" s="8">
        <f t="shared" ref="J25:J30" si="2">H25-I25</f>
        <v>2500</v>
      </c>
    </row>
    <row r="26" spans="1:10" ht="19.95" customHeight="1" x14ac:dyDescent="0.3">
      <c r="A26" s="4" t="s">
        <v>27</v>
      </c>
      <c r="B26" s="4">
        <v>304</v>
      </c>
      <c r="C26" s="6">
        <v>0.8</v>
      </c>
      <c r="D26" s="6" t="s">
        <v>22</v>
      </c>
      <c r="E26" s="7" t="s">
        <v>32</v>
      </c>
      <c r="F26" s="4" t="s">
        <v>33</v>
      </c>
      <c r="G26" s="8" t="s">
        <v>22</v>
      </c>
      <c r="H26" s="8">
        <v>3200</v>
      </c>
      <c r="I26" s="9"/>
      <c r="J26" s="8">
        <f t="shared" si="2"/>
        <v>3200</v>
      </c>
    </row>
    <row r="27" spans="1:10" ht="19.95" customHeight="1" x14ac:dyDescent="0.3">
      <c r="A27" s="4"/>
      <c r="B27" s="4"/>
      <c r="C27" s="6"/>
      <c r="D27" s="6"/>
      <c r="E27" s="7"/>
      <c r="F27" s="4"/>
      <c r="G27" s="4"/>
      <c r="H27" s="8"/>
      <c r="I27" s="9"/>
      <c r="J27" s="8">
        <f t="shared" si="2"/>
        <v>0</v>
      </c>
    </row>
    <row r="28" spans="1:10" ht="19.95" customHeight="1" x14ac:dyDescent="0.3">
      <c r="A28" s="4"/>
      <c r="B28" s="4"/>
      <c r="C28" s="6"/>
      <c r="D28" s="6"/>
      <c r="E28" s="7"/>
      <c r="F28" s="4"/>
      <c r="G28" s="8"/>
      <c r="H28" s="8"/>
      <c r="I28" s="9"/>
      <c r="J28" s="8">
        <f t="shared" si="2"/>
        <v>0</v>
      </c>
    </row>
    <row r="29" spans="1:10" ht="19.95" customHeight="1" x14ac:dyDescent="0.3">
      <c r="A29" s="4"/>
      <c r="B29" s="4"/>
      <c r="C29" s="6"/>
      <c r="D29" s="6"/>
      <c r="E29" s="7"/>
      <c r="F29" s="4"/>
      <c r="G29" s="4"/>
      <c r="H29" s="8"/>
      <c r="I29" s="9"/>
      <c r="J29" s="8">
        <f t="shared" si="2"/>
        <v>0</v>
      </c>
    </row>
    <row r="30" spans="1:10" ht="19.95" customHeight="1" x14ac:dyDescent="0.3">
      <c r="A30" s="4"/>
      <c r="B30" s="4"/>
      <c r="C30" s="6"/>
      <c r="D30" s="6"/>
      <c r="E30" s="7"/>
      <c r="F30" s="4"/>
      <c r="G30" s="4"/>
      <c r="H30" s="8"/>
      <c r="I30" s="9"/>
      <c r="J30" s="8">
        <f t="shared" si="2"/>
        <v>0</v>
      </c>
    </row>
    <row r="31" spans="1:10" ht="19.95" customHeight="1" x14ac:dyDescent="0.3">
      <c r="A31" s="10"/>
      <c r="B31" s="10"/>
      <c r="C31" s="10"/>
      <c r="D31" s="10"/>
      <c r="E31" s="11"/>
      <c r="F31" s="10"/>
      <c r="G31" s="12"/>
      <c r="H31" s="8">
        <f>SUM(H25:H30)</f>
        <v>6300</v>
      </c>
      <c r="I31" s="9">
        <f>SUM(I25:I30)</f>
        <v>600</v>
      </c>
      <c r="J31" s="8">
        <f>SUM(J25:J30)</f>
        <v>5700</v>
      </c>
    </row>
    <row r="32" spans="1:10" ht="19.95" customHeight="1" x14ac:dyDescent="0.3">
      <c r="A32" s="16"/>
      <c r="B32" s="16"/>
      <c r="C32" s="16"/>
      <c r="D32" s="16"/>
      <c r="E32" s="17"/>
      <c r="F32" s="16"/>
      <c r="G32" s="16"/>
      <c r="H32" s="18"/>
      <c r="I32" s="19"/>
      <c r="J32" s="18"/>
    </row>
    <row r="33" spans="1:10" ht="30" customHeight="1" x14ac:dyDescent="0.3">
      <c r="A33" s="31" t="s">
        <v>14</v>
      </c>
      <c r="B33" s="31"/>
      <c r="C33" s="31"/>
      <c r="D33" s="31"/>
      <c r="E33" s="31"/>
      <c r="F33" s="31"/>
      <c r="G33" s="31"/>
      <c r="H33" s="31"/>
      <c r="I33" s="31"/>
      <c r="J33" s="31"/>
    </row>
    <row r="34" spans="1:10" ht="30" customHeight="1" x14ac:dyDescent="0.3">
      <c r="A34" s="4" t="s">
        <v>2</v>
      </c>
      <c r="B34" s="4" t="s">
        <v>3</v>
      </c>
      <c r="C34" s="5" t="s">
        <v>4</v>
      </c>
      <c r="D34" s="5" t="s">
        <v>5</v>
      </c>
      <c r="E34" s="4" t="s">
        <v>6</v>
      </c>
      <c r="F34" s="5" t="s">
        <v>17</v>
      </c>
      <c r="G34" s="5" t="s">
        <v>7</v>
      </c>
      <c r="H34" s="4" t="s">
        <v>8</v>
      </c>
      <c r="I34" s="4" t="s">
        <v>9</v>
      </c>
      <c r="J34" s="4" t="s">
        <v>10</v>
      </c>
    </row>
    <row r="35" spans="1:10" ht="19.95" customHeight="1" x14ac:dyDescent="0.3">
      <c r="A35" s="4">
        <v>10925</v>
      </c>
      <c r="B35" s="4">
        <v>430</v>
      </c>
      <c r="C35" s="6">
        <v>0.8</v>
      </c>
      <c r="D35" s="6" t="s">
        <v>22</v>
      </c>
      <c r="E35" s="7" t="s">
        <v>31</v>
      </c>
      <c r="F35" s="4" t="s">
        <v>34</v>
      </c>
      <c r="G35" s="4" t="s">
        <v>22</v>
      </c>
      <c r="H35" s="8">
        <v>3100</v>
      </c>
      <c r="I35" s="9"/>
      <c r="J35" s="8">
        <f t="shared" ref="J35:J40" si="3">H35-I35</f>
        <v>3100</v>
      </c>
    </row>
    <row r="36" spans="1:10" ht="19.95" customHeight="1" x14ac:dyDescent="0.3">
      <c r="A36" s="4" t="s">
        <v>27</v>
      </c>
      <c r="B36" s="4">
        <v>304</v>
      </c>
      <c r="C36" s="6">
        <v>0.8</v>
      </c>
      <c r="D36" s="6" t="s">
        <v>22</v>
      </c>
      <c r="E36" s="7" t="s">
        <v>32</v>
      </c>
      <c r="F36" s="4" t="s">
        <v>33</v>
      </c>
      <c r="G36" s="8" t="s">
        <v>22</v>
      </c>
      <c r="H36" s="8">
        <v>3200</v>
      </c>
      <c r="I36" s="9"/>
      <c r="J36" s="8">
        <f t="shared" si="3"/>
        <v>3200</v>
      </c>
    </row>
    <row r="37" spans="1:10" ht="19.95" customHeight="1" x14ac:dyDescent="0.3">
      <c r="A37" s="4"/>
      <c r="B37" s="4"/>
      <c r="C37" s="6"/>
      <c r="D37" s="6"/>
      <c r="E37" s="7"/>
      <c r="F37" s="4"/>
      <c r="G37" s="4"/>
      <c r="H37" s="8"/>
      <c r="I37" s="9"/>
      <c r="J37" s="8">
        <f t="shared" si="3"/>
        <v>0</v>
      </c>
    </row>
    <row r="38" spans="1:10" ht="19.95" customHeight="1" x14ac:dyDescent="0.3">
      <c r="A38" s="4"/>
      <c r="B38" s="4"/>
      <c r="C38" s="6"/>
      <c r="D38" s="6"/>
      <c r="E38" s="7"/>
      <c r="F38" s="4"/>
      <c r="G38" s="8"/>
      <c r="H38" s="8"/>
      <c r="I38" s="9"/>
      <c r="J38" s="8">
        <f t="shared" si="3"/>
        <v>0</v>
      </c>
    </row>
    <row r="39" spans="1:10" ht="19.95" customHeight="1" x14ac:dyDescent="0.3">
      <c r="A39" s="4"/>
      <c r="B39" s="4"/>
      <c r="C39" s="6"/>
      <c r="D39" s="6"/>
      <c r="E39" s="7"/>
      <c r="F39" s="4"/>
      <c r="G39" s="4"/>
      <c r="H39" s="8"/>
      <c r="I39" s="9"/>
      <c r="J39" s="8">
        <f t="shared" si="3"/>
        <v>0</v>
      </c>
    </row>
    <row r="40" spans="1:10" ht="19.95" customHeight="1" x14ac:dyDescent="0.3">
      <c r="A40" s="4"/>
      <c r="B40" s="4"/>
      <c r="C40" s="6"/>
      <c r="D40" s="6"/>
      <c r="E40" s="7"/>
      <c r="F40" s="4"/>
      <c r="G40" s="4"/>
      <c r="H40" s="8"/>
      <c r="I40" s="9"/>
      <c r="J40" s="8">
        <f t="shared" si="3"/>
        <v>0</v>
      </c>
    </row>
    <row r="41" spans="1:10" ht="19.95" customHeight="1" x14ac:dyDescent="0.3">
      <c r="A41" s="10"/>
      <c r="B41" s="10"/>
      <c r="C41" s="10"/>
      <c r="D41" s="10"/>
      <c r="E41" s="11"/>
      <c r="F41" s="10"/>
      <c r="G41" s="12"/>
      <c r="H41" s="8">
        <f>SUM(H35:H40)</f>
        <v>6300</v>
      </c>
      <c r="I41" s="9">
        <f>SUM(I35:I40)</f>
        <v>0</v>
      </c>
      <c r="J41" s="8">
        <f>SUM(J35:J40)</f>
        <v>6300</v>
      </c>
    </row>
    <row r="42" spans="1:10" ht="19.95" customHeight="1" x14ac:dyDescent="0.3">
      <c r="A42" s="16"/>
      <c r="B42" s="16"/>
      <c r="C42" s="16"/>
      <c r="D42" s="16"/>
      <c r="E42" s="17"/>
      <c r="F42" s="16"/>
      <c r="G42" s="16"/>
      <c r="H42" s="18"/>
      <c r="I42" s="19"/>
      <c r="J42" s="18"/>
    </row>
    <row r="43" spans="1:10" ht="30" customHeight="1" x14ac:dyDescent="0.3">
      <c r="A43" s="31" t="s">
        <v>16</v>
      </c>
      <c r="B43" s="31"/>
      <c r="C43" s="31"/>
      <c r="D43" s="31"/>
      <c r="E43" s="31"/>
      <c r="F43" s="31"/>
      <c r="G43" s="31"/>
      <c r="H43" s="31"/>
      <c r="I43" s="31"/>
      <c r="J43" s="31"/>
    </row>
    <row r="44" spans="1:10" ht="30" customHeight="1" x14ac:dyDescent="0.3">
      <c r="A44" s="4" t="s">
        <v>2</v>
      </c>
      <c r="B44" s="4" t="s">
        <v>3</v>
      </c>
      <c r="C44" s="5" t="s">
        <v>4</v>
      </c>
      <c r="D44" s="5" t="s">
        <v>5</v>
      </c>
      <c r="E44" s="4" t="s">
        <v>6</v>
      </c>
      <c r="F44" s="5" t="s">
        <v>18</v>
      </c>
      <c r="G44" s="5" t="s">
        <v>7</v>
      </c>
      <c r="H44" s="4" t="s">
        <v>8</v>
      </c>
      <c r="I44" s="4" t="s">
        <v>9</v>
      </c>
      <c r="J44" s="4" t="s">
        <v>10</v>
      </c>
    </row>
    <row r="45" spans="1:10" ht="19.95" customHeight="1" x14ac:dyDescent="0.3">
      <c r="A45" s="4"/>
      <c r="B45" s="4"/>
      <c r="C45" s="6"/>
      <c r="D45" s="6"/>
      <c r="E45" s="7"/>
      <c r="F45" s="4"/>
      <c r="G45" s="4"/>
      <c r="H45" s="8"/>
      <c r="I45" s="9"/>
      <c r="J45" s="8">
        <f t="shared" ref="J45:J50" si="4">H45-I45</f>
        <v>0</v>
      </c>
    </row>
    <row r="46" spans="1:10" ht="19.95" customHeight="1" x14ac:dyDescent="0.3">
      <c r="A46" s="4"/>
      <c r="B46" s="4"/>
      <c r="C46" s="6"/>
      <c r="D46" s="6"/>
      <c r="E46" s="7"/>
      <c r="F46" s="4"/>
      <c r="G46" s="4"/>
      <c r="H46" s="8"/>
      <c r="I46" s="9"/>
      <c r="J46" s="8">
        <f t="shared" si="4"/>
        <v>0</v>
      </c>
    </row>
    <row r="47" spans="1:10" ht="19.95" customHeight="1" x14ac:dyDescent="0.3">
      <c r="A47" s="4"/>
      <c r="B47" s="4"/>
      <c r="C47" s="6"/>
      <c r="D47" s="6"/>
      <c r="E47" s="7"/>
      <c r="F47" s="4"/>
      <c r="G47" s="4"/>
      <c r="H47" s="8"/>
      <c r="I47" s="9"/>
      <c r="J47" s="8">
        <f t="shared" si="4"/>
        <v>0</v>
      </c>
    </row>
    <row r="48" spans="1:10" ht="19.95" customHeight="1" x14ac:dyDescent="0.3">
      <c r="A48" s="4"/>
      <c r="B48" s="4"/>
      <c r="C48" s="6"/>
      <c r="D48" s="6"/>
      <c r="E48" s="7"/>
      <c r="F48" s="4"/>
      <c r="G48" s="8"/>
      <c r="H48" s="8"/>
      <c r="I48" s="9"/>
      <c r="J48" s="8">
        <f t="shared" si="4"/>
        <v>0</v>
      </c>
    </row>
    <row r="49" spans="1:10" ht="19.95" customHeight="1" x14ac:dyDescent="0.3">
      <c r="A49" s="4"/>
      <c r="B49" s="4"/>
      <c r="C49" s="6"/>
      <c r="D49" s="6"/>
      <c r="E49" s="7"/>
      <c r="F49" s="4"/>
      <c r="G49" s="4"/>
      <c r="H49" s="8"/>
      <c r="I49" s="9"/>
      <c r="J49" s="8">
        <f t="shared" si="4"/>
        <v>0</v>
      </c>
    </row>
    <row r="50" spans="1:10" ht="19.95" customHeight="1" x14ac:dyDescent="0.3">
      <c r="A50" s="4"/>
      <c r="B50" s="4"/>
      <c r="C50" s="6"/>
      <c r="D50" s="6"/>
      <c r="E50" s="7"/>
      <c r="F50" s="4"/>
      <c r="G50" s="4"/>
      <c r="H50" s="8"/>
      <c r="I50" s="9"/>
      <c r="J50" s="8">
        <f t="shared" si="4"/>
        <v>0</v>
      </c>
    </row>
    <row r="51" spans="1:10" ht="19.95" customHeight="1" x14ac:dyDescent="0.3">
      <c r="A51" s="10"/>
      <c r="B51" s="10"/>
      <c r="C51" s="10"/>
      <c r="D51" s="10"/>
      <c r="E51" s="11"/>
      <c r="F51" s="10"/>
      <c r="G51" s="12"/>
      <c r="H51" s="8">
        <f>SUM(H45:H50)</f>
        <v>0</v>
      </c>
      <c r="I51" s="9">
        <f>SUM(I45:I50)</f>
        <v>0</v>
      </c>
      <c r="J51" s="8">
        <f>SUM(J45:J50)</f>
        <v>0</v>
      </c>
    </row>
    <row r="52" spans="1:10" ht="19.95" customHeight="1" x14ac:dyDescent="0.3">
      <c r="A52" s="16"/>
      <c r="B52" s="16"/>
      <c r="C52" s="16"/>
      <c r="D52" s="16"/>
      <c r="E52" s="17"/>
      <c r="F52" s="16"/>
      <c r="G52" s="16"/>
      <c r="H52" s="18"/>
      <c r="I52" s="19"/>
      <c r="J52" s="18"/>
    </row>
    <row r="54" spans="1:10" ht="23.4" x14ac:dyDescent="0.3">
      <c r="A54" s="31" t="s">
        <v>11</v>
      </c>
      <c r="B54" s="31"/>
      <c r="C54" s="31"/>
      <c r="D54" s="31"/>
      <c r="E54" s="31"/>
      <c r="F54" s="31"/>
      <c r="G54" s="31"/>
      <c r="H54" s="31"/>
      <c r="I54" s="31"/>
      <c r="J54" s="31"/>
    </row>
  </sheetData>
  <mergeCells count="8">
    <mergeCell ref="A43:J43"/>
    <mergeCell ref="A54:J54"/>
    <mergeCell ref="I1:J1"/>
    <mergeCell ref="A2:J2"/>
    <mergeCell ref="A3:J3"/>
    <mergeCell ref="A13:J13"/>
    <mergeCell ref="A23:J23"/>
    <mergeCell ref="A33:J33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45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opLeftCell="A10" zoomScale="55" zoomScaleNormal="55" workbookViewId="0">
      <selection activeCell="N11" sqref="N11"/>
    </sheetView>
  </sheetViews>
  <sheetFormatPr defaultRowHeight="14.4" x14ac:dyDescent="0.3"/>
  <cols>
    <col min="1" max="1" width="15.6640625" customWidth="1"/>
    <col min="2" max="3" width="12.6640625" customWidth="1"/>
    <col min="4" max="4" width="15.6640625" customWidth="1"/>
    <col min="5" max="5" width="80.6640625" customWidth="1"/>
    <col min="6" max="6" width="20.6640625" style="15" customWidth="1"/>
    <col min="7" max="7" width="12.33203125" customWidth="1"/>
    <col min="8" max="10" width="15.6640625" customWidth="1"/>
  </cols>
  <sheetData>
    <row r="1" spans="1:10" s="1" customFormat="1" ht="30" customHeight="1" x14ac:dyDescent="0.3">
      <c r="F1" s="2"/>
      <c r="G1" s="2"/>
      <c r="H1" s="3" t="s">
        <v>0</v>
      </c>
      <c r="I1" s="27">
        <v>45931</v>
      </c>
      <c r="J1" s="27"/>
    </row>
    <row r="2" spans="1:10" ht="40.049999999999997" customHeight="1" x14ac:dyDescent="0.3">
      <c r="A2" s="28" t="s">
        <v>36</v>
      </c>
      <c r="B2" s="29"/>
      <c r="C2" s="29"/>
      <c r="D2" s="29"/>
      <c r="E2" s="29"/>
      <c r="F2" s="29"/>
      <c r="G2" s="29"/>
      <c r="H2" s="29"/>
      <c r="I2" s="29"/>
      <c r="J2" s="30"/>
    </row>
    <row r="3" spans="1:10" ht="30" customHeight="1" x14ac:dyDescent="0.3">
      <c r="A3" s="31" t="s">
        <v>12</v>
      </c>
      <c r="B3" s="31"/>
      <c r="C3" s="31"/>
      <c r="D3" s="31"/>
      <c r="E3" s="31"/>
      <c r="F3" s="31"/>
      <c r="G3" s="31"/>
      <c r="H3" s="31"/>
      <c r="I3" s="31"/>
      <c r="J3" s="31"/>
    </row>
    <row r="4" spans="1:10" ht="30" customHeight="1" x14ac:dyDescent="0.3">
      <c r="A4" s="4" t="s">
        <v>2</v>
      </c>
      <c r="B4" s="4" t="s">
        <v>3</v>
      </c>
      <c r="C4" s="5" t="s">
        <v>4</v>
      </c>
      <c r="D4" s="5" t="s">
        <v>5</v>
      </c>
      <c r="E4" s="4" t="s">
        <v>6</v>
      </c>
      <c r="F4" s="5" t="s">
        <v>17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0" ht="19.95" customHeight="1" x14ac:dyDescent="0.3">
      <c r="A5" s="4" t="s">
        <v>27</v>
      </c>
      <c r="B5" s="4">
        <v>304</v>
      </c>
      <c r="C5" s="6">
        <v>0.8</v>
      </c>
      <c r="D5" s="6" t="s">
        <v>22</v>
      </c>
      <c r="E5" s="7" t="s">
        <v>32</v>
      </c>
      <c r="F5" s="4" t="s">
        <v>33</v>
      </c>
      <c r="G5" s="8" t="s">
        <v>22</v>
      </c>
      <c r="H5" s="8">
        <v>3200</v>
      </c>
      <c r="I5" s="9">
        <f>455+2200</f>
        <v>2655</v>
      </c>
      <c r="J5" s="8">
        <f t="shared" ref="J5:J10" si="0">H5-I5</f>
        <v>545</v>
      </c>
    </row>
    <row r="6" spans="1:10" ht="19.95" customHeight="1" x14ac:dyDescent="0.3">
      <c r="A6" s="4"/>
      <c r="B6" s="4"/>
      <c r="C6" s="6"/>
      <c r="D6" s="6"/>
      <c r="E6" s="7"/>
      <c r="F6" s="4"/>
      <c r="G6" s="8"/>
      <c r="H6" s="8"/>
      <c r="I6" s="9"/>
      <c r="J6" s="8">
        <f t="shared" si="0"/>
        <v>0</v>
      </c>
    </row>
    <row r="7" spans="1:10" ht="19.95" customHeight="1" x14ac:dyDescent="0.3">
      <c r="A7" s="4"/>
      <c r="B7" s="4"/>
      <c r="C7" s="6"/>
      <c r="D7" s="6"/>
      <c r="E7" s="7"/>
      <c r="F7" s="4"/>
      <c r="G7" s="8"/>
      <c r="H7" s="8"/>
      <c r="I7" s="9"/>
      <c r="J7" s="8">
        <f t="shared" si="0"/>
        <v>0</v>
      </c>
    </row>
    <row r="8" spans="1:10" ht="19.95" customHeight="1" x14ac:dyDescent="0.3">
      <c r="A8" s="4"/>
      <c r="B8" s="4"/>
      <c r="C8" s="6"/>
      <c r="D8" s="6"/>
      <c r="E8" s="7"/>
      <c r="F8" s="4"/>
      <c r="G8" s="8"/>
      <c r="H8" s="8"/>
      <c r="I8" s="9"/>
      <c r="J8" s="8">
        <f t="shared" si="0"/>
        <v>0</v>
      </c>
    </row>
    <row r="9" spans="1:10" ht="19.95" customHeight="1" x14ac:dyDescent="0.3">
      <c r="A9" s="4"/>
      <c r="B9" s="4"/>
      <c r="C9" s="6"/>
      <c r="D9" s="6"/>
      <c r="E9" s="7"/>
      <c r="F9" s="4"/>
      <c r="G9" s="8"/>
      <c r="H9" s="8"/>
      <c r="I9" s="9"/>
      <c r="J9" s="8">
        <f t="shared" si="0"/>
        <v>0</v>
      </c>
    </row>
    <row r="10" spans="1:10" ht="19.95" customHeight="1" x14ac:dyDescent="0.3">
      <c r="A10" s="4"/>
      <c r="B10" s="4"/>
      <c r="C10" s="6"/>
      <c r="D10" s="6"/>
      <c r="E10" s="7"/>
      <c r="F10" s="4"/>
      <c r="G10" s="4"/>
      <c r="H10" s="8"/>
      <c r="I10" s="9"/>
      <c r="J10" s="8">
        <f t="shared" si="0"/>
        <v>0</v>
      </c>
    </row>
    <row r="11" spans="1:10" ht="19.95" customHeight="1" x14ac:dyDescent="0.3">
      <c r="A11" s="10"/>
      <c r="B11" s="10"/>
      <c r="C11" s="10"/>
      <c r="D11" s="10"/>
      <c r="E11" s="11"/>
      <c r="F11" s="10"/>
      <c r="G11" s="12"/>
      <c r="H11" s="13">
        <f>SUM(H5:H10)</f>
        <v>3200</v>
      </c>
      <c r="I11" s="14">
        <f>SUM(I5:I10)</f>
        <v>2655</v>
      </c>
      <c r="J11" s="8">
        <f>SUM(J5:J10)</f>
        <v>545</v>
      </c>
    </row>
    <row r="13" spans="1:10" ht="30" customHeight="1" x14ac:dyDescent="0.3">
      <c r="A13" s="31" t="s">
        <v>15</v>
      </c>
      <c r="B13" s="31"/>
      <c r="C13" s="31"/>
      <c r="D13" s="31"/>
      <c r="E13" s="31"/>
      <c r="F13" s="31"/>
      <c r="G13" s="31"/>
      <c r="H13" s="31"/>
      <c r="I13" s="31"/>
      <c r="J13" s="31"/>
    </row>
    <row r="14" spans="1:10" ht="30" customHeight="1" x14ac:dyDescent="0.3">
      <c r="A14" s="4" t="s">
        <v>2</v>
      </c>
      <c r="B14" s="4" t="s">
        <v>3</v>
      </c>
      <c r="C14" s="5" t="s">
        <v>4</v>
      </c>
      <c r="D14" s="5" t="s">
        <v>5</v>
      </c>
      <c r="E14" s="4" t="s">
        <v>6</v>
      </c>
      <c r="F14" s="5" t="s">
        <v>17</v>
      </c>
      <c r="G14" s="5" t="s">
        <v>7</v>
      </c>
      <c r="H14" s="4" t="s">
        <v>8</v>
      </c>
      <c r="I14" s="4" t="s">
        <v>9</v>
      </c>
      <c r="J14" s="4" t="s">
        <v>10</v>
      </c>
    </row>
    <row r="15" spans="1:10" ht="19.95" customHeight="1" x14ac:dyDescent="0.3">
      <c r="A15" s="4">
        <v>10925</v>
      </c>
      <c r="B15" s="4">
        <v>430</v>
      </c>
      <c r="C15" s="6">
        <v>0.8</v>
      </c>
      <c r="D15" s="6" t="s">
        <v>22</v>
      </c>
      <c r="E15" s="7" t="s">
        <v>31</v>
      </c>
      <c r="F15" s="4" t="s">
        <v>34</v>
      </c>
      <c r="G15" s="4" t="s">
        <v>22</v>
      </c>
      <c r="H15" s="8">
        <v>3100</v>
      </c>
      <c r="I15" s="9">
        <f>700+2000+625</f>
        <v>3325</v>
      </c>
      <c r="J15" s="8">
        <f t="shared" ref="J15:J20" si="1">H15-I15</f>
        <v>-225</v>
      </c>
    </row>
    <row r="16" spans="1:10" ht="19.95" customHeight="1" x14ac:dyDescent="0.3">
      <c r="A16" s="4" t="s">
        <v>27</v>
      </c>
      <c r="B16" s="4">
        <v>304</v>
      </c>
      <c r="C16" s="6">
        <v>0.8</v>
      </c>
      <c r="D16" s="6" t="s">
        <v>22</v>
      </c>
      <c r="E16" s="7" t="s">
        <v>32</v>
      </c>
      <c r="F16" s="4" t="s">
        <v>33</v>
      </c>
      <c r="G16" s="8" t="s">
        <v>22</v>
      </c>
      <c r="H16" s="8">
        <v>3200</v>
      </c>
      <c r="I16" s="9"/>
      <c r="J16" s="8">
        <f t="shared" si="1"/>
        <v>3200</v>
      </c>
    </row>
    <row r="17" spans="1:10" ht="19.95" customHeight="1" x14ac:dyDescent="0.3">
      <c r="A17" s="4"/>
      <c r="B17" s="4"/>
      <c r="C17" s="6"/>
      <c r="D17" s="6"/>
      <c r="E17" s="7"/>
      <c r="F17" s="4"/>
      <c r="G17" s="4"/>
      <c r="H17" s="8"/>
      <c r="I17" s="9"/>
      <c r="J17" s="8">
        <f t="shared" si="1"/>
        <v>0</v>
      </c>
    </row>
    <row r="18" spans="1:10" ht="19.95" customHeight="1" x14ac:dyDescent="0.3">
      <c r="A18" s="4"/>
      <c r="B18" s="4"/>
      <c r="C18" s="6"/>
      <c r="D18" s="6"/>
      <c r="E18" s="7"/>
      <c r="F18" s="4"/>
      <c r="G18" s="8"/>
      <c r="H18" s="8"/>
      <c r="I18" s="9"/>
      <c r="J18" s="8">
        <f t="shared" si="1"/>
        <v>0</v>
      </c>
    </row>
    <row r="19" spans="1:10" ht="19.95" customHeight="1" x14ac:dyDescent="0.3">
      <c r="A19" s="4"/>
      <c r="B19" s="4"/>
      <c r="C19" s="6"/>
      <c r="D19" s="6"/>
      <c r="E19" s="7"/>
      <c r="F19" s="4"/>
      <c r="G19" s="4"/>
      <c r="H19" s="8"/>
      <c r="I19" s="9"/>
      <c r="J19" s="8">
        <f t="shared" si="1"/>
        <v>0</v>
      </c>
    </row>
    <row r="20" spans="1:10" ht="19.95" customHeight="1" x14ac:dyDescent="0.3">
      <c r="A20" s="4"/>
      <c r="B20" s="4"/>
      <c r="C20" s="6"/>
      <c r="D20" s="6"/>
      <c r="E20" s="7"/>
      <c r="F20" s="4"/>
      <c r="G20" s="4"/>
      <c r="H20" s="8"/>
      <c r="I20" s="9"/>
      <c r="J20" s="8">
        <f t="shared" si="1"/>
        <v>0</v>
      </c>
    </row>
    <row r="21" spans="1:10" ht="19.95" customHeight="1" x14ac:dyDescent="0.3">
      <c r="A21" s="10"/>
      <c r="B21" s="10"/>
      <c r="C21" s="10"/>
      <c r="D21" s="10"/>
      <c r="E21" s="11"/>
      <c r="F21" s="10"/>
      <c r="G21" s="12"/>
      <c r="H21" s="8">
        <f>SUM(H15:H20)</f>
        <v>6300</v>
      </c>
      <c r="I21" s="9">
        <f>SUM(I15:I20)</f>
        <v>3325</v>
      </c>
      <c r="J21" s="8">
        <f>SUM(J15:J20)</f>
        <v>2975</v>
      </c>
    </row>
    <row r="22" spans="1:10" ht="19.95" customHeight="1" x14ac:dyDescent="0.3">
      <c r="A22" s="16"/>
      <c r="B22" s="16"/>
      <c r="C22" s="16"/>
      <c r="D22" s="16"/>
      <c r="E22" s="17"/>
      <c r="F22" s="16"/>
      <c r="G22" s="16"/>
      <c r="H22" s="18"/>
      <c r="I22" s="19"/>
      <c r="J22" s="18"/>
    </row>
    <row r="23" spans="1:10" ht="30" customHeight="1" x14ac:dyDescent="0.3">
      <c r="A23" s="31" t="s">
        <v>13</v>
      </c>
      <c r="B23" s="31"/>
      <c r="C23" s="31"/>
      <c r="D23" s="31"/>
      <c r="E23" s="31"/>
      <c r="F23" s="31"/>
      <c r="G23" s="31"/>
      <c r="H23" s="31"/>
      <c r="I23" s="31"/>
      <c r="J23" s="31"/>
    </row>
    <row r="24" spans="1:10" ht="30" customHeight="1" x14ac:dyDescent="0.3">
      <c r="A24" s="4" t="s">
        <v>2</v>
      </c>
      <c r="B24" s="4" t="s">
        <v>3</v>
      </c>
      <c r="C24" s="5" t="s">
        <v>4</v>
      </c>
      <c r="D24" s="5" t="s">
        <v>5</v>
      </c>
      <c r="E24" s="4" t="s">
        <v>6</v>
      </c>
      <c r="F24" s="5" t="s">
        <v>17</v>
      </c>
      <c r="G24" s="5" t="s">
        <v>7</v>
      </c>
      <c r="H24" s="4" t="s">
        <v>8</v>
      </c>
      <c r="I24" s="4" t="s">
        <v>9</v>
      </c>
      <c r="J24" s="4" t="s">
        <v>10</v>
      </c>
    </row>
    <row r="25" spans="1:10" ht="19.95" customHeight="1" x14ac:dyDescent="0.3">
      <c r="A25" s="4">
        <v>10925</v>
      </c>
      <c r="B25" s="4">
        <v>430</v>
      </c>
      <c r="C25" s="6">
        <v>0.8</v>
      </c>
      <c r="D25" s="6" t="s">
        <v>22</v>
      </c>
      <c r="E25" s="7" t="s">
        <v>31</v>
      </c>
      <c r="F25" s="4" t="s">
        <v>34</v>
      </c>
      <c r="G25" s="4" t="s">
        <v>22</v>
      </c>
      <c r="H25" s="8">
        <v>3100</v>
      </c>
      <c r="I25" s="9">
        <f>600+2150</f>
        <v>2750</v>
      </c>
      <c r="J25" s="8">
        <f t="shared" ref="J25:J30" si="2">H25-I25</f>
        <v>350</v>
      </c>
    </row>
    <row r="26" spans="1:10" ht="19.95" customHeight="1" x14ac:dyDescent="0.3">
      <c r="A26" s="4" t="s">
        <v>27</v>
      </c>
      <c r="B26" s="4">
        <v>304</v>
      </c>
      <c r="C26" s="6">
        <v>0.8</v>
      </c>
      <c r="D26" s="6" t="s">
        <v>22</v>
      </c>
      <c r="E26" s="7" t="s">
        <v>32</v>
      </c>
      <c r="F26" s="4" t="s">
        <v>33</v>
      </c>
      <c r="G26" s="8" t="s">
        <v>22</v>
      </c>
      <c r="H26" s="8">
        <v>3200</v>
      </c>
      <c r="I26" s="9"/>
      <c r="J26" s="8">
        <f t="shared" si="2"/>
        <v>3200</v>
      </c>
    </row>
    <row r="27" spans="1:10" ht="19.95" customHeight="1" x14ac:dyDescent="0.3">
      <c r="A27" s="4"/>
      <c r="B27" s="4"/>
      <c r="C27" s="6"/>
      <c r="D27" s="6"/>
      <c r="E27" s="7"/>
      <c r="F27" s="4"/>
      <c r="G27" s="4"/>
      <c r="H27" s="8"/>
      <c r="I27" s="9"/>
      <c r="J27" s="8">
        <f t="shared" si="2"/>
        <v>0</v>
      </c>
    </row>
    <row r="28" spans="1:10" ht="19.95" customHeight="1" x14ac:dyDescent="0.3">
      <c r="A28" s="4"/>
      <c r="B28" s="4"/>
      <c r="C28" s="6"/>
      <c r="D28" s="6"/>
      <c r="E28" s="7"/>
      <c r="F28" s="4"/>
      <c r="G28" s="8"/>
      <c r="H28" s="8"/>
      <c r="I28" s="9"/>
      <c r="J28" s="8">
        <f t="shared" si="2"/>
        <v>0</v>
      </c>
    </row>
    <row r="29" spans="1:10" ht="19.95" customHeight="1" x14ac:dyDescent="0.3">
      <c r="A29" s="4"/>
      <c r="B29" s="4"/>
      <c r="C29" s="6"/>
      <c r="D29" s="6"/>
      <c r="E29" s="7"/>
      <c r="F29" s="4"/>
      <c r="G29" s="4"/>
      <c r="H29" s="8"/>
      <c r="I29" s="9"/>
      <c r="J29" s="8">
        <f t="shared" si="2"/>
        <v>0</v>
      </c>
    </row>
    <row r="30" spans="1:10" ht="19.95" customHeight="1" x14ac:dyDescent="0.3">
      <c r="A30" s="4"/>
      <c r="B30" s="4"/>
      <c r="C30" s="6"/>
      <c r="D30" s="6"/>
      <c r="E30" s="7"/>
      <c r="F30" s="4"/>
      <c r="G30" s="4"/>
      <c r="H30" s="8"/>
      <c r="I30" s="9"/>
      <c r="J30" s="8">
        <f t="shared" si="2"/>
        <v>0</v>
      </c>
    </row>
    <row r="31" spans="1:10" ht="19.95" customHeight="1" x14ac:dyDescent="0.3">
      <c r="A31" s="10"/>
      <c r="B31" s="10"/>
      <c r="C31" s="10"/>
      <c r="D31" s="10"/>
      <c r="E31" s="11"/>
      <c r="F31" s="10"/>
      <c r="G31" s="12"/>
      <c r="H31" s="8">
        <f>SUM(H25:H30)</f>
        <v>6300</v>
      </c>
      <c r="I31" s="9">
        <f>SUM(I25:I30)</f>
        <v>2750</v>
      </c>
      <c r="J31" s="8">
        <f>SUM(J25:J30)</f>
        <v>3550</v>
      </c>
    </row>
    <row r="32" spans="1:10" ht="19.95" customHeight="1" x14ac:dyDescent="0.3">
      <c r="A32" s="16"/>
      <c r="B32" s="16"/>
      <c r="C32" s="16"/>
      <c r="D32" s="16"/>
      <c r="E32" s="17"/>
      <c r="F32" s="16"/>
      <c r="G32" s="16"/>
      <c r="H32" s="18"/>
      <c r="I32" s="19"/>
      <c r="J32" s="18"/>
    </row>
    <row r="33" spans="1:10" ht="30" customHeight="1" x14ac:dyDescent="0.3">
      <c r="A33" s="31" t="s">
        <v>14</v>
      </c>
      <c r="B33" s="31"/>
      <c r="C33" s="31"/>
      <c r="D33" s="31"/>
      <c r="E33" s="31"/>
      <c r="F33" s="31"/>
      <c r="G33" s="31"/>
      <c r="H33" s="31"/>
      <c r="I33" s="31"/>
      <c r="J33" s="31"/>
    </row>
    <row r="34" spans="1:10" ht="30" customHeight="1" x14ac:dyDescent="0.3">
      <c r="A34" s="4" t="s">
        <v>2</v>
      </c>
      <c r="B34" s="4" t="s">
        <v>3</v>
      </c>
      <c r="C34" s="5" t="s">
        <v>4</v>
      </c>
      <c r="D34" s="5" t="s">
        <v>5</v>
      </c>
      <c r="E34" s="4" t="s">
        <v>6</v>
      </c>
      <c r="F34" s="5" t="s">
        <v>17</v>
      </c>
      <c r="G34" s="5" t="s">
        <v>7</v>
      </c>
      <c r="H34" s="4" t="s">
        <v>8</v>
      </c>
      <c r="I34" s="4" t="s">
        <v>9</v>
      </c>
      <c r="J34" s="4" t="s">
        <v>10</v>
      </c>
    </row>
    <row r="35" spans="1:10" ht="19.95" customHeight="1" x14ac:dyDescent="0.3">
      <c r="A35" s="4">
        <v>10925</v>
      </c>
      <c r="B35" s="4">
        <v>430</v>
      </c>
      <c r="C35" s="6">
        <v>0.8</v>
      </c>
      <c r="D35" s="6" t="s">
        <v>22</v>
      </c>
      <c r="E35" s="7" t="s">
        <v>31</v>
      </c>
      <c r="F35" s="4" t="s">
        <v>34</v>
      </c>
      <c r="G35" s="4" t="s">
        <v>22</v>
      </c>
      <c r="H35" s="8">
        <v>3100</v>
      </c>
      <c r="I35" s="9">
        <v>2400</v>
      </c>
      <c r="J35" s="8">
        <f t="shared" ref="J35:J40" si="3">H35-I35</f>
        <v>700</v>
      </c>
    </row>
    <row r="36" spans="1:10" ht="19.95" customHeight="1" x14ac:dyDescent="0.3">
      <c r="A36" s="4" t="s">
        <v>27</v>
      </c>
      <c r="B36" s="4">
        <v>304</v>
      </c>
      <c r="C36" s="6">
        <v>0.8</v>
      </c>
      <c r="D36" s="6" t="s">
        <v>22</v>
      </c>
      <c r="E36" s="7" t="s">
        <v>32</v>
      </c>
      <c r="F36" s="4" t="s">
        <v>33</v>
      </c>
      <c r="G36" s="8" t="s">
        <v>22</v>
      </c>
      <c r="H36" s="8">
        <v>3200</v>
      </c>
      <c r="I36" s="9"/>
      <c r="J36" s="8">
        <f t="shared" si="3"/>
        <v>3200</v>
      </c>
    </row>
    <row r="37" spans="1:10" ht="19.95" customHeight="1" x14ac:dyDescent="0.3">
      <c r="A37" s="4"/>
      <c r="B37" s="4"/>
      <c r="C37" s="6"/>
      <c r="D37" s="6"/>
      <c r="E37" s="7"/>
      <c r="F37" s="4"/>
      <c r="G37" s="4"/>
      <c r="H37" s="8"/>
      <c r="I37" s="9"/>
      <c r="J37" s="8">
        <f t="shared" si="3"/>
        <v>0</v>
      </c>
    </row>
    <row r="38" spans="1:10" ht="19.95" customHeight="1" x14ac:dyDescent="0.3">
      <c r="A38" s="4"/>
      <c r="B38" s="4"/>
      <c r="C38" s="6"/>
      <c r="D38" s="6"/>
      <c r="E38" s="7"/>
      <c r="F38" s="4"/>
      <c r="G38" s="8"/>
      <c r="H38" s="8"/>
      <c r="I38" s="9"/>
      <c r="J38" s="8">
        <f t="shared" si="3"/>
        <v>0</v>
      </c>
    </row>
    <row r="39" spans="1:10" ht="19.95" customHeight="1" x14ac:dyDescent="0.3">
      <c r="A39" s="4"/>
      <c r="B39" s="4"/>
      <c r="C39" s="6"/>
      <c r="D39" s="6"/>
      <c r="E39" s="7"/>
      <c r="F39" s="4"/>
      <c r="G39" s="4"/>
      <c r="H39" s="8"/>
      <c r="I39" s="9"/>
      <c r="J39" s="8">
        <f t="shared" si="3"/>
        <v>0</v>
      </c>
    </row>
    <row r="40" spans="1:10" ht="19.95" customHeight="1" x14ac:dyDescent="0.3">
      <c r="A40" s="4"/>
      <c r="B40" s="4"/>
      <c r="C40" s="6"/>
      <c r="D40" s="6"/>
      <c r="E40" s="7"/>
      <c r="F40" s="4"/>
      <c r="G40" s="4"/>
      <c r="H40" s="8"/>
      <c r="I40" s="9"/>
      <c r="J40" s="8">
        <f t="shared" si="3"/>
        <v>0</v>
      </c>
    </row>
    <row r="41" spans="1:10" ht="19.95" customHeight="1" x14ac:dyDescent="0.3">
      <c r="A41" s="10"/>
      <c r="B41" s="10"/>
      <c r="C41" s="10"/>
      <c r="D41" s="10"/>
      <c r="E41" s="11"/>
      <c r="F41" s="10"/>
      <c r="G41" s="12"/>
      <c r="H41" s="8">
        <f>SUM(H35:H40)</f>
        <v>6300</v>
      </c>
      <c r="I41" s="9">
        <f>SUM(I35:I40)</f>
        <v>2400</v>
      </c>
      <c r="J41" s="8">
        <f>SUM(J35:J40)</f>
        <v>3900</v>
      </c>
    </row>
    <row r="42" spans="1:10" ht="19.95" customHeight="1" x14ac:dyDescent="0.3">
      <c r="A42" s="16"/>
      <c r="B42" s="16"/>
      <c r="C42" s="16"/>
      <c r="D42" s="16"/>
      <c r="E42" s="17"/>
      <c r="F42" s="16"/>
      <c r="G42" s="16"/>
      <c r="H42" s="18"/>
      <c r="I42" s="19"/>
      <c r="J42" s="18"/>
    </row>
    <row r="43" spans="1:10" ht="30" customHeight="1" x14ac:dyDescent="0.3">
      <c r="A43" s="31" t="s">
        <v>16</v>
      </c>
      <c r="B43" s="31"/>
      <c r="C43" s="31"/>
      <c r="D43" s="31"/>
      <c r="E43" s="31"/>
      <c r="F43" s="31"/>
      <c r="G43" s="31"/>
      <c r="H43" s="31"/>
      <c r="I43" s="31"/>
      <c r="J43" s="31"/>
    </row>
    <row r="44" spans="1:10" ht="30" customHeight="1" x14ac:dyDescent="0.3">
      <c r="A44" s="4" t="s">
        <v>2</v>
      </c>
      <c r="B44" s="4" t="s">
        <v>3</v>
      </c>
      <c r="C44" s="5" t="s">
        <v>4</v>
      </c>
      <c r="D44" s="5" t="s">
        <v>5</v>
      </c>
      <c r="E44" s="4" t="s">
        <v>6</v>
      </c>
      <c r="F44" s="5" t="s">
        <v>18</v>
      </c>
      <c r="G44" s="5" t="s">
        <v>7</v>
      </c>
      <c r="H44" s="4" t="s">
        <v>8</v>
      </c>
      <c r="I44" s="4" t="s">
        <v>9</v>
      </c>
      <c r="J44" s="4" t="s">
        <v>10</v>
      </c>
    </row>
    <row r="45" spans="1:10" ht="19.95" customHeight="1" x14ac:dyDescent="0.3">
      <c r="A45" s="4"/>
      <c r="B45" s="4"/>
      <c r="C45" s="6"/>
      <c r="D45" s="6"/>
      <c r="E45" s="7"/>
      <c r="F45" s="4"/>
      <c r="G45" s="4"/>
      <c r="H45" s="8"/>
      <c r="I45" s="9"/>
      <c r="J45" s="8">
        <f t="shared" ref="J45:J50" si="4">H45-I45</f>
        <v>0</v>
      </c>
    </row>
    <row r="46" spans="1:10" ht="19.95" customHeight="1" x14ac:dyDescent="0.3">
      <c r="A46" s="4"/>
      <c r="B46" s="4"/>
      <c r="C46" s="6"/>
      <c r="D46" s="6"/>
      <c r="E46" s="7"/>
      <c r="F46" s="4"/>
      <c r="G46" s="4"/>
      <c r="H46" s="8"/>
      <c r="I46" s="9"/>
      <c r="J46" s="8">
        <f t="shared" si="4"/>
        <v>0</v>
      </c>
    </row>
    <row r="47" spans="1:10" ht="19.95" customHeight="1" x14ac:dyDescent="0.3">
      <c r="A47" s="4"/>
      <c r="B47" s="4"/>
      <c r="C47" s="6"/>
      <c r="D47" s="6"/>
      <c r="E47" s="7"/>
      <c r="F47" s="4"/>
      <c r="G47" s="4"/>
      <c r="H47" s="8"/>
      <c r="I47" s="9"/>
      <c r="J47" s="8">
        <f t="shared" si="4"/>
        <v>0</v>
      </c>
    </row>
    <row r="48" spans="1:10" ht="19.95" customHeight="1" x14ac:dyDescent="0.3">
      <c r="A48" s="4"/>
      <c r="B48" s="4"/>
      <c r="C48" s="6"/>
      <c r="D48" s="6"/>
      <c r="E48" s="7"/>
      <c r="F48" s="4"/>
      <c r="G48" s="8"/>
      <c r="H48" s="8"/>
      <c r="I48" s="9"/>
      <c r="J48" s="8">
        <f t="shared" si="4"/>
        <v>0</v>
      </c>
    </row>
    <row r="49" spans="1:10" ht="19.95" customHeight="1" x14ac:dyDescent="0.3">
      <c r="A49" s="4"/>
      <c r="B49" s="4"/>
      <c r="C49" s="6"/>
      <c r="D49" s="6"/>
      <c r="E49" s="7"/>
      <c r="F49" s="4"/>
      <c r="G49" s="4"/>
      <c r="H49" s="8"/>
      <c r="I49" s="9"/>
      <c r="J49" s="8">
        <f t="shared" si="4"/>
        <v>0</v>
      </c>
    </row>
    <row r="50" spans="1:10" ht="19.95" customHeight="1" x14ac:dyDescent="0.3">
      <c r="A50" s="4"/>
      <c r="B50" s="4"/>
      <c r="C50" s="6"/>
      <c r="D50" s="6"/>
      <c r="E50" s="7"/>
      <c r="F50" s="4"/>
      <c r="G50" s="4"/>
      <c r="H50" s="8"/>
      <c r="I50" s="9"/>
      <c r="J50" s="8">
        <f t="shared" si="4"/>
        <v>0</v>
      </c>
    </row>
    <row r="51" spans="1:10" ht="19.95" customHeight="1" x14ac:dyDescent="0.3">
      <c r="A51" s="10"/>
      <c r="B51" s="10"/>
      <c r="C51" s="10"/>
      <c r="D51" s="10"/>
      <c r="E51" s="11"/>
      <c r="F51" s="10"/>
      <c r="G51" s="12"/>
      <c r="H51" s="8">
        <f>SUM(H45:H50)</f>
        <v>0</v>
      </c>
      <c r="I51" s="9">
        <f>SUM(I45:I50)</f>
        <v>0</v>
      </c>
      <c r="J51" s="8">
        <f>SUM(J45:J50)</f>
        <v>0</v>
      </c>
    </row>
    <row r="52" spans="1:10" ht="19.95" customHeight="1" x14ac:dyDescent="0.3">
      <c r="A52" s="16"/>
      <c r="B52" s="16"/>
      <c r="C52" s="16"/>
      <c r="D52" s="16"/>
      <c r="E52" s="17"/>
      <c r="F52" s="16"/>
      <c r="G52" s="16"/>
      <c r="H52" s="18"/>
      <c r="I52" s="19"/>
      <c r="J52" s="18"/>
    </row>
    <row r="54" spans="1:10" ht="23.4" x14ac:dyDescent="0.3">
      <c r="A54" s="31" t="s">
        <v>11</v>
      </c>
      <c r="B54" s="31"/>
      <c r="C54" s="31"/>
      <c r="D54" s="31"/>
      <c r="E54" s="31"/>
      <c r="F54" s="31"/>
      <c r="G54" s="31"/>
      <c r="H54" s="31"/>
      <c r="I54" s="31"/>
      <c r="J54" s="31"/>
    </row>
  </sheetData>
  <mergeCells count="8">
    <mergeCell ref="A43:J43"/>
    <mergeCell ref="A54:J54"/>
    <mergeCell ref="I1:J1"/>
    <mergeCell ref="A2:J2"/>
    <mergeCell ref="A3:J3"/>
    <mergeCell ref="A13:J13"/>
    <mergeCell ref="A23:J23"/>
    <mergeCell ref="A33:J33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45"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topLeftCell="A7" zoomScale="70" zoomScaleNormal="70" workbookViewId="0">
      <selection activeCell="I38" sqref="I38"/>
    </sheetView>
  </sheetViews>
  <sheetFormatPr defaultRowHeight="14.4" x14ac:dyDescent="0.3"/>
  <cols>
    <col min="1" max="1" width="15.6640625" customWidth="1"/>
    <col min="2" max="3" width="12.6640625" customWidth="1"/>
    <col min="4" max="4" width="15.6640625" customWidth="1"/>
    <col min="5" max="5" width="80.6640625" customWidth="1"/>
    <col min="6" max="6" width="22.77734375" style="15" bestFit="1" customWidth="1"/>
    <col min="7" max="7" width="12.33203125" customWidth="1"/>
    <col min="8" max="10" width="15.6640625" customWidth="1"/>
  </cols>
  <sheetData>
    <row r="1" spans="1:10" s="1" customFormat="1" ht="30" customHeight="1" x14ac:dyDescent="0.3">
      <c r="F1" s="2"/>
      <c r="G1" s="2"/>
      <c r="H1" s="3" t="s">
        <v>0</v>
      </c>
      <c r="I1" s="27">
        <v>45932</v>
      </c>
      <c r="J1" s="27"/>
    </row>
    <row r="2" spans="1:10" ht="40.049999999999997" customHeight="1" x14ac:dyDescent="0.3">
      <c r="A2" s="28" t="s">
        <v>44</v>
      </c>
      <c r="B2" s="29"/>
      <c r="C2" s="29"/>
      <c r="D2" s="29"/>
      <c r="E2" s="29"/>
      <c r="F2" s="29"/>
      <c r="G2" s="29"/>
      <c r="H2" s="29"/>
      <c r="I2" s="29"/>
      <c r="J2" s="30"/>
    </row>
    <row r="3" spans="1:10" ht="30" customHeight="1" x14ac:dyDescent="0.3">
      <c r="A3" s="31" t="s">
        <v>12</v>
      </c>
      <c r="B3" s="31"/>
      <c r="C3" s="31"/>
      <c r="D3" s="31"/>
      <c r="E3" s="31"/>
      <c r="F3" s="31"/>
      <c r="G3" s="31"/>
      <c r="H3" s="31"/>
      <c r="I3" s="31"/>
      <c r="J3" s="31"/>
    </row>
    <row r="4" spans="1:10" ht="30" customHeight="1" x14ac:dyDescent="0.3">
      <c r="A4" s="4" t="s">
        <v>2</v>
      </c>
      <c r="B4" s="4" t="s">
        <v>3</v>
      </c>
      <c r="C4" s="5" t="s">
        <v>4</v>
      </c>
      <c r="D4" s="5" t="s">
        <v>5</v>
      </c>
      <c r="E4" s="4" t="s">
        <v>6</v>
      </c>
      <c r="F4" s="5" t="s">
        <v>17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0" ht="19.95" customHeight="1" x14ac:dyDescent="0.3">
      <c r="A5" s="4" t="s">
        <v>27</v>
      </c>
      <c r="B5" s="4">
        <v>304</v>
      </c>
      <c r="C5" s="6">
        <v>0.8</v>
      </c>
      <c r="D5" s="6" t="s">
        <v>22</v>
      </c>
      <c r="E5" s="7" t="s">
        <v>32</v>
      </c>
      <c r="F5" s="4" t="s">
        <v>33</v>
      </c>
      <c r="G5" s="8" t="s">
        <v>22</v>
      </c>
      <c r="H5" s="8">
        <v>3200</v>
      </c>
      <c r="I5" s="9">
        <f>455+2200+680</f>
        <v>3335</v>
      </c>
      <c r="J5" s="8">
        <f t="shared" ref="J5:J10" si="0">H5-I5</f>
        <v>-135</v>
      </c>
    </row>
    <row r="6" spans="1:10" ht="19.95" customHeight="1" x14ac:dyDescent="0.3">
      <c r="A6" s="4">
        <v>250074</v>
      </c>
      <c r="B6" s="4">
        <v>304</v>
      </c>
      <c r="C6" s="6">
        <v>0.7</v>
      </c>
      <c r="D6" s="6" t="s">
        <v>19</v>
      </c>
      <c r="E6" s="7" t="s">
        <v>37</v>
      </c>
      <c r="F6" s="4" t="s">
        <v>40</v>
      </c>
      <c r="G6" s="8">
        <v>430</v>
      </c>
      <c r="H6" s="8">
        <v>708</v>
      </c>
      <c r="I6" s="9"/>
      <c r="J6" s="8">
        <f t="shared" si="0"/>
        <v>708</v>
      </c>
    </row>
    <row r="7" spans="1:10" ht="19.95" customHeight="1" x14ac:dyDescent="0.3">
      <c r="A7" s="4">
        <v>250074</v>
      </c>
      <c r="B7" s="4">
        <v>304</v>
      </c>
      <c r="C7" s="6">
        <v>0.7</v>
      </c>
      <c r="D7" s="6" t="s">
        <v>19</v>
      </c>
      <c r="E7" s="7" t="s">
        <v>38</v>
      </c>
      <c r="F7" s="4" t="s">
        <v>40</v>
      </c>
      <c r="G7" s="8">
        <v>430</v>
      </c>
      <c r="H7" s="8">
        <v>708</v>
      </c>
      <c r="I7" s="9">
        <v>780</v>
      </c>
      <c r="J7" s="8">
        <f t="shared" si="0"/>
        <v>-72</v>
      </c>
    </row>
    <row r="8" spans="1:10" ht="19.95" customHeight="1" x14ac:dyDescent="0.3">
      <c r="A8" s="4">
        <v>250074</v>
      </c>
      <c r="B8" s="4">
        <v>304</v>
      </c>
      <c r="C8" s="6">
        <v>0.7</v>
      </c>
      <c r="D8" s="6" t="s">
        <v>19</v>
      </c>
      <c r="E8" s="7" t="s">
        <v>39</v>
      </c>
      <c r="F8" s="4" t="s">
        <v>41</v>
      </c>
      <c r="G8" s="8">
        <v>430</v>
      </c>
      <c r="H8" s="8">
        <v>708</v>
      </c>
      <c r="I8" s="9">
        <v>780</v>
      </c>
      <c r="J8" s="8">
        <f t="shared" si="0"/>
        <v>-72</v>
      </c>
    </row>
    <row r="9" spans="1:10" ht="19.95" customHeight="1" x14ac:dyDescent="0.3">
      <c r="A9" s="4">
        <v>100925</v>
      </c>
      <c r="B9" s="4">
        <v>304</v>
      </c>
      <c r="C9" s="6">
        <v>0.9</v>
      </c>
      <c r="D9" s="6" t="s">
        <v>26</v>
      </c>
      <c r="E9" s="7" t="s">
        <v>42</v>
      </c>
      <c r="F9" s="4" t="s">
        <v>43</v>
      </c>
      <c r="G9" s="8">
        <v>430</v>
      </c>
      <c r="H9" s="8">
        <v>1200</v>
      </c>
      <c r="I9" s="9"/>
      <c r="J9" s="8">
        <f t="shared" si="0"/>
        <v>1200</v>
      </c>
    </row>
    <row r="10" spans="1:10" ht="19.95" customHeight="1" x14ac:dyDescent="0.3">
      <c r="A10" s="4"/>
      <c r="B10" s="4"/>
      <c r="C10" s="6"/>
      <c r="D10" s="6"/>
      <c r="E10" s="7"/>
      <c r="F10" s="4"/>
      <c r="G10" s="4"/>
      <c r="H10" s="8"/>
      <c r="I10" s="9"/>
      <c r="J10" s="8">
        <f t="shared" si="0"/>
        <v>0</v>
      </c>
    </row>
    <row r="11" spans="1:10" ht="19.95" customHeight="1" x14ac:dyDescent="0.3">
      <c r="A11" s="10"/>
      <c r="B11" s="10"/>
      <c r="C11" s="10"/>
      <c r="D11" s="10"/>
      <c r="E11" s="11"/>
      <c r="F11" s="10"/>
      <c r="G11" s="12"/>
      <c r="H11" s="13">
        <f>SUM(H5:H10)</f>
        <v>6524</v>
      </c>
      <c r="I11" s="14">
        <f>SUM(I5:I10)</f>
        <v>4895</v>
      </c>
      <c r="J11" s="8">
        <f>SUM(J5:J10)</f>
        <v>1629</v>
      </c>
    </row>
    <row r="13" spans="1:10" ht="30" customHeight="1" x14ac:dyDescent="0.3">
      <c r="A13" s="31" t="s">
        <v>15</v>
      </c>
      <c r="B13" s="31"/>
      <c r="C13" s="31"/>
      <c r="D13" s="31"/>
      <c r="E13" s="31"/>
      <c r="F13" s="31"/>
      <c r="G13" s="31"/>
      <c r="H13" s="31"/>
      <c r="I13" s="31"/>
      <c r="J13" s="31"/>
    </row>
    <row r="14" spans="1:10" ht="30" customHeight="1" x14ac:dyDescent="0.3">
      <c r="A14" s="4" t="s">
        <v>2</v>
      </c>
      <c r="B14" s="4" t="s">
        <v>3</v>
      </c>
      <c r="C14" s="5" t="s">
        <v>4</v>
      </c>
      <c r="D14" s="5" t="s">
        <v>5</v>
      </c>
      <c r="E14" s="4" t="s">
        <v>6</v>
      </c>
      <c r="F14" s="5" t="s">
        <v>17</v>
      </c>
      <c r="G14" s="5" t="s">
        <v>7</v>
      </c>
      <c r="H14" s="4" t="s">
        <v>8</v>
      </c>
      <c r="I14" s="4" t="s">
        <v>9</v>
      </c>
      <c r="J14" s="4" t="s">
        <v>10</v>
      </c>
    </row>
    <row r="15" spans="1:10" ht="19.95" customHeight="1" x14ac:dyDescent="0.3">
      <c r="A15" s="4" t="s">
        <v>27</v>
      </c>
      <c r="B15" s="4">
        <v>304</v>
      </c>
      <c r="C15" s="6">
        <v>0.8</v>
      </c>
      <c r="D15" s="6" t="s">
        <v>22</v>
      </c>
      <c r="E15" s="7" t="s">
        <v>32</v>
      </c>
      <c r="F15" s="4" t="s">
        <v>33</v>
      </c>
      <c r="G15" s="8" t="s">
        <v>22</v>
      </c>
      <c r="H15" s="8">
        <v>3200</v>
      </c>
      <c r="I15" s="9">
        <f>1400+1875</f>
        <v>3275</v>
      </c>
      <c r="J15" s="8">
        <f t="shared" ref="J15:J20" si="1">H15-I15</f>
        <v>-75</v>
      </c>
    </row>
    <row r="16" spans="1:10" ht="19.95" customHeight="1" x14ac:dyDescent="0.3">
      <c r="A16" s="4">
        <v>250074</v>
      </c>
      <c r="B16" s="4">
        <v>304</v>
      </c>
      <c r="C16" s="6">
        <v>0.7</v>
      </c>
      <c r="D16" s="6" t="s">
        <v>19</v>
      </c>
      <c r="E16" s="7" t="s">
        <v>37</v>
      </c>
      <c r="F16" s="4" t="s">
        <v>40</v>
      </c>
      <c r="G16" s="8">
        <v>430</v>
      </c>
      <c r="H16" s="8">
        <v>708</v>
      </c>
      <c r="I16" s="9"/>
      <c r="J16" s="8">
        <f t="shared" si="1"/>
        <v>708</v>
      </c>
    </row>
    <row r="17" spans="1:10" ht="19.95" customHeight="1" x14ac:dyDescent="0.3">
      <c r="A17" s="4">
        <v>250074</v>
      </c>
      <c r="B17" s="4">
        <v>304</v>
      </c>
      <c r="C17" s="6">
        <v>0.7</v>
      </c>
      <c r="D17" s="6" t="s">
        <v>19</v>
      </c>
      <c r="E17" s="7" t="s">
        <v>38</v>
      </c>
      <c r="F17" s="4" t="s">
        <v>40</v>
      </c>
      <c r="G17" s="8">
        <v>430</v>
      </c>
      <c r="H17" s="8">
        <v>708</v>
      </c>
      <c r="I17" s="9"/>
      <c r="J17" s="8">
        <f t="shared" si="1"/>
        <v>708</v>
      </c>
    </row>
    <row r="18" spans="1:10" ht="19.95" customHeight="1" x14ac:dyDescent="0.3">
      <c r="A18" s="4">
        <v>250074</v>
      </c>
      <c r="B18" s="4">
        <v>304</v>
      </c>
      <c r="C18" s="6">
        <v>0.7</v>
      </c>
      <c r="D18" s="6" t="s">
        <v>19</v>
      </c>
      <c r="E18" s="7" t="s">
        <v>39</v>
      </c>
      <c r="F18" s="4" t="s">
        <v>41</v>
      </c>
      <c r="G18" s="8">
        <v>430</v>
      </c>
      <c r="H18" s="8">
        <v>708</v>
      </c>
      <c r="I18" s="9">
        <v>225</v>
      </c>
      <c r="J18" s="8">
        <f t="shared" si="1"/>
        <v>483</v>
      </c>
    </row>
    <row r="19" spans="1:10" ht="19.95" customHeight="1" x14ac:dyDescent="0.3">
      <c r="A19" s="4">
        <v>100925</v>
      </c>
      <c r="B19" s="4">
        <v>304</v>
      </c>
      <c r="C19" s="6">
        <v>0.9</v>
      </c>
      <c r="D19" s="6" t="s">
        <v>26</v>
      </c>
      <c r="E19" s="7" t="s">
        <v>42</v>
      </c>
      <c r="F19" s="4" t="s">
        <v>43</v>
      </c>
      <c r="G19" s="8">
        <v>430</v>
      </c>
      <c r="H19" s="8">
        <v>1200</v>
      </c>
      <c r="I19" s="9"/>
      <c r="J19" s="8">
        <f t="shared" si="1"/>
        <v>1200</v>
      </c>
    </row>
    <row r="20" spans="1:10" ht="19.95" customHeight="1" x14ac:dyDescent="0.3">
      <c r="A20" s="4"/>
      <c r="B20" s="4"/>
      <c r="C20" s="6"/>
      <c r="D20" s="6"/>
      <c r="E20" s="7"/>
      <c r="F20" s="4"/>
      <c r="G20" s="4"/>
      <c r="H20" s="8"/>
      <c r="I20" s="9"/>
      <c r="J20" s="8">
        <f t="shared" si="1"/>
        <v>0</v>
      </c>
    </row>
    <row r="21" spans="1:10" ht="19.95" customHeight="1" x14ac:dyDescent="0.3">
      <c r="A21" s="10"/>
      <c r="B21" s="10"/>
      <c r="C21" s="10"/>
      <c r="D21" s="10"/>
      <c r="E21" s="11"/>
      <c r="F21" s="10"/>
      <c r="G21" s="12"/>
      <c r="H21" s="8">
        <f>SUM(H15:H20)</f>
        <v>6524</v>
      </c>
      <c r="I21" s="9">
        <f>SUM(I15:I20)</f>
        <v>3500</v>
      </c>
      <c r="J21" s="8">
        <f>SUM(J15:J20)</f>
        <v>3024</v>
      </c>
    </row>
    <row r="22" spans="1:10" ht="19.95" customHeight="1" x14ac:dyDescent="0.3">
      <c r="A22" s="16"/>
      <c r="B22" s="16"/>
      <c r="C22" s="16"/>
      <c r="D22" s="16"/>
      <c r="E22" s="17"/>
      <c r="F22" s="16"/>
      <c r="G22" s="16"/>
      <c r="H22" s="18"/>
      <c r="I22" s="19"/>
      <c r="J22" s="18"/>
    </row>
    <row r="23" spans="1:10" ht="30" customHeight="1" x14ac:dyDescent="0.3">
      <c r="A23" s="31" t="s">
        <v>13</v>
      </c>
      <c r="B23" s="31"/>
      <c r="C23" s="31"/>
      <c r="D23" s="31"/>
      <c r="E23" s="31"/>
      <c r="F23" s="31"/>
      <c r="G23" s="31"/>
      <c r="H23" s="31"/>
      <c r="I23" s="31"/>
      <c r="J23" s="31"/>
    </row>
    <row r="24" spans="1:10" ht="30" customHeight="1" x14ac:dyDescent="0.3">
      <c r="A24" s="4" t="s">
        <v>2</v>
      </c>
      <c r="B24" s="4" t="s">
        <v>3</v>
      </c>
      <c r="C24" s="5" t="s">
        <v>4</v>
      </c>
      <c r="D24" s="5" t="s">
        <v>5</v>
      </c>
      <c r="E24" s="4" t="s">
        <v>6</v>
      </c>
      <c r="F24" s="5" t="s">
        <v>17</v>
      </c>
      <c r="G24" s="5" t="s">
        <v>7</v>
      </c>
      <c r="H24" s="4" t="s">
        <v>8</v>
      </c>
      <c r="I24" s="4" t="s">
        <v>9</v>
      </c>
      <c r="J24" s="4" t="s">
        <v>10</v>
      </c>
    </row>
    <row r="25" spans="1:10" ht="19.95" customHeight="1" x14ac:dyDescent="0.3">
      <c r="A25" s="4">
        <v>10925</v>
      </c>
      <c r="B25" s="4">
        <v>430</v>
      </c>
      <c r="C25" s="6">
        <v>0.8</v>
      </c>
      <c r="D25" s="6" t="s">
        <v>22</v>
      </c>
      <c r="E25" s="7" t="s">
        <v>31</v>
      </c>
      <c r="F25" s="4" t="s">
        <v>34</v>
      </c>
      <c r="G25" s="4" t="s">
        <v>22</v>
      </c>
      <c r="H25" s="8">
        <v>3100</v>
      </c>
      <c r="I25" s="9">
        <f>600+2150+450</f>
        <v>3200</v>
      </c>
      <c r="J25" s="8">
        <f t="shared" ref="J25:J31" si="2">H25-I25</f>
        <v>-100</v>
      </c>
    </row>
    <row r="26" spans="1:10" ht="19.95" customHeight="1" x14ac:dyDescent="0.3">
      <c r="A26" s="4" t="s">
        <v>27</v>
      </c>
      <c r="B26" s="4">
        <v>304</v>
      </c>
      <c r="C26" s="6">
        <v>0.8</v>
      </c>
      <c r="D26" s="6" t="s">
        <v>22</v>
      </c>
      <c r="E26" s="7" t="s">
        <v>32</v>
      </c>
      <c r="F26" s="4" t="s">
        <v>33</v>
      </c>
      <c r="G26" s="8" t="s">
        <v>22</v>
      </c>
      <c r="H26" s="8">
        <v>3200</v>
      </c>
      <c r="I26" s="9">
        <v>2000</v>
      </c>
      <c r="J26" s="8">
        <f t="shared" si="2"/>
        <v>1200</v>
      </c>
    </row>
    <row r="27" spans="1:10" ht="19.95" customHeight="1" x14ac:dyDescent="0.3">
      <c r="A27" s="4">
        <v>250074</v>
      </c>
      <c r="B27" s="4">
        <v>304</v>
      </c>
      <c r="C27" s="6">
        <v>0.7</v>
      </c>
      <c r="D27" s="6" t="s">
        <v>19</v>
      </c>
      <c r="E27" s="7" t="s">
        <v>37</v>
      </c>
      <c r="F27" s="4" t="s">
        <v>40</v>
      </c>
      <c r="G27" s="8">
        <v>430</v>
      </c>
      <c r="H27" s="8">
        <v>708</v>
      </c>
      <c r="I27" s="9"/>
      <c r="J27" s="8">
        <f t="shared" si="2"/>
        <v>708</v>
      </c>
    </row>
    <row r="28" spans="1:10" ht="19.95" customHeight="1" x14ac:dyDescent="0.3">
      <c r="A28" s="4">
        <v>250074</v>
      </c>
      <c r="B28" s="4">
        <v>304</v>
      </c>
      <c r="C28" s="6">
        <v>0.7</v>
      </c>
      <c r="D28" s="6" t="s">
        <v>19</v>
      </c>
      <c r="E28" s="7" t="s">
        <v>38</v>
      </c>
      <c r="F28" s="4" t="s">
        <v>40</v>
      </c>
      <c r="G28" s="8">
        <v>430</v>
      </c>
      <c r="H28" s="8">
        <v>708</v>
      </c>
      <c r="I28" s="9"/>
      <c r="J28" s="8">
        <f t="shared" si="2"/>
        <v>708</v>
      </c>
    </row>
    <row r="29" spans="1:10" ht="19.95" customHeight="1" x14ac:dyDescent="0.3">
      <c r="A29" s="4">
        <v>250074</v>
      </c>
      <c r="B29" s="4">
        <v>304</v>
      </c>
      <c r="C29" s="6">
        <v>0.7</v>
      </c>
      <c r="D29" s="6" t="s">
        <v>19</v>
      </c>
      <c r="E29" s="7" t="s">
        <v>39</v>
      </c>
      <c r="F29" s="4" t="s">
        <v>41</v>
      </c>
      <c r="G29" s="8">
        <v>430</v>
      </c>
      <c r="H29" s="8">
        <v>708</v>
      </c>
      <c r="I29" s="9"/>
      <c r="J29" s="8">
        <f t="shared" si="2"/>
        <v>708</v>
      </c>
    </row>
    <row r="30" spans="1:10" ht="19.95" customHeight="1" x14ac:dyDescent="0.3">
      <c r="A30" s="4">
        <v>100925</v>
      </c>
      <c r="B30" s="4">
        <v>304</v>
      </c>
      <c r="C30" s="6">
        <v>0.9</v>
      </c>
      <c r="D30" s="6" t="s">
        <v>26</v>
      </c>
      <c r="E30" s="7" t="s">
        <v>42</v>
      </c>
      <c r="F30" s="4" t="s">
        <v>43</v>
      </c>
      <c r="G30" s="8">
        <v>430</v>
      </c>
      <c r="H30" s="8">
        <v>1200</v>
      </c>
      <c r="I30" s="9"/>
      <c r="J30" s="8">
        <f t="shared" si="2"/>
        <v>1200</v>
      </c>
    </row>
    <row r="31" spans="1:10" ht="19.95" customHeight="1" x14ac:dyDescent="0.3">
      <c r="A31" s="4"/>
      <c r="B31" s="4"/>
      <c r="C31" s="6"/>
      <c r="D31" s="6"/>
      <c r="E31" s="7"/>
      <c r="F31" s="4"/>
      <c r="G31" s="4"/>
      <c r="H31" s="8"/>
      <c r="I31" s="9"/>
      <c r="J31" s="8">
        <f t="shared" si="2"/>
        <v>0</v>
      </c>
    </row>
    <row r="32" spans="1:10" ht="19.95" customHeight="1" x14ac:dyDescent="0.3">
      <c r="A32" s="10"/>
      <c r="B32" s="10"/>
      <c r="C32" s="10"/>
      <c r="D32" s="10"/>
      <c r="E32" s="11"/>
      <c r="F32" s="10"/>
      <c r="G32" s="12"/>
      <c r="H32" s="8">
        <f>SUM(H25:H31)</f>
        <v>9624</v>
      </c>
      <c r="I32" s="9">
        <f>SUM(I25:I31)</f>
        <v>5200</v>
      </c>
      <c r="J32" s="8">
        <f>SUM(J25:J31)</f>
        <v>4424</v>
      </c>
    </row>
    <row r="33" spans="1:10" ht="19.95" customHeight="1" x14ac:dyDescent="0.3">
      <c r="A33" s="16"/>
      <c r="B33" s="16"/>
      <c r="C33" s="16"/>
      <c r="D33" s="16"/>
      <c r="E33" s="17"/>
      <c r="F33" s="16"/>
      <c r="G33" s="16"/>
      <c r="H33" s="18"/>
      <c r="I33" s="19"/>
      <c r="J33" s="18"/>
    </row>
    <row r="34" spans="1:10" ht="30" customHeight="1" x14ac:dyDescent="0.3">
      <c r="A34" s="31" t="s">
        <v>14</v>
      </c>
      <c r="B34" s="31"/>
      <c r="C34" s="31"/>
      <c r="D34" s="31"/>
      <c r="E34" s="31"/>
      <c r="F34" s="31"/>
      <c r="G34" s="31"/>
      <c r="H34" s="31"/>
      <c r="I34" s="31"/>
      <c r="J34" s="31"/>
    </row>
    <row r="35" spans="1:10" ht="30" customHeight="1" x14ac:dyDescent="0.3">
      <c r="A35" s="4" t="s">
        <v>2</v>
      </c>
      <c r="B35" s="4" t="s">
        <v>3</v>
      </c>
      <c r="C35" s="5" t="s">
        <v>4</v>
      </c>
      <c r="D35" s="5" t="s">
        <v>5</v>
      </c>
      <c r="E35" s="4" t="s">
        <v>6</v>
      </c>
      <c r="F35" s="5" t="s">
        <v>17</v>
      </c>
      <c r="G35" s="5" t="s">
        <v>7</v>
      </c>
      <c r="H35" s="4" t="s">
        <v>8</v>
      </c>
      <c r="I35" s="4" t="s">
        <v>9</v>
      </c>
      <c r="J35" s="4" t="s">
        <v>10</v>
      </c>
    </row>
    <row r="36" spans="1:10" ht="19.95" customHeight="1" x14ac:dyDescent="0.3">
      <c r="A36" s="4">
        <v>10925</v>
      </c>
      <c r="B36" s="4">
        <v>430</v>
      </c>
      <c r="C36" s="6">
        <v>0.8</v>
      </c>
      <c r="D36" s="6" t="s">
        <v>22</v>
      </c>
      <c r="E36" s="7" t="s">
        <v>31</v>
      </c>
      <c r="F36" s="4" t="s">
        <v>34</v>
      </c>
      <c r="G36" s="4" t="s">
        <v>22</v>
      </c>
      <c r="H36" s="8">
        <v>3100</v>
      </c>
      <c r="I36" s="9">
        <f>2400+800</f>
        <v>3200</v>
      </c>
      <c r="J36" s="8">
        <f t="shared" ref="J36:J42" si="3">H36-I36</f>
        <v>-100</v>
      </c>
    </row>
    <row r="37" spans="1:10" ht="19.95" customHeight="1" x14ac:dyDescent="0.3">
      <c r="A37" s="4" t="s">
        <v>27</v>
      </c>
      <c r="B37" s="4">
        <v>304</v>
      </c>
      <c r="C37" s="6">
        <v>0.8</v>
      </c>
      <c r="D37" s="6" t="s">
        <v>22</v>
      </c>
      <c r="E37" s="7" t="s">
        <v>32</v>
      </c>
      <c r="F37" s="4" t="s">
        <v>33</v>
      </c>
      <c r="G37" s="8" t="s">
        <v>22</v>
      </c>
      <c r="H37" s="8">
        <v>3200</v>
      </c>
      <c r="I37" s="9">
        <v>1210</v>
      </c>
      <c r="J37" s="8">
        <f t="shared" si="3"/>
        <v>1990</v>
      </c>
    </row>
    <row r="38" spans="1:10" ht="19.95" customHeight="1" x14ac:dyDescent="0.3">
      <c r="A38" s="4">
        <v>250074</v>
      </c>
      <c r="B38" s="4">
        <v>304</v>
      </c>
      <c r="C38" s="6">
        <v>0.7</v>
      </c>
      <c r="D38" s="6" t="s">
        <v>19</v>
      </c>
      <c r="E38" s="7" t="s">
        <v>37</v>
      </c>
      <c r="F38" s="4" t="s">
        <v>40</v>
      </c>
      <c r="G38" s="8">
        <v>430</v>
      </c>
      <c r="H38" s="8">
        <v>708</v>
      </c>
      <c r="I38" s="9"/>
      <c r="J38" s="8">
        <f t="shared" si="3"/>
        <v>708</v>
      </c>
    </row>
    <row r="39" spans="1:10" ht="19.95" customHeight="1" x14ac:dyDescent="0.3">
      <c r="A39" s="4">
        <v>250074</v>
      </c>
      <c r="B39" s="4">
        <v>304</v>
      </c>
      <c r="C39" s="6">
        <v>0.7</v>
      </c>
      <c r="D39" s="6" t="s">
        <v>19</v>
      </c>
      <c r="E39" s="7" t="s">
        <v>38</v>
      </c>
      <c r="F39" s="4" t="s">
        <v>40</v>
      </c>
      <c r="G39" s="8">
        <v>430</v>
      </c>
      <c r="H39" s="8">
        <v>708</v>
      </c>
      <c r="I39" s="9"/>
      <c r="J39" s="8">
        <f t="shared" si="3"/>
        <v>708</v>
      </c>
    </row>
    <row r="40" spans="1:10" ht="19.95" customHeight="1" x14ac:dyDescent="0.3">
      <c r="A40" s="4">
        <v>250074</v>
      </c>
      <c r="B40" s="4">
        <v>304</v>
      </c>
      <c r="C40" s="6">
        <v>0.7</v>
      </c>
      <c r="D40" s="6" t="s">
        <v>19</v>
      </c>
      <c r="E40" s="7" t="s">
        <v>39</v>
      </c>
      <c r="F40" s="4" t="s">
        <v>41</v>
      </c>
      <c r="G40" s="8">
        <v>430</v>
      </c>
      <c r="H40" s="8">
        <v>708</v>
      </c>
      <c r="I40" s="9"/>
      <c r="J40" s="8">
        <f t="shared" si="3"/>
        <v>708</v>
      </c>
    </row>
    <row r="41" spans="1:10" ht="19.95" customHeight="1" x14ac:dyDescent="0.3">
      <c r="A41" s="4">
        <v>100925</v>
      </c>
      <c r="B41" s="4">
        <v>304</v>
      </c>
      <c r="C41" s="6">
        <v>0.9</v>
      </c>
      <c r="D41" s="6" t="s">
        <v>26</v>
      </c>
      <c r="E41" s="7" t="s">
        <v>42</v>
      </c>
      <c r="F41" s="4" t="s">
        <v>43</v>
      </c>
      <c r="G41" s="8">
        <v>430</v>
      </c>
      <c r="H41" s="8">
        <v>1200</v>
      </c>
      <c r="I41" s="9"/>
      <c r="J41" s="8">
        <f t="shared" si="3"/>
        <v>1200</v>
      </c>
    </row>
    <row r="42" spans="1:10" ht="19.95" customHeight="1" x14ac:dyDescent="0.3">
      <c r="A42" s="4"/>
      <c r="B42" s="4"/>
      <c r="C42" s="6"/>
      <c r="D42" s="6"/>
      <c r="E42" s="7"/>
      <c r="F42" s="4"/>
      <c r="G42" s="4"/>
      <c r="H42" s="8"/>
      <c r="I42" s="9"/>
      <c r="J42" s="8">
        <f t="shared" si="3"/>
        <v>0</v>
      </c>
    </row>
    <row r="43" spans="1:10" ht="19.95" customHeight="1" x14ac:dyDescent="0.3">
      <c r="A43" s="10"/>
      <c r="B43" s="10"/>
      <c r="C43" s="10"/>
      <c r="D43" s="10"/>
      <c r="E43" s="11"/>
      <c r="F43" s="10"/>
      <c r="G43" s="12"/>
      <c r="H43" s="8">
        <f>SUM(H36:H42)</f>
        <v>9624</v>
      </c>
      <c r="I43" s="9">
        <f>SUM(I36:I42)</f>
        <v>4410</v>
      </c>
      <c r="J43" s="8">
        <f>SUM(J36:J42)</f>
        <v>5214</v>
      </c>
    </row>
    <row r="44" spans="1:10" ht="19.95" customHeight="1" x14ac:dyDescent="0.3">
      <c r="A44" s="16"/>
      <c r="B44" s="16"/>
      <c r="C44" s="16"/>
      <c r="D44" s="16"/>
      <c r="E44" s="17"/>
      <c r="F44" s="16"/>
      <c r="G44" s="16"/>
      <c r="H44" s="18"/>
      <c r="I44" s="19"/>
      <c r="J44" s="18"/>
    </row>
    <row r="45" spans="1:10" ht="30" customHeight="1" x14ac:dyDescent="0.3">
      <c r="A45" s="31" t="s">
        <v>16</v>
      </c>
      <c r="B45" s="31"/>
      <c r="C45" s="31"/>
      <c r="D45" s="31"/>
      <c r="E45" s="31"/>
      <c r="F45" s="31"/>
      <c r="G45" s="31"/>
      <c r="H45" s="31"/>
      <c r="I45" s="31"/>
      <c r="J45" s="31"/>
    </row>
    <row r="46" spans="1:10" ht="30" customHeight="1" x14ac:dyDescent="0.3">
      <c r="A46" s="4" t="s">
        <v>2</v>
      </c>
      <c r="B46" s="4" t="s">
        <v>3</v>
      </c>
      <c r="C46" s="5" t="s">
        <v>4</v>
      </c>
      <c r="D46" s="5" t="s">
        <v>5</v>
      </c>
      <c r="E46" s="4" t="s">
        <v>6</v>
      </c>
      <c r="F46" s="5" t="s">
        <v>18</v>
      </c>
      <c r="G46" s="5" t="s">
        <v>7</v>
      </c>
      <c r="H46" s="4" t="s">
        <v>8</v>
      </c>
      <c r="I46" s="4" t="s">
        <v>9</v>
      </c>
      <c r="J46" s="4" t="s">
        <v>10</v>
      </c>
    </row>
    <row r="47" spans="1:10" ht="19.95" customHeight="1" x14ac:dyDescent="0.3">
      <c r="A47" s="4"/>
      <c r="B47" s="4"/>
      <c r="C47" s="6"/>
      <c r="D47" s="6"/>
      <c r="E47" s="7"/>
      <c r="F47" s="4"/>
      <c r="G47" s="4"/>
      <c r="H47" s="8"/>
      <c r="I47" s="9"/>
      <c r="J47" s="8">
        <f t="shared" ref="J47:J52" si="4">H47-I47</f>
        <v>0</v>
      </c>
    </row>
    <row r="48" spans="1:10" ht="19.95" customHeight="1" x14ac:dyDescent="0.3">
      <c r="A48" s="4"/>
      <c r="B48" s="4"/>
      <c r="C48" s="6"/>
      <c r="D48" s="6"/>
      <c r="E48" s="7"/>
      <c r="F48" s="4"/>
      <c r="G48" s="4"/>
      <c r="H48" s="8"/>
      <c r="I48" s="9"/>
      <c r="J48" s="8">
        <f t="shared" si="4"/>
        <v>0</v>
      </c>
    </row>
    <row r="49" spans="1:10" ht="19.95" customHeight="1" x14ac:dyDescent="0.3">
      <c r="A49" s="4"/>
      <c r="B49" s="4"/>
      <c r="C49" s="6"/>
      <c r="D49" s="6"/>
      <c r="E49" s="7"/>
      <c r="F49" s="4"/>
      <c r="G49" s="4"/>
      <c r="H49" s="8"/>
      <c r="I49" s="9"/>
      <c r="J49" s="8">
        <f t="shared" si="4"/>
        <v>0</v>
      </c>
    </row>
    <row r="50" spans="1:10" ht="19.95" customHeight="1" x14ac:dyDescent="0.3">
      <c r="A50" s="4"/>
      <c r="B50" s="4"/>
      <c r="C50" s="6"/>
      <c r="D50" s="6"/>
      <c r="E50" s="7"/>
      <c r="F50" s="4"/>
      <c r="G50" s="8"/>
      <c r="H50" s="8"/>
      <c r="I50" s="9"/>
      <c r="J50" s="8">
        <f t="shared" si="4"/>
        <v>0</v>
      </c>
    </row>
    <row r="51" spans="1:10" ht="19.95" customHeight="1" x14ac:dyDescent="0.3">
      <c r="A51" s="4"/>
      <c r="B51" s="4"/>
      <c r="C51" s="6"/>
      <c r="D51" s="6"/>
      <c r="E51" s="7"/>
      <c r="F51" s="4"/>
      <c r="G51" s="4"/>
      <c r="H51" s="8"/>
      <c r="I51" s="9"/>
      <c r="J51" s="8">
        <f t="shared" si="4"/>
        <v>0</v>
      </c>
    </row>
    <row r="52" spans="1:10" ht="19.95" customHeight="1" x14ac:dyDescent="0.3">
      <c r="A52" s="4"/>
      <c r="B52" s="4"/>
      <c r="C52" s="6"/>
      <c r="D52" s="6"/>
      <c r="E52" s="7"/>
      <c r="F52" s="4"/>
      <c r="G52" s="4"/>
      <c r="H52" s="8"/>
      <c r="I52" s="9"/>
      <c r="J52" s="8">
        <f t="shared" si="4"/>
        <v>0</v>
      </c>
    </row>
    <row r="53" spans="1:10" ht="19.95" customHeight="1" x14ac:dyDescent="0.3">
      <c r="A53" s="10"/>
      <c r="B53" s="10"/>
      <c r="C53" s="10"/>
      <c r="D53" s="10"/>
      <c r="E53" s="11"/>
      <c r="F53" s="10"/>
      <c r="G53" s="12"/>
      <c r="H53" s="8">
        <f>SUM(H47:H52)</f>
        <v>0</v>
      </c>
      <c r="I53" s="9">
        <f>SUM(I47:I52)</f>
        <v>0</v>
      </c>
      <c r="J53" s="8">
        <f>SUM(J47:J52)</f>
        <v>0</v>
      </c>
    </row>
    <row r="54" spans="1:10" ht="19.95" customHeight="1" x14ac:dyDescent="0.3">
      <c r="A54" s="16"/>
      <c r="B54" s="16"/>
      <c r="C54" s="16"/>
      <c r="D54" s="16"/>
      <c r="E54" s="17"/>
      <c r="F54" s="16"/>
      <c r="G54" s="16"/>
      <c r="H54" s="18"/>
      <c r="I54" s="19"/>
      <c r="J54" s="18"/>
    </row>
    <row r="56" spans="1:10" ht="23.4" x14ac:dyDescent="0.3">
      <c r="A56" s="31" t="s">
        <v>11</v>
      </c>
      <c r="B56" s="31"/>
      <c r="C56" s="31"/>
      <c r="D56" s="31"/>
      <c r="E56" s="31"/>
      <c r="F56" s="31"/>
      <c r="G56" s="31"/>
      <c r="H56" s="31"/>
      <c r="I56" s="31"/>
      <c r="J56" s="31"/>
    </row>
  </sheetData>
  <mergeCells count="8">
    <mergeCell ref="A45:J45"/>
    <mergeCell ref="A56:J56"/>
    <mergeCell ref="I1:J1"/>
    <mergeCell ref="A2:J2"/>
    <mergeCell ref="A3:J3"/>
    <mergeCell ref="A13:J13"/>
    <mergeCell ref="A23:J23"/>
    <mergeCell ref="A34:J34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45" orientation="portrait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zoomScale="75" zoomScaleNormal="75" workbookViewId="0">
      <selection activeCell="I6" sqref="I6"/>
    </sheetView>
  </sheetViews>
  <sheetFormatPr defaultRowHeight="14.4" x14ac:dyDescent="0.3"/>
  <cols>
    <col min="1" max="1" width="15.6640625" customWidth="1"/>
    <col min="2" max="3" width="12.6640625" customWidth="1"/>
    <col min="4" max="4" width="15.6640625" customWidth="1"/>
    <col min="5" max="5" width="80.6640625" customWidth="1"/>
    <col min="6" max="6" width="22.77734375" style="15" bestFit="1" customWidth="1"/>
    <col min="7" max="7" width="12.33203125" customWidth="1"/>
    <col min="8" max="10" width="15.6640625" customWidth="1"/>
  </cols>
  <sheetData>
    <row r="1" spans="1:11" s="1" customFormat="1" ht="30" customHeight="1" x14ac:dyDescent="0.3">
      <c r="F1" s="2"/>
      <c r="G1" s="2"/>
      <c r="H1" s="3" t="s">
        <v>0</v>
      </c>
      <c r="I1" s="27">
        <v>45933</v>
      </c>
      <c r="J1" s="27"/>
    </row>
    <row r="2" spans="1:11" ht="40.049999999999997" customHeight="1" x14ac:dyDescent="0.3">
      <c r="A2" s="28" t="s">
        <v>24</v>
      </c>
      <c r="B2" s="29"/>
      <c r="C2" s="29"/>
      <c r="D2" s="29"/>
      <c r="E2" s="29"/>
      <c r="F2" s="29"/>
      <c r="G2" s="29"/>
      <c r="H2" s="29"/>
      <c r="I2" s="29"/>
      <c r="J2" s="30"/>
    </row>
    <row r="3" spans="1:11" ht="30" customHeight="1" x14ac:dyDescent="0.3">
      <c r="A3" s="31" t="s">
        <v>12</v>
      </c>
      <c r="B3" s="31"/>
      <c r="C3" s="31"/>
      <c r="D3" s="31"/>
      <c r="E3" s="31"/>
      <c r="F3" s="31"/>
      <c r="G3" s="31"/>
      <c r="H3" s="31"/>
      <c r="I3" s="31"/>
      <c r="J3" s="31"/>
    </row>
    <row r="4" spans="1:11" ht="30" customHeight="1" x14ac:dyDescent="0.3">
      <c r="A4" s="4" t="s">
        <v>2</v>
      </c>
      <c r="B4" s="4" t="s">
        <v>3</v>
      </c>
      <c r="C4" s="5" t="s">
        <v>4</v>
      </c>
      <c r="D4" s="5" t="s">
        <v>5</v>
      </c>
      <c r="E4" s="4" t="s">
        <v>6</v>
      </c>
      <c r="F4" s="5" t="s">
        <v>17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1" ht="19.95" customHeight="1" x14ac:dyDescent="0.3">
      <c r="A5" s="4">
        <v>250074</v>
      </c>
      <c r="B5" s="4">
        <v>304</v>
      </c>
      <c r="C5" s="6">
        <v>0.7</v>
      </c>
      <c r="D5" s="6" t="s">
        <v>19</v>
      </c>
      <c r="E5" s="7" t="s">
        <v>37</v>
      </c>
      <c r="F5" s="4" t="s">
        <v>45</v>
      </c>
      <c r="G5" s="8">
        <v>430</v>
      </c>
      <c r="H5" s="8">
        <v>708</v>
      </c>
      <c r="I5" s="9">
        <v>960</v>
      </c>
      <c r="J5" s="21">
        <f t="shared" ref="J5:J10" si="0">H5-I5</f>
        <v>-252</v>
      </c>
      <c r="K5" s="20"/>
    </row>
    <row r="6" spans="1:11" ht="19.95" customHeight="1" x14ac:dyDescent="0.3">
      <c r="A6" s="4">
        <v>100925</v>
      </c>
      <c r="B6" s="4">
        <v>304</v>
      </c>
      <c r="C6" s="6">
        <v>0.9</v>
      </c>
      <c r="D6" s="6" t="s">
        <v>26</v>
      </c>
      <c r="E6" s="7" t="s">
        <v>47</v>
      </c>
      <c r="F6" s="4" t="s">
        <v>43</v>
      </c>
      <c r="G6" s="8">
        <v>430</v>
      </c>
      <c r="H6" s="8">
        <v>1200</v>
      </c>
      <c r="I6" s="9">
        <v>1265</v>
      </c>
      <c r="J6" s="8">
        <f t="shared" si="0"/>
        <v>-65</v>
      </c>
    </row>
    <row r="7" spans="1:11" ht="19.95" customHeight="1" x14ac:dyDescent="0.3">
      <c r="A7" s="4">
        <v>100925</v>
      </c>
      <c r="B7" s="4">
        <v>304</v>
      </c>
      <c r="C7" s="6">
        <v>0.9</v>
      </c>
      <c r="D7" s="6" t="s">
        <v>22</v>
      </c>
      <c r="E7" s="7" t="s">
        <v>48</v>
      </c>
      <c r="F7" s="4"/>
      <c r="G7" s="8" t="s">
        <v>22</v>
      </c>
      <c r="H7" s="8">
        <v>1200</v>
      </c>
      <c r="I7" s="9"/>
      <c r="J7" s="8">
        <f t="shared" si="0"/>
        <v>1200</v>
      </c>
    </row>
    <row r="8" spans="1:11" ht="19.95" customHeight="1" x14ac:dyDescent="0.3">
      <c r="A8" s="4">
        <v>100925</v>
      </c>
      <c r="B8" s="4">
        <v>304</v>
      </c>
      <c r="C8" s="6">
        <v>0.9</v>
      </c>
      <c r="D8" s="6" t="s">
        <v>26</v>
      </c>
      <c r="E8" s="7" t="s">
        <v>49</v>
      </c>
      <c r="F8" s="4"/>
      <c r="G8" s="8">
        <v>430</v>
      </c>
      <c r="H8" s="8">
        <v>1500</v>
      </c>
      <c r="I8" s="9"/>
      <c r="J8" s="8">
        <f t="shared" si="0"/>
        <v>1500</v>
      </c>
    </row>
    <row r="9" spans="1:11" ht="19.95" customHeight="1" x14ac:dyDescent="0.3">
      <c r="A9" s="4">
        <v>100925</v>
      </c>
      <c r="B9" s="4">
        <v>304</v>
      </c>
      <c r="C9" s="6">
        <v>0.9</v>
      </c>
      <c r="D9" s="6" t="s">
        <v>26</v>
      </c>
      <c r="E9" s="7" t="s">
        <v>50</v>
      </c>
      <c r="F9" s="4"/>
      <c r="G9" s="8">
        <v>430</v>
      </c>
      <c r="H9" s="8">
        <v>600</v>
      </c>
      <c r="I9" s="9"/>
      <c r="J9" s="8">
        <f t="shared" si="0"/>
        <v>600</v>
      </c>
    </row>
    <row r="10" spans="1:11" ht="19.95" customHeight="1" x14ac:dyDescent="0.3">
      <c r="A10" s="4">
        <v>100925</v>
      </c>
      <c r="B10" s="4">
        <v>304</v>
      </c>
      <c r="C10" s="6">
        <v>0.9</v>
      </c>
      <c r="D10" s="6" t="s">
        <v>22</v>
      </c>
      <c r="E10" s="7" t="s">
        <v>51</v>
      </c>
      <c r="F10" s="4"/>
      <c r="G10" s="4" t="s">
        <v>22</v>
      </c>
      <c r="H10" s="8">
        <v>2100</v>
      </c>
      <c r="I10" s="9"/>
      <c r="J10" s="8">
        <f t="shared" si="0"/>
        <v>2100</v>
      </c>
    </row>
    <row r="11" spans="1:11" ht="19.95" customHeight="1" x14ac:dyDescent="0.3">
      <c r="A11" s="10"/>
      <c r="B11" s="10"/>
      <c r="C11" s="10"/>
      <c r="D11" s="10"/>
      <c r="E11" s="11"/>
      <c r="F11" s="10"/>
      <c r="G11" s="12"/>
      <c r="H11" s="13">
        <f>SUM(H5:H10)</f>
        <v>7308</v>
      </c>
      <c r="I11" s="14">
        <f>SUM(I5:I10)</f>
        <v>2225</v>
      </c>
      <c r="J11" s="8">
        <f>SUM(J5:J10)</f>
        <v>5083</v>
      </c>
    </row>
    <row r="13" spans="1:11" ht="30" customHeight="1" x14ac:dyDescent="0.3">
      <c r="A13" s="31" t="s">
        <v>15</v>
      </c>
      <c r="B13" s="31"/>
      <c r="C13" s="31"/>
      <c r="D13" s="31"/>
      <c r="E13" s="31"/>
      <c r="F13" s="31"/>
      <c r="G13" s="31"/>
      <c r="H13" s="31"/>
      <c r="I13" s="31"/>
      <c r="J13" s="31"/>
    </row>
    <row r="14" spans="1:11" ht="30" customHeight="1" x14ac:dyDescent="0.3">
      <c r="A14" s="4" t="s">
        <v>2</v>
      </c>
      <c r="B14" s="4" t="s">
        <v>3</v>
      </c>
      <c r="C14" s="5" t="s">
        <v>4</v>
      </c>
      <c r="D14" s="5" t="s">
        <v>5</v>
      </c>
      <c r="E14" s="4" t="s">
        <v>6</v>
      </c>
      <c r="F14" s="5" t="s">
        <v>17</v>
      </c>
      <c r="G14" s="5" t="s">
        <v>7</v>
      </c>
      <c r="H14" s="4" t="s">
        <v>8</v>
      </c>
      <c r="I14" s="4" t="s">
        <v>9</v>
      </c>
      <c r="J14" s="4" t="s">
        <v>10</v>
      </c>
    </row>
    <row r="15" spans="1:11" ht="19.95" customHeight="1" x14ac:dyDescent="0.3">
      <c r="A15" s="4">
        <v>250074</v>
      </c>
      <c r="B15" s="4">
        <v>304</v>
      </c>
      <c r="C15" s="6">
        <v>0.7</v>
      </c>
      <c r="D15" s="6" t="s">
        <v>19</v>
      </c>
      <c r="E15" s="7" t="s">
        <v>37</v>
      </c>
      <c r="F15" s="4" t="s">
        <v>45</v>
      </c>
      <c r="G15" s="8">
        <v>430</v>
      </c>
      <c r="H15" s="8">
        <v>708</v>
      </c>
      <c r="I15" s="9">
        <v>740</v>
      </c>
      <c r="J15" s="8">
        <f t="shared" ref="J15:J20" si="1">H15-I15</f>
        <v>-32</v>
      </c>
    </row>
    <row r="16" spans="1:11" ht="19.95" customHeight="1" x14ac:dyDescent="0.3">
      <c r="A16" s="4">
        <v>250074</v>
      </c>
      <c r="B16" s="4">
        <v>304</v>
      </c>
      <c r="C16" s="6">
        <v>0.7</v>
      </c>
      <c r="D16" s="6" t="s">
        <v>19</v>
      </c>
      <c r="E16" s="7" t="s">
        <v>38</v>
      </c>
      <c r="F16" s="4" t="s">
        <v>45</v>
      </c>
      <c r="G16" s="8">
        <v>430</v>
      </c>
      <c r="H16" s="8">
        <v>708</v>
      </c>
      <c r="I16" s="9">
        <v>755</v>
      </c>
      <c r="J16" s="8">
        <f t="shared" si="1"/>
        <v>-47</v>
      </c>
    </row>
    <row r="17" spans="1:12" ht="19.95" customHeight="1" x14ac:dyDescent="0.3">
      <c r="A17" s="4">
        <v>250074</v>
      </c>
      <c r="B17" s="4">
        <v>304</v>
      </c>
      <c r="C17" s="6">
        <v>0.7</v>
      </c>
      <c r="D17" s="6" t="s">
        <v>19</v>
      </c>
      <c r="E17" s="7" t="s">
        <v>39</v>
      </c>
      <c r="F17" s="4" t="s">
        <v>46</v>
      </c>
      <c r="G17" s="8">
        <v>430</v>
      </c>
      <c r="H17" s="8">
        <v>708</v>
      </c>
      <c r="I17" s="9">
        <f>225+560</f>
        <v>785</v>
      </c>
      <c r="J17" s="8">
        <f t="shared" si="1"/>
        <v>-77</v>
      </c>
    </row>
    <row r="18" spans="1:12" ht="19.95" customHeight="1" x14ac:dyDescent="0.3">
      <c r="A18" s="4">
        <v>100925</v>
      </c>
      <c r="B18" s="4">
        <v>304</v>
      </c>
      <c r="C18" s="6">
        <v>0.9</v>
      </c>
      <c r="D18" s="6" t="s">
        <v>26</v>
      </c>
      <c r="E18" s="7" t="s">
        <v>42</v>
      </c>
      <c r="F18" s="4" t="s">
        <v>43</v>
      </c>
      <c r="G18" s="8">
        <v>430</v>
      </c>
      <c r="H18" s="8">
        <v>1200</v>
      </c>
      <c r="I18" s="9"/>
      <c r="J18" s="8">
        <f t="shared" si="1"/>
        <v>1200</v>
      </c>
    </row>
    <row r="19" spans="1:12" ht="19.95" customHeight="1" x14ac:dyDescent="0.3">
      <c r="A19" s="4">
        <v>100925</v>
      </c>
      <c r="B19" s="4">
        <v>304</v>
      </c>
      <c r="C19" s="6">
        <v>0.9</v>
      </c>
      <c r="D19" s="6" t="s">
        <v>22</v>
      </c>
      <c r="E19" s="7" t="s">
        <v>48</v>
      </c>
      <c r="F19" s="4"/>
      <c r="G19" s="8" t="s">
        <v>22</v>
      </c>
      <c r="H19" s="8">
        <v>1200</v>
      </c>
      <c r="I19" s="9"/>
      <c r="J19" s="8">
        <f t="shared" si="1"/>
        <v>1200</v>
      </c>
      <c r="L19" t="s">
        <v>52</v>
      </c>
    </row>
    <row r="20" spans="1:12" ht="19.95" customHeight="1" x14ac:dyDescent="0.3">
      <c r="A20" s="4">
        <v>100925</v>
      </c>
      <c r="B20" s="4">
        <v>304</v>
      </c>
      <c r="C20" s="6">
        <v>0.9</v>
      </c>
      <c r="D20" s="6" t="s">
        <v>26</v>
      </c>
      <c r="E20" s="7" t="s">
        <v>49</v>
      </c>
      <c r="F20" s="4"/>
      <c r="G20" s="8">
        <v>430</v>
      </c>
      <c r="H20" s="8">
        <v>1500</v>
      </c>
      <c r="I20" s="9"/>
      <c r="J20" s="8">
        <f t="shared" si="1"/>
        <v>1500</v>
      </c>
    </row>
    <row r="21" spans="1:12" ht="19.95" customHeight="1" x14ac:dyDescent="0.3">
      <c r="A21" s="10"/>
      <c r="B21" s="10"/>
      <c r="C21" s="10"/>
      <c r="D21" s="10"/>
      <c r="E21" s="11"/>
      <c r="F21" s="10"/>
      <c r="G21" s="12"/>
      <c r="H21" s="8">
        <f>SUM(H15:H20)</f>
        <v>6024</v>
      </c>
      <c r="I21" s="9">
        <f>SUM(I15:I20)</f>
        <v>2280</v>
      </c>
      <c r="J21" s="8">
        <f>SUM(J15:J20)</f>
        <v>3744</v>
      </c>
    </row>
    <row r="22" spans="1:12" ht="19.95" customHeight="1" x14ac:dyDescent="0.3">
      <c r="A22" s="16"/>
      <c r="B22" s="16"/>
      <c r="C22" s="16"/>
      <c r="D22" s="16"/>
      <c r="E22" s="17"/>
      <c r="F22" s="16"/>
      <c r="G22" s="16"/>
      <c r="H22" s="18"/>
      <c r="I22" s="19"/>
      <c r="J22" s="18"/>
    </row>
    <row r="23" spans="1:12" ht="30" customHeight="1" x14ac:dyDescent="0.3">
      <c r="A23" s="31" t="s">
        <v>13</v>
      </c>
      <c r="B23" s="31"/>
      <c r="C23" s="31"/>
      <c r="D23" s="31"/>
      <c r="E23" s="31"/>
      <c r="F23" s="31"/>
      <c r="G23" s="31"/>
      <c r="H23" s="31"/>
      <c r="I23" s="31"/>
      <c r="J23" s="31"/>
    </row>
    <row r="24" spans="1:12" ht="30" customHeight="1" x14ac:dyDescent="0.3">
      <c r="A24" s="4" t="s">
        <v>2</v>
      </c>
      <c r="B24" s="4" t="s">
        <v>3</v>
      </c>
      <c r="C24" s="5" t="s">
        <v>4</v>
      </c>
      <c r="D24" s="5" t="s">
        <v>5</v>
      </c>
      <c r="E24" s="4" t="s">
        <v>6</v>
      </c>
      <c r="F24" s="5" t="s">
        <v>17</v>
      </c>
      <c r="G24" s="5" t="s">
        <v>7</v>
      </c>
      <c r="H24" s="4" t="s">
        <v>8</v>
      </c>
      <c r="I24" s="4" t="s">
        <v>9</v>
      </c>
      <c r="J24" s="4" t="s">
        <v>10</v>
      </c>
    </row>
    <row r="25" spans="1:12" ht="19.95" customHeight="1" x14ac:dyDescent="0.3">
      <c r="A25" s="4" t="s">
        <v>27</v>
      </c>
      <c r="B25" s="4">
        <v>304</v>
      </c>
      <c r="C25" s="6">
        <v>0.8</v>
      </c>
      <c r="D25" s="6" t="s">
        <v>22</v>
      </c>
      <c r="E25" s="7" t="s">
        <v>32</v>
      </c>
      <c r="F25" s="4" t="s">
        <v>33</v>
      </c>
      <c r="G25" s="8" t="s">
        <v>22</v>
      </c>
      <c r="H25" s="8">
        <v>3200</v>
      </c>
      <c r="I25" s="9">
        <f>2000+1400</f>
        <v>3400</v>
      </c>
      <c r="J25" s="8">
        <f t="shared" ref="J25:J31" si="2">H25-I25</f>
        <v>-200</v>
      </c>
    </row>
    <row r="26" spans="1:12" ht="19.95" customHeight="1" x14ac:dyDescent="0.3">
      <c r="A26" s="4">
        <v>250074</v>
      </c>
      <c r="B26" s="4">
        <v>304</v>
      </c>
      <c r="C26" s="6">
        <v>0.7</v>
      </c>
      <c r="D26" s="6" t="s">
        <v>19</v>
      </c>
      <c r="E26" s="7" t="s">
        <v>37</v>
      </c>
      <c r="F26" s="4" t="s">
        <v>45</v>
      </c>
      <c r="G26" s="8">
        <v>430</v>
      </c>
      <c r="H26" s="8">
        <v>708</v>
      </c>
      <c r="I26" s="9"/>
      <c r="J26" s="8">
        <f t="shared" si="2"/>
        <v>708</v>
      </c>
    </row>
    <row r="27" spans="1:12" ht="19.95" customHeight="1" x14ac:dyDescent="0.3">
      <c r="A27" s="4">
        <v>250074</v>
      </c>
      <c r="B27" s="4">
        <v>304</v>
      </c>
      <c r="C27" s="6">
        <v>0.7</v>
      </c>
      <c r="D27" s="6" t="s">
        <v>19</v>
      </c>
      <c r="E27" s="7" t="s">
        <v>38</v>
      </c>
      <c r="F27" s="4" t="s">
        <v>45</v>
      </c>
      <c r="G27" s="8">
        <v>430</v>
      </c>
      <c r="H27" s="8">
        <v>708</v>
      </c>
      <c r="I27" s="9"/>
      <c r="J27" s="8">
        <f t="shared" si="2"/>
        <v>708</v>
      </c>
    </row>
    <row r="28" spans="1:12" ht="19.95" customHeight="1" x14ac:dyDescent="0.3">
      <c r="A28" s="4">
        <v>250074</v>
      </c>
      <c r="B28" s="4">
        <v>304</v>
      </c>
      <c r="C28" s="6">
        <v>0.7</v>
      </c>
      <c r="D28" s="6" t="s">
        <v>19</v>
      </c>
      <c r="E28" s="7" t="s">
        <v>39</v>
      </c>
      <c r="F28" s="4" t="s">
        <v>46</v>
      </c>
      <c r="G28" s="8">
        <v>430</v>
      </c>
      <c r="H28" s="8">
        <v>708</v>
      </c>
      <c r="I28" s="9"/>
      <c r="J28" s="8">
        <f t="shared" si="2"/>
        <v>708</v>
      </c>
    </row>
    <row r="29" spans="1:12" ht="19.95" customHeight="1" x14ac:dyDescent="0.3">
      <c r="A29" s="4">
        <v>100925</v>
      </c>
      <c r="B29" s="4">
        <v>304</v>
      </c>
      <c r="C29" s="6">
        <v>0.9</v>
      </c>
      <c r="D29" s="6" t="s">
        <v>26</v>
      </c>
      <c r="E29" s="7" t="s">
        <v>42</v>
      </c>
      <c r="F29" s="4" t="s">
        <v>43</v>
      </c>
      <c r="G29" s="8">
        <v>430</v>
      </c>
      <c r="H29" s="8">
        <v>1200</v>
      </c>
      <c r="I29" s="9"/>
      <c r="J29" s="8">
        <f t="shared" si="2"/>
        <v>1200</v>
      </c>
    </row>
    <row r="30" spans="1:12" ht="19.95" customHeight="1" x14ac:dyDescent="0.3">
      <c r="A30" s="4">
        <v>100925</v>
      </c>
      <c r="B30" s="4">
        <v>304</v>
      </c>
      <c r="C30" s="6">
        <v>0.9</v>
      </c>
      <c r="D30" s="6" t="s">
        <v>22</v>
      </c>
      <c r="E30" s="7" t="s">
        <v>48</v>
      </c>
      <c r="F30" s="4"/>
      <c r="G30" s="8" t="s">
        <v>22</v>
      </c>
      <c r="H30" s="8">
        <v>1200</v>
      </c>
      <c r="I30" s="9"/>
      <c r="J30" s="8">
        <f t="shared" si="2"/>
        <v>1200</v>
      </c>
    </row>
    <row r="31" spans="1:12" ht="19.95" customHeight="1" x14ac:dyDescent="0.3">
      <c r="A31" s="4">
        <v>100925</v>
      </c>
      <c r="B31" s="4">
        <v>304</v>
      </c>
      <c r="C31" s="6">
        <v>0.9</v>
      </c>
      <c r="D31" s="6" t="s">
        <v>26</v>
      </c>
      <c r="E31" s="7" t="s">
        <v>49</v>
      </c>
      <c r="F31" s="4"/>
      <c r="G31" s="8">
        <v>430</v>
      </c>
      <c r="H31" s="8">
        <v>1500</v>
      </c>
      <c r="I31" s="9"/>
      <c r="J31" s="8">
        <f t="shared" si="2"/>
        <v>1500</v>
      </c>
    </row>
    <row r="32" spans="1:12" ht="19.95" customHeight="1" x14ac:dyDescent="0.3">
      <c r="A32" s="10"/>
      <c r="B32" s="10"/>
      <c r="C32" s="10"/>
      <c r="D32" s="10"/>
      <c r="E32" s="11"/>
      <c r="F32" s="10"/>
      <c r="G32" s="12"/>
      <c r="H32" s="8">
        <f>SUM(H25:H31)</f>
        <v>9224</v>
      </c>
      <c r="I32" s="9">
        <f>SUM(I25:I31)</f>
        <v>3400</v>
      </c>
      <c r="J32" s="8">
        <f>SUM(J25:J31)</f>
        <v>5824</v>
      </c>
    </row>
    <row r="33" spans="1:10" ht="19.95" customHeight="1" x14ac:dyDescent="0.3">
      <c r="A33" s="16"/>
      <c r="B33" s="16"/>
      <c r="C33" s="16"/>
      <c r="D33" s="16"/>
      <c r="E33" s="17"/>
      <c r="F33" s="16"/>
      <c r="G33" s="16"/>
      <c r="H33" s="18"/>
      <c r="I33" s="19"/>
      <c r="J33" s="18"/>
    </row>
    <row r="34" spans="1:10" ht="30" customHeight="1" x14ac:dyDescent="0.3">
      <c r="A34" s="31" t="s">
        <v>14</v>
      </c>
      <c r="B34" s="31"/>
      <c r="C34" s="31"/>
      <c r="D34" s="31"/>
      <c r="E34" s="31"/>
      <c r="F34" s="31"/>
      <c r="G34" s="31"/>
      <c r="H34" s="31"/>
      <c r="I34" s="31"/>
      <c r="J34" s="31"/>
    </row>
    <row r="35" spans="1:10" ht="30" customHeight="1" x14ac:dyDescent="0.3">
      <c r="A35" s="4" t="s">
        <v>2</v>
      </c>
      <c r="B35" s="4" t="s">
        <v>3</v>
      </c>
      <c r="C35" s="5" t="s">
        <v>4</v>
      </c>
      <c r="D35" s="5" t="s">
        <v>5</v>
      </c>
      <c r="E35" s="4" t="s">
        <v>6</v>
      </c>
      <c r="F35" s="5" t="s">
        <v>17</v>
      </c>
      <c r="G35" s="5" t="s">
        <v>7</v>
      </c>
      <c r="H35" s="4" t="s">
        <v>8</v>
      </c>
      <c r="I35" s="4" t="s">
        <v>9</v>
      </c>
      <c r="J35" s="4" t="s">
        <v>10</v>
      </c>
    </row>
    <row r="36" spans="1:10" ht="19.95" customHeight="1" x14ac:dyDescent="0.3">
      <c r="A36" s="4" t="s">
        <v>27</v>
      </c>
      <c r="B36" s="4">
        <v>304</v>
      </c>
      <c r="C36" s="6">
        <v>0.8</v>
      </c>
      <c r="D36" s="6" t="s">
        <v>22</v>
      </c>
      <c r="E36" s="7" t="s">
        <v>32</v>
      </c>
      <c r="F36" s="4" t="s">
        <v>33</v>
      </c>
      <c r="G36" s="8" t="s">
        <v>22</v>
      </c>
      <c r="H36" s="8">
        <v>3200</v>
      </c>
      <c r="I36" s="9">
        <f>1210+2120</f>
        <v>3330</v>
      </c>
      <c r="J36" s="8">
        <f t="shared" ref="J36:J42" si="3">H36-I36</f>
        <v>-130</v>
      </c>
    </row>
    <row r="37" spans="1:10" ht="19.95" customHeight="1" x14ac:dyDescent="0.3">
      <c r="A37" s="4">
        <v>250074</v>
      </c>
      <c r="B37" s="4">
        <v>304</v>
      </c>
      <c r="C37" s="6">
        <v>0.7</v>
      </c>
      <c r="D37" s="6" t="s">
        <v>19</v>
      </c>
      <c r="E37" s="7" t="s">
        <v>37</v>
      </c>
      <c r="F37" s="4" t="s">
        <v>45</v>
      </c>
      <c r="G37" s="8">
        <v>430</v>
      </c>
      <c r="H37" s="8">
        <v>708</v>
      </c>
      <c r="I37" s="9"/>
      <c r="J37" s="8">
        <f t="shared" si="3"/>
        <v>708</v>
      </c>
    </row>
    <row r="38" spans="1:10" ht="19.95" customHeight="1" x14ac:dyDescent="0.3">
      <c r="A38" s="4">
        <v>250074</v>
      </c>
      <c r="B38" s="4">
        <v>304</v>
      </c>
      <c r="C38" s="6">
        <v>0.7</v>
      </c>
      <c r="D38" s="6" t="s">
        <v>19</v>
      </c>
      <c r="E38" s="7" t="s">
        <v>38</v>
      </c>
      <c r="F38" s="4" t="s">
        <v>45</v>
      </c>
      <c r="G38" s="8">
        <v>430</v>
      </c>
      <c r="H38" s="8">
        <v>708</v>
      </c>
      <c r="I38" s="9"/>
      <c r="J38" s="8">
        <f t="shared" si="3"/>
        <v>708</v>
      </c>
    </row>
    <row r="39" spans="1:10" ht="19.95" customHeight="1" x14ac:dyDescent="0.3">
      <c r="A39" s="4">
        <v>250074</v>
      </c>
      <c r="B39" s="4">
        <v>304</v>
      </c>
      <c r="C39" s="6">
        <v>0.7</v>
      </c>
      <c r="D39" s="6" t="s">
        <v>19</v>
      </c>
      <c r="E39" s="7" t="s">
        <v>39</v>
      </c>
      <c r="F39" s="4" t="s">
        <v>46</v>
      </c>
      <c r="G39" s="8">
        <v>430</v>
      </c>
      <c r="H39" s="8">
        <v>708</v>
      </c>
      <c r="I39" s="9"/>
      <c r="J39" s="8">
        <f t="shared" si="3"/>
        <v>708</v>
      </c>
    </row>
    <row r="40" spans="1:10" ht="19.95" customHeight="1" x14ac:dyDescent="0.3">
      <c r="A40" s="4">
        <v>100925</v>
      </c>
      <c r="B40" s="4">
        <v>304</v>
      </c>
      <c r="C40" s="6">
        <v>0.9</v>
      </c>
      <c r="D40" s="6" t="s">
        <v>26</v>
      </c>
      <c r="E40" s="7" t="s">
        <v>42</v>
      </c>
      <c r="F40" s="4" t="s">
        <v>43</v>
      </c>
      <c r="G40" s="8">
        <v>430</v>
      </c>
      <c r="H40" s="8">
        <v>1200</v>
      </c>
      <c r="I40" s="9"/>
      <c r="J40" s="8">
        <f t="shared" si="3"/>
        <v>1200</v>
      </c>
    </row>
    <row r="41" spans="1:10" ht="19.95" customHeight="1" x14ac:dyDescent="0.3">
      <c r="A41" s="4">
        <v>100925</v>
      </c>
      <c r="B41" s="4">
        <v>304</v>
      </c>
      <c r="C41" s="6">
        <v>0.9</v>
      </c>
      <c r="D41" s="6" t="s">
        <v>22</v>
      </c>
      <c r="E41" s="7" t="s">
        <v>48</v>
      </c>
      <c r="F41" s="4"/>
      <c r="G41" s="8" t="s">
        <v>22</v>
      </c>
      <c r="H41" s="8">
        <v>1200</v>
      </c>
      <c r="I41" s="9"/>
      <c r="J41" s="8">
        <f t="shared" si="3"/>
        <v>1200</v>
      </c>
    </row>
    <row r="42" spans="1:10" ht="19.95" customHeight="1" x14ac:dyDescent="0.3">
      <c r="A42" s="4">
        <v>100925</v>
      </c>
      <c r="B42" s="4">
        <v>304</v>
      </c>
      <c r="C42" s="6">
        <v>0.9</v>
      </c>
      <c r="D42" s="6" t="s">
        <v>26</v>
      </c>
      <c r="E42" s="7" t="s">
        <v>49</v>
      </c>
      <c r="F42" s="4"/>
      <c r="G42" s="8">
        <v>430</v>
      </c>
      <c r="H42" s="8">
        <v>1500</v>
      </c>
      <c r="I42" s="9"/>
      <c r="J42" s="8">
        <f t="shared" si="3"/>
        <v>1500</v>
      </c>
    </row>
    <row r="43" spans="1:10" ht="19.95" customHeight="1" x14ac:dyDescent="0.3">
      <c r="A43" s="10"/>
      <c r="B43" s="10"/>
      <c r="C43" s="10"/>
      <c r="D43" s="10"/>
      <c r="E43" s="11"/>
      <c r="F43" s="10"/>
      <c r="G43" s="12"/>
      <c r="H43" s="8">
        <f>SUM(H36:H42)</f>
        <v>9224</v>
      </c>
      <c r="I43" s="9">
        <f>SUM(I36:I42)</f>
        <v>3330</v>
      </c>
      <c r="J43" s="8">
        <f>SUM(J36:J42)</f>
        <v>5894</v>
      </c>
    </row>
    <row r="44" spans="1:10" ht="19.95" customHeight="1" x14ac:dyDescent="0.3">
      <c r="A44" s="16"/>
      <c r="B44" s="16"/>
      <c r="C44" s="16"/>
      <c r="D44" s="16"/>
      <c r="E44" s="17"/>
      <c r="F44" s="16"/>
      <c r="G44" s="16"/>
      <c r="H44" s="18"/>
      <c r="I44" s="19"/>
      <c r="J44" s="18"/>
    </row>
    <row r="45" spans="1:10" ht="30" customHeight="1" x14ac:dyDescent="0.3">
      <c r="A45" s="31" t="s">
        <v>16</v>
      </c>
      <c r="B45" s="31"/>
      <c r="C45" s="31"/>
      <c r="D45" s="31"/>
      <c r="E45" s="31"/>
      <c r="F45" s="31"/>
      <c r="G45" s="31"/>
      <c r="H45" s="31"/>
      <c r="I45" s="31"/>
      <c r="J45" s="31"/>
    </row>
    <row r="46" spans="1:10" ht="30" customHeight="1" x14ac:dyDescent="0.3">
      <c r="A46" s="4" t="s">
        <v>2</v>
      </c>
      <c r="B46" s="4" t="s">
        <v>3</v>
      </c>
      <c r="C46" s="5" t="s">
        <v>4</v>
      </c>
      <c r="D46" s="5" t="s">
        <v>5</v>
      </c>
      <c r="E46" s="4" t="s">
        <v>6</v>
      </c>
      <c r="F46" s="5" t="s">
        <v>18</v>
      </c>
      <c r="G46" s="5" t="s">
        <v>7</v>
      </c>
      <c r="H46" s="4" t="s">
        <v>8</v>
      </c>
      <c r="I46" s="4" t="s">
        <v>9</v>
      </c>
      <c r="J46" s="4" t="s">
        <v>10</v>
      </c>
    </row>
    <row r="47" spans="1:10" ht="19.95" customHeight="1" x14ac:dyDescent="0.3">
      <c r="A47" s="4"/>
      <c r="B47" s="4"/>
      <c r="C47" s="6"/>
      <c r="D47" s="6"/>
      <c r="E47" s="7"/>
      <c r="F47" s="4"/>
      <c r="G47" s="4"/>
      <c r="H47" s="8"/>
      <c r="I47" s="9"/>
      <c r="J47" s="8">
        <f t="shared" ref="J47:J52" si="4">H47-I47</f>
        <v>0</v>
      </c>
    </row>
    <row r="48" spans="1:10" ht="19.95" customHeight="1" x14ac:dyDescent="0.3">
      <c r="A48" s="4"/>
      <c r="B48" s="4"/>
      <c r="C48" s="6"/>
      <c r="D48" s="6"/>
      <c r="E48" s="7"/>
      <c r="F48" s="4"/>
      <c r="G48" s="4"/>
      <c r="H48" s="8"/>
      <c r="I48" s="9"/>
      <c r="J48" s="8">
        <f t="shared" si="4"/>
        <v>0</v>
      </c>
    </row>
    <row r="49" spans="1:10" ht="19.95" customHeight="1" x14ac:dyDescent="0.3">
      <c r="A49" s="4"/>
      <c r="B49" s="4"/>
      <c r="C49" s="6"/>
      <c r="D49" s="6"/>
      <c r="E49" s="7"/>
      <c r="F49" s="4"/>
      <c r="G49" s="4"/>
      <c r="H49" s="8"/>
      <c r="I49" s="9"/>
      <c r="J49" s="8">
        <f t="shared" si="4"/>
        <v>0</v>
      </c>
    </row>
    <row r="50" spans="1:10" ht="19.95" customHeight="1" x14ac:dyDescent="0.3">
      <c r="A50" s="4"/>
      <c r="B50" s="4"/>
      <c r="C50" s="6"/>
      <c r="D50" s="6"/>
      <c r="E50" s="7"/>
      <c r="F50" s="4"/>
      <c r="G50" s="8"/>
      <c r="H50" s="8"/>
      <c r="I50" s="9"/>
      <c r="J50" s="8">
        <f t="shared" si="4"/>
        <v>0</v>
      </c>
    </row>
    <row r="51" spans="1:10" ht="19.95" customHeight="1" x14ac:dyDescent="0.3">
      <c r="A51" s="4"/>
      <c r="B51" s="4"/>
      <c r="C51" s="6"/>
      <c r="D51" s="6"/>
      <c r="E51" s="7"/>
      <c r="F51" s="4"/>
      <c r="G51" s="4"/>
      <c r="H51" s="8"/>
      <c r="I51" s="9"/>
      <c r="J51" s="8">
        <f t="shared" si="4"/>
        <v>0</v>
      </c>
    </row>
    <row r="52" spans="1:10" ht="19.95" customHeight="1" x14ac:dyDescent="0.3">
      <c r="A52" s="4"/>
      <c r="B52" s="4"/>
      <c r="C52" s="6"/>
      <c r="D52" s="6"/>
      <c r="E52" s="7"/>
      <c r="F52" s="4"/>
      <c r="G52" s="4"/>
      <c r="H52" s="8"/>
      <c r="I52" s="9"/>
      <c r="J52" s="8">
        <f t="shared" si="4"/>
        <v>0</v>
      </c>
    </row>
    <row r="53" spans="1:10" ht="19.95" customHeight="1" x14ac:dyDescent="0.3">
      <c r="A53" s="10"/>
      <c r="B53" s="10"/>
      <c r="C53" s="10"/>
      <c r="D53" s="10"/>
      <c r="E53" s="11"/>
      <c r="F53" s="10"/>
      <c r="G53" s="12"/>
      <c r="H53" s="8">
        <f>SUM(H47:H52)</f>
        <v>0</v>
      </c>
      <c r="I53" s="9">
        <f>SUM(I47:I52)</f>
        <v>0</v>
      </c>
      <c r="J53" s="8">
        <f>SUM(J47:J52)</f>
        <v>0</v>
      </c>
    </row>
    <row r="54" spans="1:10" ht="19.95" customHeight="1" x14ac:dyDescent="0.3">
      <c r="A54" s="16"/>
      <c r="B54" s="16"/>
      <c r="C54" s="16"/>
      <c r="D54" s="16"/>
      <c r="E54" s="17"/>
      <c r="F54" s="16"/>
      <c r="G54" s="16"/>
      <c r="H54" s="18"/>
      <c r="I54" s="19"/>
      <c r="J54" s="18"/>
    </row>
    <row r="56" spans="1:10" ht="23.4" x14ac:dyDescent="0.3">
      <c r="A56" s="31" t="s">
        <v>11</v>
      </c>
      <c r="B56" s="31"/>
      <c r="C56" s="31"/>
      <c r="D56" s="31"/>
      <c r="E56" s="31"/>
      <c r="F56" s="31"/>
      <c r="G56" s="31"/>
      <c r="H56" s="31"/>
      <c r="I56" s="31"/>
      <c r="J56" s="31"/>
    </row>
  </sheetData>
  <mergeCells count="8">
    <mergeCell ref="A45:J45"/>
    <mergeCell ref="A56:J56"/>
    <mergeCell ref="I1:J1"/>
    <mergeCell ref="A2:J2"/>
    <mergeCell ref="A3:J3"/>
    <mergeCell ref="A13:J13"/>
    <mergeCell ref="A23:J23"/>
    <mergeCell ref="A34:J34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45" orientation="portrait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zoomScale="75" zoomScaleNormal="75" workbookViewId="0">
      <selection activeCell="K19" sqref="K19"/>
    </sheetView>
  </sheetViews>
  <sheetFormatPr defaultRowHeight="14.4" x14ac:dyDescent="0.3"/>
  <cols>
    <col min="1" max="1" width="15.6640625" customWidth="1"/>
    <col min="2" max="3" width="12.6640625" customWidth="1"/>
    <col min="4" max="4" width="15.6640625" customWidth="1"/>
    <col min="5" max="5" width="80.6640625" customWidth="1"/>
    <col min="6" max="6" width="22.77734375" style="15" bestFit="1" customWidth="1"/>
    <col min="7" max="7" width="12.33203125" customWidth="1"/>
    <col min="8" max="10" width="15.6640625" customWidth="1"/>
  </cols>
  <sheetData>
    <row r="1" spans="1:11" s="1" customFormat="1" ht="30" customHeight="1" x14ac:dyDescent="0.3">
      <c r="F1" s="2"/>
      <c r="G1" s="2"/>
      <c r="H1" s="3" t="s">
        <v>0</v>
      </c>
      <c r="I1" s="27">
        <v>45934</v>
      </c>
      <c r="J1" s="27"/>
    </row>
    <row r="2" spans="1:11" ht="40.049999999999997" customHeight="1" x14ac:dyDescent="0.3">
      <c r="A2" s="28" t="s">
        <v>1</v>
      </c>
      <c r="B2" s="29"/>
      <c r="C2" s="29"/>
      <c r="D2" s="29"/>
      <c r="E2" s="29"/>
      <c r="F2" s="29"/>
      <c r="G2" s="29"/>
      <c r="H2" s="29"/>
      <c r="I2" s="29"/>
      <c r="J2" s="30"/>
    </row>
    <row r="3" spans="1:11" ht="30" customHeight="1" x14ac:dyDescent="0.3">
      <c r="A3" s="31" t="s">
        <v>12</v>
      </c>
      <c r="B3" s="31"/>
      <c r="C3" s="31"/>
      <c r="D3" s="31"/>
      <c r="E3" s="31"/>
      <c r="F3" s="31"/>
      <c r="G3" s="31"/>
      <c r="H3" s="31"/>
      <c r="I3" s="31"/>
      <c r="J3" s="31"/>
    </row>
    <row r="4" spans="1:11" ht="30" customHeight="1" x14ac:dyDescent="0.3">
      <c r="A4" s="4" t="s">
        <v>2</v>
      </c>
      <c r="B4" s="4" t="s">
        <v>3</v>
      </c>
      <c r="C4" s="5" t="s">
        <v>4</v>
      </c>
      <c r="D4" s="5" t="s">
        <v>5</v>
      </c>
      <c r="E4" s="4" t="s">
        <v>6</v>
      </c>
      <c r="F4" s="5" t="s">
        <v>17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1" ht="19.95" customHeight="1" x14ac:dyDescent="0.3">
      <c r="A5" s="4">
        <v>100925</v>
      </c>
      <c r="B5" s="4">
        <v>304</v>
      </c>
      <c r="C5" s="6">
        <v>0.9</v>
      </c>
      <c r="D5" s="6" t="s">
        <v>22</v>
      </c>
      <c r="E5" s="7" t="s">
        <v>48</v>
      </c>
      <c r="F5" s="4"/>
      <c r="G5" s="8" t="s">
        <v>22</v>
      </c>
      <c r="H5" s="8">
        <v>1200</v>
      </c>
      <c r="I5" s="9">
        <v>1168</v>
      </c>
      <c r="J5" s="22">
        <f t="shared" ref="J5:J10" si="0">H5-I5</f>
        <v>32</v>
      </c>
      <c r="K5" s="20"/>
    </row>
    <row r="6" spans="1:11" ht="19.95" customHeight="1" x14ac:dyDescent="0.3">
      <c r="A6" s="4">
        <v>100925</v>
      </c>
      <c r="B6" s="4">
        <v>304</v>
      </c>
      <c r="C6" s="6">
        <v>0.9</v>
      </c>
      <c r="D6" s="6" t="s">
        <v>26</v>
      </c>
      <c r="E6" s="7" t="s">
        <v>49</v>
      </c>
      <c r="F6" s="4"/>
      <c r="G6" s="8">
        <v>430</v>
      </c>
      <c r="H6" s="8">
        <v>1500</v>
      </c>
      <c r="I6" s="9"/>
      <c r="J6" s="8">
        <f t="shared" si="0"/>
        <v>1500</v>
      </c>
    </row>
    <row r="7" spans="1:11" ht="19.95" customHeight="1" x14ac:dyDescent="0.3">
      <c r="A7" s="4">
        <v>100925</v>
      </c>
      <c r="B7" s="4">
        <v>304</v>
      </c>
      <c r="C7" s="6">
        <v>0.9</v>
      </c>
      <c r="D7" s="6" t="s">
        <v>26</v>
      </c>
      <c r="E7" s="7" t="s">
        <v>50</v>
      </c>
      <c r="F7" s="4"/>
      <c r="G7" s="8">
        <v>430</v>
      </c>
      <c r="H7" s="8">
        <v>600</v>
      </c>
      <c r="I7" s="9"/>
      <c r="J7" s="8">
        <f t="shared" si="0"/>
        <v>600</v>
      </c>
    </row>
    <row r="8" spans="1:11" ht="19.95" customHeight="1" x14ac:dyDescent="0.3">
      <c r="A8" s="4">
        <v>100925</v>
      </c>
      <c r="B8" s="4">
        <v>304</v>
      </c>
      <c r="C8" s="6">
        <v>0.9</v>
      </c>
      <c r="D8" s="6" t="s">
        <v>22</v>
      </c>
      <c r="E8" s="7" t="s">
        <v>51</v>
      </c>
      <c r="F8" s="4"/>
      <c r="G8" s="4" t="s">
        <v>22</v>
      </c>
      <c r="H8" s="8">
        <v>2100</v>
      </c>
      <c r="I8" s="9"/>
      <c r="J8" s="8">
        <f t="shared" si="0"/>
        <v>2100</v>
      </c>
    </row>
    <row r="9" spans="1:11" ht="19.95" customHeight="1" x14ac:dyDescent="0.3">
      <c r="A9" s="4"/>
      <c r="B9" s="4"/>
      <c r="C9" s="6"/>
      <c r="D9" s="6"/>
      <c r="E9" s="7"/>
      <c r="F9" s="4"/>
      <c r="G9" s="8"/>
      <c r="H9" s="8"/>
      <c r="I9" s="9"/>
      <c r="J9" s="8">
        <f t="shared" si="0"/>
        <v>0</v>
      </c>
    </row>
    <row r="10" spans="1:11" ht="19.95" customHeight="1" x14ac:dyDescent="0.3">
      <c r="A10" s="4"/>
      <c r="B10" s="4"/>
      <c r="C10" s="6"/>
      <c r="D10" s="6"/>
      <c r="E10" s="7"/>
      <c r="F10" s="4"/>
      <c r="G10" s="4"/>
      <c r="H10" s="8"/>
      <c r="I10" s="9"/>
      <c r="J10" s="8">
        <f t="shared" si="0"/>
        <v>0</v>
      </c>
    </row>
    <row r="11" spans="1:11" ht="19.95" customHeight="1" x14ac:dyDescent="0.3">
      <c r="A11" s="10"/>
      <c r="B11" s="10"/>
      <c r="C11" s="10"/>
      <c r="D11" s="10"/>
      <c r="E11" s="11"/>
      <c r="F11" s="10"/>
      <c r="G11" s="12"/>
      <c r="H11" s="13">
        <f>SUM(H5:H10)</f>
        <v>5400</v>
      </c>
      <c r="I11" s="14">
        <f>SUM(I5:I10)</f>
        <v>1168</v>
      </c>
      <c r="J11" s="8">
        <f>SUM(J5:J10)</f>
        <v>4232</v>
      </c>
    </row>
    <row r="13" spans="1:11" ht="30" customHeight="1" x14ac:dyDescent="0.3">
      <c r="A13" s="31" t="s">
        <v>15</v>
      </c>
      <c r="B13" s="31"/>
      <c r="C13" s="31"/>
      <c r="D13" s="31"/>
      <c r="E13" s="31"/>
      <c r="F13" s="31"/>
      <c r="G13" s="31"/>
      <c r="H13" s="31"/>
      <c r="I13" s="31"/>
      <c r="J13" s="31"/>
    </row>
    <row r="14" spans="1:11" ht="30" customHeight="1" x14ac:dyDescent="0.3">
      <c r="A14" s="4" t="s">
        <v>2</v>
      </c>
      <c r="B14" s="4" t="s">
        <v>3</v>
      </c>
      <c r="C14" s="5" t="s">
        <v>4</v>
      </c>
      <c r="D14" s="5" t="s">
        <v>5</v>
      </c>
      <c r="E14" s="4" t="s">
        <v>6</v>
      </c>
      <c r="F14" s="5" t="s">
        <v>17</v>
      </c>
      <c r="G14" s="5" t="s">
        <v>7</v>
      </c>
      <c r="H14" s="4" t="s">
        <v>8</v>
      </c>
      <c r="I14" s="4" t="s">
        <v>9</v>
      </c>
      <c r="J14" s="4" t="s">
        <v>10</v>
      </c>
    </row>
    <row r="15" spans="1:11" ht="19.95" customHeight="1" x14ac:dyDescent="0.3">
      <c r="A15" s="4">
        <v>100925</v>
      </c>
      <c r="B15" s="4">
        <v>304</v>
      </c>
      <c r="C15" s="6">
        <v>0.9</v>
      </c>
      <c r="D15" s="6" t="s">
        <v>26</v>
      </c>
      <c r="E15" s="7" t="s">
        <v>42</v>
      </c>
      <c r="F15" s="4" t="s">
        <v>43</v>
      </c>
      <c r="G15" s="8">
        <v>430</v>
      </c>
      <c r="H15" s="8">
        <v>1200</v>
      </c>
      <c r="I15" s="9">
        <v>1100</v>
      </c>
      <c r="J15" s="8">
        <f t="shared" ref="J15:J20" si="1">H15-I15</f>
        <v>100</v>
      </c>
    </row>
    <row r="16" spans="1:11" ht="19.95" customHeight="1" x14ac:dyDescent="0.3">
      <c r="A16" s="4">
        <v>100925</v>
      </c>
      <c r="B16" s="4">
        <v>304</v>
      </c>
      <c r="C16" s="6">
        <v>0.9</v>
      </c>
      <c r="D16" s="6" t="s">
        <v>22</v>
      </c>
      <c r="E16" s="7" t="s">
        <v>48</v>
      </c>
      <c r="F16" s="4"/>
      <c r="G16" s="8" t="s">
        <v>22</v>
      </c>
      <c r="H16" s="8">
        <v>1200</v>
      </c>
      <c r="I16" s="9"/>
      <c r="J16" s="8">
        <f t="shared" si="1"/>
        <v>1200</v>
      </c>
    </row>
    <row r="17" spans="1:12" ht="19.95" customHeight="1" x14ac:dyDescent="0.3">
      <c r="A17" s="4">
        <v>100925</v>
      </c>
      <c r="B17" s="4">
        <v>304</v>
      </c>
      <c r="C17" s="6">
        <v>0.9</v>
      </c>
      <c r="D17" s="6" t="s">
        <v>26</v>
      </c>
      <c r="E17" s="7" t="s">
        <v>49</v>
      </c>
      <c r="F17" s="4"/>
      <c r="G17" s="8">
        <v>430</v>
      </c>
      <c r="H17" s="8">
        <v>1500</v>
      </c>
      <c r="I17" s="9"/>
      <c r="J17" s="8">
        <f t="shared" si="1"/>
        <v>1500</v>
      </c>
    </row>
    <row r="18" spans="1:12" ht="19.95" customHeight="1" x14ac:dyDescent="0.3">
      <c r="A18" s="4">
        <v>100925</v>
      </c>
      <c r="B18" s="4">
        <v>304</v>
      </c>
      <c r="C18" s="6">
        <v>0.9</v>
      </c>
      <c r="D18" s="6" t="s">
        <v>26</v>
      </c>
      <c r="E18" s="7" t="s">
        <v>50</v>
      </c>
      <c r="F18" s="4"/>
      <c r="G18" s="8">
        <v>430</v>
      </c>
      <c r="H18" s="8">
        <v>600</v>
      </c>
      <c r="I18" s="9"/>
      <c r="J18" s="8">
        <f t="shared" si="1"/>
        <v>600</v>
      </c>
    </row>
    <row r="19" spans="1:12" ht="19.95" customHeight="1" x14ac:dyDescent="0.3">
      <c r="A19" s="4">
        <v>100925</v>
      </c>
      <c r="B19" s="4">
        <v>304</v>
      </c>
      <c r="C19" s="6">
        <v>0.9</v>
      </c>
      <c r="D19" s="6" t="s">
        <v>22</v>
      </c>
      <c r="E19" s="7" t="s">
        <v>51</v>
      </c>
      <c r="F19" s="4"/>
      <c r="G19" s="4" t="s">
        <v>22</v>
      </c>
      <c r="H19" s="8">
        <v>2100</v>
      </c>
      <c r="I19" s="9"/>
      <c r="J19" s="8">
        <f t="shared" si="1"/>
        <v>2100</v>
      </c>
      <c r="L19" t="s">
        <v>52</v>
      </c>
    </row>
    <row r="20" spans="1:12" ht="19.95" customHeight="1" x14ac:dyDescent="0.3">
      <c r="A20" s="4"/>
      <c r="B20" s="4"/>
      <c r="C20" s="6"/>
      <c r="D20" s="6"/>
      <c r="E20" s="7"/>
      <c r="F20" s="4"/>
      <c r="G20" s="8"/>
      <c r="H20" s="8"/>
      <c r="I20" s="9"/>
      <c r="J20" s="8">
        <f t="shared" si="1"/>
        <v>0</v>
      </c>
    </row>
    <row r="21" spans="1:12" ht="19.95" customHeight="1" x14ac:dyDescent="0.3">
      <c r="A21" s="10"/>
      <c r="B21" s="10"/>
      <c r="C21" s="10"/>
      <c r="D21" s="10"/>
      <c r="E21" s="11"/>
      <c r="F21" s="10"/>
      <c r="G21" s="12"/>
      <c r="H21" s="8">
        <f>SUM(H15:H20)</f>
        <v>6600</v>
      </c>
      <c r="I21" s="9">
        <f>SUM(I15:I20)</f>
        <v>1100</v>
      </c>
      <c r="J21" s="8">
        <f>SUM(J15:J20)</f>
        <v>5500</v>
      </c>
    </row>
    <row r="22" spans="1:12" ht="19.95" customHeight="1" x14ac:dyDescent="0.3">
      <c r="A22" s="16"/>
      <c r="B22" s="16"/>
      <c r="C22" s="16"/>
      <c r="D22" s="16"/>
      <c r="E22" s="17"/>
      <c r="F22" s="16"/>
      <c r="G22" s="16"/>
      <c r="H22" s="18"/>
      <c r="I22" s="19"/>
      <c r="J22" s="18"/>
    </row>
    <row r="23" spans="1:12" ht="30" customHeight="1" x14ac:dyDescent="0.3">
      <c r="A23" s="31" t="s">
        <v>13</v>
      </c>
      <c r="B23" s="31"/>
      <c r="C23" s="31"/>
      <c r="D23" s="31"/>
      <c r="E23" s="31"/>
      <c r="F23" s="31"/>
      <c r="G23" s="31"/>
      <c r="H23" s="31"/>
      <c r="I23" s="31"/>
      <c r="J23" s="31"/>
    </row>
    <row r="24" spans="1:12" ht="30" customHeight="1" x14ac:dyDescent="0.3">
      <c r="A24" s="4" t="s">
        <v>2</v>
      </c>
      <c r="B24" s="4" t="s">
        <v>3</v>
      </c>
      <c r="C24" s="5" t="s">
        <v>4</v>
      </c>
      <c r="D24" s="5" t="s">
        <v>5</v>
      </c>
      <c r="E24" s="4" t="s">
        <v>6</v>
      </c>
      <c r="F24" s="5" t="s">
        <v>17</v>
      </c>
      <c r="G24" s="5" t="s">
        <v>7</v>
      </c>
      <c r="H24" s="4" t="s">
        <v>8</v>
      </c>
      <c r="I24" s="4" t="s">
        <v>9</v>
      </c>
      <c r="J24" s="4" t="s">
        <v>10</v>
      </c>
    </row>
    <row r="25" spans="1:12" ht="19.95" customHeight="1" x14ac:dyDescent="0.3">
      <c r="A25" s="4">
        <v>250074</v>
      </c>
      <c r="B25" s="4">
        <v>304</v>
      </c>
      <c r="C25" s="6">
        <v>0.7</v>
      </c>
      <c r="D25" s="6" t="s">
        <v>19</v>
      </c>
      <c r="E25" s="7" t="s">
        <v>37</v>
      </c>
      <c r="F25" s="4" t="s">
        <v>45</v>
      </c>
      <c r="G25" s="8">
        <v>430</v>
      </c>
      <c r="H25" s="8">
        <v>708</v>
      </c>
      <c r="I25" s="9"/>
      <c r="J25" s="8">
        <f t="shared" ref="J25:J31" si="2">H25-I25</f>
        <v>708</v>
      </c>
    </row>
    <row r="26" spans="1:12" ht="19.95" customHeight="1" x14ac:dyDescent="0.3">
      <c r="A26" s="4">
        <v>250074</v>
      </c>
      <c r="B26" s="4">
        <v>304</v>
      </c>
      <c r="C26" s="6">
        <v>0.7</v>
      </c>
      <c r="D26" s="6" t="s">
        <v>19</v>
      </c>
      <c r="E26" s="7" t="s">
        <v>38</v>
      </c>
      <c r="F26" s="4" t="s">
        <v>45</v>
      </c>
      <c r="G26" s="8">
        <v>430</v>
      </c>
      <c r="H26" s="8">
        <v>708</v>
      </c>
      <c r="I26" s="9"/>
      <c r="J26" s="8">
        <f t="shared" si="2"/>
        <v>708</v>
      </c>
    </row>
    <row r="27" spans="1:12" ht="19.95" customHeight="1" x14ac:dyDescent="0.3">
      <c r="A27" s="4">
        <v>250074</v>
      </c>
      <c r="B27" s="4">
        <v>304</v>
      </c>
      <c r="C27" s="6">
        <v>0.7</v>
      </c>
      <c r="D27" s="6" t="s">
        <v>19</v>
      </c>
      <c r="E27" s="7" t="s">
        <v>39</v>
      </c>
      <c r="F27" s="4" t="s">
        <v>46</v>
      </c>
      <c r="G27" s="8">
        <v>430</v>
      </c>
      <c r="H27" s="8">
        <v>708</v>
      </c>
      <c r="I27" s="9">
        <v>500</v>
      </c>
      <c r="J27" s="8">
        <f t="shared" si="2"/>
        <v>208</v>
      </c>
    </row>
    <row r="28" spans="1:12" ht="19.95" customHeight="1" x14ac:dyDescent="0.3">
      <c r="A28" s="4">
        <v>100925</v>
      </c>
      <c r="B28" s="4">
        <v>304</v>
      </c>
      <c r="C28" s="6">
        <v>0.9</v>
      </c>
      <c r="D28" s="6" t="s">
        <v>26</v>
      </c>
      <c r="E28" s="7" t="s">
        <v>42</v>
      </c>
      <c r="F28" s="4" t="s">
        <v>43</v>
      </c>
      <c r="G28" s="8">
        <v>430</v>
      </c>
      <c r="H28" s="8">
        <v>1200</v>
      </c>
      <c r="I28" s="9"/>
      <c r="J28" s="8">
        <f t="shared" si="2"/>
        <v>1200</v>
      </c>
    </row>
    <row r="29" spans="1:12" ht="19.95" customHeight="1" x14ac:dyDescent="0.3">
      <c r="A29" s="4">
        <v>100925</v>
      </c>
      <c r="B29" s="4">
        <v>304</v>
      </c>
      <c r="C29" s="6">
        <v>0.9</v>
      </c>
      <c r="D29" s="6" t="s">
        <v>22</v>
      </c>
      <c r="E29" s="7" t="s">
        <v>48</v>
      </c>
      <c r="F29" s="4"/>
      <c r="G29" s="8" t="s">
        <v>22</v>
      </c>
      <c r="H29" s="8">
        <v>1200</v>
      </c>
      <c r="I29" s="9"/>
      <c r="J29" s="8">
        <f t="shared" si="2"/>
        <v>1200</v>
      </c>
    </row>
    <row r="30" spans="1:12" ht="19.95" customHeight="1" x14ac:dyDescent="0.3">
      <c r="A30" s="4">
        <v>100925</v>
      </c>
      <c r="B30" s="4">
        <v>304</v>
      </c>
      <c r="C30" s="6">
        <v>0.9</v>
      </c>
      <c r="D30" s="6" t="s">
        <v>26</v>
      </c>
      <c r="E30" s="7" t="s">
        <v>49</v>
      </c>
      <c r="F30" s="4"/>
      <c r="G30" s="8">
        <v>430</v>
      </c>
      <c r="H30" s="8">
        <v>1500</v>
      </c>
      <c r="I30" s="9"/>
      <c r="J30" s="8">
        <f t="shared" si="2"/>
        <v>1500</v>
      </c>
    </row>
    <row r="31" spans="1:12" ht="19.95" customHeight="1" x14ac:dyDescent="0.3">
      <c r="A31" s="4"/>
      <c r="B31" s="4"/>
      <c r="C31" s="6"/>
      <c r="D31" s="6"/>
      <c r="E31" s="7"/>
      <c r="F31" s="4"/>
      <c r="G31" s="8"/>
      <c r="H31" s="8"/>
      <c r="I31" s="9"/>
      <c r="J31" s="8">
        <f t="shared" si="2"/>
        <v>0</v>
      </c>
    </row>
    <row r="32" spans="1:12" ht="19.95" customHeight="1" x14ac:dyDescent="0.3">
      <c r="A32" s="10"/>
      <c r="B32" s="10"/>
      <c r="C32" s="10"/>
      <c r="D32" s="10"/>
      <c r="E32" s="11"/>
      <c r="F32" s="10"/>
      <c r="G32" s="12"/>
      <c r="H32" s="8">
        <f>SUM(H25:H31)</f>
        <v>6024</v>
      </c>
      <c r="I32" s="9">
        <f>SUM(I25:I31)</f>
        <v>500</v>
      </c>
      <c r="J32" s="8">
        <f>SUM(J25:J31)</f>
        <v>5524</v>
      </c>
    </row>
    <row r="33" spans="1:10" ht="19.95" customHeight="1" x14ac:dyDescent="0.3">
      <c r="A33" s="16"/>
      <c r="B33" s="16"/>
      <c r="C33" s="16"/>
      <c r="D33" s="16"/>
      <c r="E33" s="17"/>
      <c r="F33" s="16"/>
      <c r="G33" s="16"/>
      <c r="H33" s="18"/>
      <c r="I33" s="19"/>
      <c r="J33" s="18"/>
    </row>
    <row r="34" spans="1:10" ht="30" customHeight="1" x14ac:dyDescent="0.3">
      <c r="A34" s="31" t="s">
        <v>14</v>
      </c>
      <c r="B34" s="31"/>
      <c r="C34" s="31"/>
      <c r="D34" s="31"/>
      <c r="E34" s="31"/>
      <c r="F34" s="31"/>
      <c r="G34" s="31"/>
      <c r="H34" s="31"/>
      <c r="I34" s="31"/>
      <c r="J34" s="31"/>
    </row>
    <row r="35" spans="1:10" ht="30" customHeight="1" x14ac:dyDescent="0.3">
      <c r="A35" s="4" t="s">
        <v>2</v>
      </c>
      <c r="B35" s="4" t="s">
        <v>3</v>
      </c>
      <c r="C35" s="5" t="s">
        <v>4</v>
      </c>
      <c r="D35" s="5" t="s">
        <v>5</v>
      </c>
      <c r="E35" s="4" t="s">
        <v>6</v>
      </c>
      <c r="F35" s="5" t="s">
        <v>17</v>
      </c>
      <c r="G35" s="5" t="s">
        <v>7</v>
      </c>
      <c r="H35" s="4" t="s">
        <v>8</v>
      </c>
      <c r="I35" s="4" t="s">
        <v>9</v>
      </c>
      <c r="J35" s="4" t="s">
        <v>10</v>
      </c>
    </row>
    <row r="36" spans="1:10" ht="19.95" customHeight="1" x14ac:dyDescent="0.3">
      <c r="A36" s="4">
        <v>250074</v>
      </c>
      <c r="B36" s="4">
        <v>304</v>
      </c>
      <c r="C36" s="6">
        <v>0.7</v>
      </c>
      <c r="D36" s="6" t="s">
        <v>19</v>
      </c>
      <c r="E36" s="7" t="s">
        <v>37</v>
      </c>
      <c r="F36" s="4" t="s">
        <v>45</v>
      </c>
      <c r="G36" s="8">
        <v>430</v>
      </c>
      <c r="H36" s="8">
        <v>708</v>
      </c>
      <c r="I36" s="9"/>
      <c r="J36" s="8">
        <f t="shared" ref="J36:J42" si="3">H36-I36</f>
        <v>708</v>
      </c>
    </row>
    <row r="37" spans="1:10" ht="19.95" customHeight="1" x14ac:dyDescent="0.3">
      <c r="A37" s="4">
        <v>250074</v>
      </c>
      <c r="B37" s="4">
        <v>304</v>
      </c>
      <c r="C37" s="6">
        <v>0.7</v>
      </c>
      <c r="D37" s="6" t="s">
        <v>19</v>
      </c>
      <c r="E37" s="7" t="s">
        <v>38</v>
      </c>
      <c r="F37" s="4" t="s">
        <v>45</v>
      </c>
      <c r="G37" s="8">
        <v>430</v>
      </c>
      <c r="H37" s="8">
        <v>708</v>
      </c>
      <c r="I37" s="9"/>
      <c r="J37" s="8">
        <f t="shared" si="3"/>
        <v>708</v>
      </c>
    </row>
    <row r="38" spans="1:10" ht="19.95" customHeight="1" x14ac:dyDescent="0.3">
      <c r="A38" s="4">
        <v>250074</v>
      </c>
      <c r="B38" s="4">
        <v>304</v>
      </c>
      <c r="C38" s="6">
        <v>0.7</v>
      </c>
      <c r="D38" s="6" t="s">
        <v>19</v>
      </c>
      <c r="E38" s="7" t="s">
        <v>39</v>
      </c>
      <c r="F38" s="4" t="s">
        <v>46</v>
      </c>
      <c r="G38" s="8">
        <v>430</v>
      </c>
      <c r="H38" s="8">
        <v>708</v>
      </c>
      <c r="I38" s="9"/>
      <c r="J38" s="8">
        <f t="shared" si="3"/>
        <v>708</v>
      </c>
    </row>
    <row r="39" spans="1:10" ht="19.95" customHeight="1" x14ac:dyDescent="0.3">
      <c r="A39" s="4">
        <v>100925</v>
      </c>
      <c r="B39" s="4">
        <v>304</v>
      </c>
      <c r="C39" s="6">
        <v>0.9</v>
      </c>
      <c r="D39" s="6" t="s">
        <v>26</v>
      </c>
      <c r="E39" s="7" t="s">
        <v>42</v>
      </c>
      <c r="F39" s="4" t="s">
        <v>43</v>
      </c>
      <c r="G39" s="8">
        <v>430</v>
      </c>
      <c r="H39" s="8">
        <v>1200</v>
      </c>
      <c r="I39" s="9"/>
      <c r="J39" s="8">
        <f t="shared" si="3"/>
        <v>1200</v>
      </c>
    </row>
    <row r="40" spans="1:10" ht="19.95" customHeight="1" x14ac:dyDescent="0.3">
      <c r="A40" s="4">
        <v>100925</v>
      </c>
      <c r="B40" s="4">
        <v>304</v>
      </c>
      <c r="C40" s="6">
        <v>0.9</v>
      </c>
      <c r="D40" s="6" t="s">
        <v>22</v>
      </c>
      <c r="E40" s="7" t="s">
        <v>48</v>
      </c>
      <c r="F40" s="4"/>
      <c r="G40" s="8" t="s">
        <v>22</v>
      </c>
      <c r="H40" s="8">
        <v>1200</v>
      </c>
      <c r="I40" s="9"/>
      <c r="J40" s="8">
        <f t="shared" si="3"/>
        <v>1200</v>
      </c>
    </row>
    <row r="41" spans="1:10" ht="19.95" customHeight="1" x14ac:dyDescent="0.3">
      <c r="A41" s="4">
        <v>100925</v>
      </c>
      <c r="B41" s="4">
        <v>304</v>
      </c>
      <c r="C41" s="6">
        <v>0.9</v>
      </c>
      <c r="D41" s="6" t="s">
        <v>26</v>
      </c>
      <c r="E41" s="7" t="s">
        <v>49</v>
      </c>
      <c r="F41" s="4"/>
      <c r="G41" s="8">
        <v>430</v>
      </c>
      <c r="H41" s="8">
        <v>1500</v>
      </c>
      <c r="I41" s="9"/>
      <c r="J41" s="8">
        <f t="shared" si="3"/>
        <v>1500</v>
      </c>
    </row>
    <row r="42" spans="1:10" ht="19.95" customHeight="1" x14ac:dyDescent="0.3">
      <c r="A42" s="4"/>
      <c r="B42" s="4"/>
      <c r="C42" s="6"/>
      <c r="D42" s="6"/>
      <c r="E42" s="7"/>
      <c r="F42" s="4"/>
      <c r="G42" s="8"/>
      <c r="H42" s="8"/>
      <c r="I42" s="9"/>
      <c r="J42" s="8">
        <f t="shared" si="3"/>
        <v>0</v>
      </c>
    </row>
    <row r="43" spans="1:10" ht="19.95" customHeight="1" x14ac:dyDescent="0.3">
      <c r="A43" s="10"/>
      <c r="B43" s="10"/>
      <c r="C43" s="10"/>
      <c r="D43" s="10"/>
      <c r="E43" s="11"/>
      <c r="F43" s="10"/>
      <c r="G43" s="12"/>
      <c r="H43" s="8">
        <f>SUM(H36:H42)</f>
        <v>6024</v>
      </c>
      <c r="I43" s="9">
        <f>SUM(I36:I42)</f>
        <v>0</v>
      </c>
      <c r="J43" s="8">
        <f>SUM(J36:J42)</f>
        <v>6024</v>
      </c>
    </row>
    <row r="44" spans="1:10" ht="19.95" customHeight="1" x14ac:dyDescent="0.3">
      <c r="A44" s="16"/>
      <c r="B44" s="16"/>
      <c r="C44" s="16"/>
      <c r="D44" s="16"/>
      <c r="E44" s="17"/>
      <c r="F44" s="16"/>
      <c r="G44" s="16"/>
      <c r="H44" s="18"/>
      <c r="I44" s="19"/>
      <c r="J44" s="18"/>
    </row>
    <row r="45" spans="1:10" ht="30" customHeight="1" x14ac:dyDescent="0.3">
      <c r="A45" s="31" t="s">
        <v>16</v>
      </c>
      <c r="B45" s="31"/>
      <c r="C45" s="31"/>
      <c r="D45" s="31"/>
      <c r="E45" s="31"/>
      <c r="F45" s="31"/>
      <c r="G45" s="31"/>
      <c r="H45" s="31"/>
      <c r="I45" s="31"/>
      <c r="J45" s="31"/>
    </row>
    <row r="46" spans="1:10" ht="30" customHeight="1" x14ac:dyDescent="0.3">
      <c r="A46" s="4" t="s">
        <v>2</v>
      </c>
      <c r="B46" s="4" t="s">
        <v>3</v>
      </c>
      <c r="C46" s="5" t="s">
        <v>4</v>
      </c>
      <c r="D46" s="5" t="s">
        <v>5</v>
      </c>
      <c r="E46" s="4" t="s">
        <v>6</v>
      </c>
      <c r="F46" s="5" t="s">
        <v>18</v>
      </c>
      <c r="G46" s="5" t="s">
        <v>7</v>
      </c>
      <c r="H46" s="4" t="s">
        <v>8</v>
      </c>
      <c r="I46" s="4" t="s">
        <v>9</v>
      </c>
      <c r="J46" s="4" t="s">
        <v>10</v>
      </c>
    </row>
    <row r="47" spans="1:10" ht="19.95" customHeight="1" x14ac:dyDescent="0.3">
      <c r="A47" s="4"/>
      <c r="B47" s="4"/>
      <c r="C47" s="6"/>
      <c r="D47" s="6"/>
      <c r="E47" s="7"/>
      <c r="F47" s="4"/>
      <c r="G47" s="4"/>
      <c r="H47" s="8"/>
      <c r="I47" s="9"/>
      <c r="J47" s="8">
        <f t="shared" ref="J47:J52" si="4">H47-I47</f>
        <v>0</v>
      </c>
    </row>
    <row r="48" spans="1:10" ht="19.95" customHeight="1" x14ac:dyDescent="0.3">
      <c r="A48" s="4"/>
      <c r="B48" s="4"/>
      <c r="C48" s="6"/>
      <c r="D48" s="6"/>
      <c r="E48" s="7"/>
      <c r="F48" s="4"/>
      <c r="G48" s="4"/>
      <c r="H48" s="8"/>
      <c r="I48" s="9"/>
      <c r="J48" s="8">
        <f t="shared" si="4"/>
        <v>0</v>
      </c>
    </row>
    <row r="49" spans="1:10" ht="19.95" customHeight="1" x14ac:dyDescent="0.3">
      <c r="A49" s="4"/>
      <c r="B49" s="4"/>
      <c r="C49" s="6"/>
      <c r="D49" s="6"/>
      <c r="E49" s="7"/>
      <c r="F49" s="4"/>
      <c r="G49" s="4"/>
      <c r="H49" s="8"/>
      <c r="I49" s="9"/>
      <c r="J49" s="8">
        <f t="shared" si="4"/>
        <v>0</v>
      </c>
    </row>
    <row r="50" spans="1:10" ht="19.95" customHeight="1" x14ac:dyDescent="0.3">
      <c r="A50" s="4"/>
      <c r="B50" s="4"/>
      <c r="C50" s="6"/>
      <c r="D50" s="6"/>
      <c r="E50" s="7"/>
      <c r="F50" s="4"/>
      <c r="G50" s="8"/>
      <c r="H50" s="8"/>
      <c r="I50" s="9"/>
      <c r="J50" s="8">
        <f t="shared" si="4"/>
        <v>0</v>
      </c>
    </row>
    <row r="51" spans="1:10" ht="19.95" customHeight="1" x14ac:dyDescent="0.3">
      <c r="A51" s="4"/>
      <c r="B51" s="4"/>
      <c r="C51" s="6"/>
      <c r="D51" s="6"/>
      <c r="E51" s="7"/>
      <c r="F51" s="4"/>
      <c r="G51" s="4"/>
      <c r="H51" s="8"/>
      <c r="I51" s="9"/>
      <c r="J51" s="8">
        <f t="shared" si="4"/>
        <v>0</v>
      </c>
    </row>
    <row r="52" spans="1:10" ht="19.95" customHeight="1" x14ac:dyDescent="0.3">
      <c r="A52" s="4"/>
      <c r="B52" s="4"/>
      <c r="C52" s="6"/>
      <c r="D52" s="6"/>
      <c r="E52" s="7"/>
      <c r="F52" s="4"/>
      <c r="G52" s="4"/>
      <c r="H52" s="8"/>
      <c r="I52" s="9"/>
      <c r="J52" s="8">
        <f t="shared" si="4"/>
        <v>0</v>
      </c>
    </row>
    <row r="53" spans="1:10" ht="19.95" customHeight="1" x14ac:dyDescent="0.3">
      <c r="A53" s="10"/>
      <c r="B53" s="10"/>
      <c r="C53" s="10"/>
      <c r="D53" s="10"/>
      <c r="E53" s="11"/>
      <c r="F53" s="10"/>
      <c r="G53" s="12"/>
      <c r="H53" s="8">
        <f>SUM(H47:H52)</f>
        <v>0</v>
      </c>
      <c r="I53" s="9">
        <f>SUM(I47:I52)</f>
        <v>0</v>
      </c>
      <c r="J53" s="8">
        <f>SUM(J47:J52)</f>
        <v>0</v>
      </c>
    </row>
    <row r="54" spans="1:10" ht="19.95" customHeight="1" x14ac:dyDescent="0.3">
      <c r="A54" s="16"/>
      <c r="B54" s="16"/>
      <c r="C54" s="16"/>
      <c r="D54" s="16"/>
      <c r="E54" s="17"/>
      <c r="F54" s="16"/>
      <c r="G54" s="16"/>
      <c r="H54" s="18"/>
      <c r="I54" s="19"/>
      <c r="J54" s="18"/>
    </row>
    <row r="56" spans="1:10" ht="23.4" x14ac:dyDescent="0.3">
      <c r="A56" s="31" t="s">
        <v>11</v>
      </c>
      <c r="B56" s="31"/>
      <c r="C56" s="31"/>
      <c r="D56" s="31"/>
      <c r="E56" s="31"/>
      <c r="F56" s="31"/>
      <c r="G56" s="31"/>
      <c r="H56" s="31"/>
      <c r="I56" s="31"/>
      <c r="J56" s="31"/>
    </row>
  </sheetData>
  <mergeCells count="8">
    <mergeCell ref="A45:J45"/>
    <mergeCell ref="A56:J56"/>
    <mergeCell ref="I1:J1"/>
    <mergeCell ref="A2:J2"/>
    <mergeCell ref="A3:J3"/>
    <mergeCell ref="A13:J13"/>
    <mergeCell ref="A23:J23"/>
    <mergeCell ref="A34:J34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45" orientation="portrait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zoomScale="75" zoomScaleNormal="75" workbookViewId="0">
      <selection activeCell="I5" sqref="I5"/>
    </sheetView>
  </sheetViews>
  <sheetFormatPr defaultRowHeight="14.4" x14ac:dyDescent="0.3"/>
  <cols>
    <col min="1" max="1" width="15.6640625" customWidth="1"/>
    <col min="2" max="3" width="12.6640625" customWidth="1"/>
    <col min="4" max="4" width="15.6640625" customWidth="1"/>
    <col min="5" max="5" width="80.6640625" customWidth="1"/>
    <col min="6" max="6" width="22.77734375" style="15" bestFit="1" customWidth="1"/>
    <col min="7" max="7" width="12.33203125" customWidth="1"/>
    <col min="8" max="10" width="15.6640625" customWidth="1"/>
  </cols>
  <sheetData>
    <row r="1" spans="1:11" s="1" customFormat="1" ht="30" customHeight="1" x14ac:dyDescent="0.3">
      <c r="F1" s="2"/>
      <c r="G1" s="2"/>
      <c r="H1" s="3" t="s">
        <v>0</v>
      </c>
      <c r="I1" s="27">
        <v>45936</v>
      </c>
      <c r="J1" s="27"/>
    </row>
    <row r="2" spans="1:11" ht="40.049999999999997" customHeight="1" x14ac:dyDescent="0.3">
      <c r="A2" s="28" t="s">
        <v>30</v>
      </c>
      <c r="B2" s="29"/>
      <c r="C2" s="29"/>
      <c r="D2" s="29"/>
      <c r="E2" s="29"/>
      <c r="F2" s="29"/>
      <c r="G2" s="29"/>
      <c r="H2" s="29"/>
      <c r="I2" s="29"/>
      <c r="J2" s="30"/>
    </row>
    <row r="3" spans="1:11" ht="30" customHeight="1" x14ac:dyDescent="0.3">
      <c r="A3" s="31" t="s">
        <v>12</v>
      </c>
      <c r="B3" s="31"/>
      <c r="C3" s="31"/>
      <c r="D3" s="31"/>
      <c r="E3" s="31"/>
      <c r="F3" s="31"/>
      <c r="G3" s="31"/>
      <c r="H3" s="31"/>
      <c r="I3" s="31"/>
      <c r="J3" s="31"/>
    </row>
    <row r="4" spans="1:11" ht="30" customHeight="1" x14ac:dyDescent="0.3">
      <c r="A4" s="4" t="s">
        <v>2</v>
      </c>
      <c r="B4" s="4" t="s">
        <v>3</v>
      </c>
      <c r="C4" s="5" t="s">
        <v>4</v>
      </c>
      <c r="D4" s="5" t="s">
        <v>5</v>
      </c>
      <c r="E4" s="4" t="s">
        <v>6</v>
      </c>
      <c r="F4" s="5" t="s">
        <v>17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1" ht="19.95" customHeight="1" x14ac:dyDescent="0.3">
      <c r="A5" s="4">
        <v>100925</v>
      </c>
      <c r="B5" s="4">
        <v>304</v>
      </c>
      <c r="C5" s="6">
        <v>0.9</v>
      </c>
      <c r="D5" s="6" t="s">
        <v>22</v>
      </c>
      <c r="E5" s="7" t="s">
        <v>48</v>
      </c>
      <c r="F5" s="4"/>
      <c r="G5" s="8" t="s">
        <v>22</v>
      </c>
      <c r="H5" s="8">
        <v>1200</v>
      </c>
      <c r="I5" s="9">
        <f>1168+32</f>
        <v>1200</v>
      </c>
      <c r="J5" s="22">
        <f t="shared" ref="J5:J10" si="0">H5-I5</f>
        <v>0</v>
      </c>
      <c r="K5" s="20"/>
    </row>
    <row r="6" spans="1:11" ht="19.95" customHeight="1" x14ac:dyDescent="0.3">
      <c r="A6" s="4">
        <v>100925</v>
      </c>
      <c r="B6" s="4">
        <v>304</v>
      </c>
      <c r="C6" s="6">
        <v>0.9</v>
      </c>
      <c r="D6" s="6" t="s">
        <v>26</v>
      </c>
      <c r="E6" s="7" t="s">
        <v>49</v>
      </c>
      <c r="F6" s="4"/>
      <c r="G6" s="8">
        <v>430</v>
      </c>
      <c r="H6" s="8">
        <v>1500</v>
      </c>
      <c r="I6" s="9">
        <v>1575</v>
      </c>
      <c r="J6" s="8">
        <f t="shared" si="0"/>
        <v>-75</v>
      </c>
    </row>
    <row r="7" spans="1:11" ht="19.95" customHeight="1" x14ac:dyDescent="0.3">
      <c r="A7" s="4">
        <v>100925</v>
      </c>
      <c r="B7" s="4">
        <v>304</v>
      </c>
      <c r="C7" s="6">
        <v>0.9</v>
      </c>
      <c r="D7" s="6" t="s">
        <v>26</v>
      </c>
      <c r="E7" s="7" t="s">
        <v>50</v>
      </c>
      <c r="F7" s="4"/>
      <c r="G7" s="8">
        <v>430</v>
      </c>
      <c r="H7" s="8">
        <v>600</v>
      </c>
      <c r="I7" s="9">
        <v>325</v>
      </c>
      <c r="J7" s="8">
        <f t="shared" si="0"/>
        <v>275</v>
      </c>
    </row>
    <row r="8" spans="1:11" ht="19.95" customHeight="1" x14ac:dyDescent="0.3">
      <c r="A8" s="4">
        <v>100925</v>
      </c>
      <c r="B8" s="4">
        <v>304</v>
      </c>
      <c r="C8" s="6">
        <v>0.9</v>
      </c>
      <c r="D8" s="6" t="s">
        <v>22</v>
      </c>
      <c r="E8" s="7" t="s">
        <v>51</v>
      </c>
      <c r="F8" s="4"/>
      <c r="G8" s="4" t="s">
        <v>22</v>
      </c>
      <c r="H8" s="8">
        <v>2100</v>
      </c>
      <c r="I8" s="9"/>
      <c r="J8" s="8">
        <f t="shared" si="0"/>
        <v>2100</v>
      </c>
    </row>
    <row r="9" spans="1:11" ht="19.95" customHeight="1" x14ac:dyDescent="0.3">
      <c r="A9" s="4"/>
      <c r="B9" s="4"/>
      <c r="C9" s="6"/>
      <c r="D9" s="6"/>
      <c r="E9" s="7"/>
      <c r="F9" s="4"/>
      <c r="G9" s="8"/>
      <c r="H9" s="8"/>
      <c r="I9" s="9"/>
      <c r="J9" s="8">
        <f t="shared" si="0"/>
        <v>0</v>
      </c>
    </row>
    <row r="10" spans="1:11" ht="19.95" customHeight="1" x14ac:dyDescent="0.3">
      <c r="A10" s="4"/>
      <c r="B10" s="4"/>
      <c r="C10" s="6"/>
      <c r="D10" s="6"/>
      <c r="E10" s="7"/>
      <c r="F10" s="4"/>
      <c r="G10" s="4"/>
      <c r="H10" s="8"/>
      <c r="I10" s="9"/>
      <c r="J10" s="8">
        <f t="shared" si="0"/>
        <v>0</v>
      </c>
    </row>
    <row r="11" spans="1:11" ht="19.95" customHeight="1" x14ac:dyDescent="0.3">
      <c r="A11" s="10"/>
      <c r="B11" s="10"/>
      <c r="C11" s="10"/>
      <c r="D11" s="10"/>
      <c r="E11" s="11"/>
      <c r="F11" s="10"/>
      <c r="G11" s="12"/>
      <c r="H11" s="13">
        <f>SUM(H5:H10)</f>
        <v>5400</v>
      </c>
      <c r="I11" s="14">
        <f>SUM(I5:I10)</f>
        <v>3100</v>
      </c>
      <c r="J11" s="8">
        <f>SUM(J5:J10)</f>
        <v>2300</v>
      </c>
    </row>
    <row r="13" spans="1:11" ht="30" customHeight="1" x14ac:dyDescent="0.3">
      <c r="A13" s="31" t="s">
        <v>15</v>
      </c>
      <c r="B13" s="31"/>
      <c r="C13" s="31"/>
      <c r="D13" s="31"/>
      <c r="E13" s="31"/>
      <c r="F13" s="31"/>
      <c r="G13" s="31"/>
      <c r="H13" s="31"/>
      <c r="I13" s="31"/>
      <c r="J13" s="31"/>
    </row>
    <row r="14" spans="1:11" ht="30" customHeight="1" x14ac:dyDescent="0.3">
      <c r="A14" s="4" t="s">
        <v>2</v>
      </c>
      <c r="B14" s="4" t="s">
        <v>3</v>
      </c>
      <c r="C14" s="5" t="s">
        <v>4</v>
      </c>
      <c r="D14" s="5" t="s">
        <v>5</v>
      </c>
      <c r="E14" s="4" t="s">
        <v>6</v>
      </c>
      <c r="F14" s="5" t="s">
        <v>17</v>
      </c>
      <c r="G14" s="5" t="s">
        <v>7</v>
      </c>
      <c r="H14" s="4" t="s">
        <v>8</v>
      </c>
      <c r="I14" s="4" t="s">
        <v>9</v>
      </c>
      <c r="J14" s="4" t="s">
        <v>10</v>
      </c>
    </row>
    <row r="15" spans="1:11" ht="19.95" customHeight="1" x14ac:dyDescent="0.3">
      <c r="A15" s="4">
        <v>100925</v>
      </c>
      <c r="B15" s="4">
        <v>304</v>
      </c>
      <c r="C15" s="6">
        <v>0.9</v>
      </c>
      <c r="D15" s="6" t="s">
        <v>26</v>
      </c>
      <c r="E15" s="7" t="s">
        <v>42</v>
      </c>
      <c r="F15" s="4" t="s">
        <v>43</v>
      </c>
      <c r="G15" s="8">
        <v>430</v>
      </c>
      <c r="H15" s="8">
        <v>1200</v>
      </c>
      <c r="I15" s="9">
        <f>60+1100+130</f>
        <v>1290</v>
      </c>
      <c r="J15" s="8">
        <f t="shared" ref="J15:J20" si="1">H15-I15</f>
        <v>-90</v>
      </c>
    </row>
    <row r="16" spans="1:11" ht="19.95" customHeight="1" x14ac:dyDescent="0.3">
      <c r="A16" s="4">
        <v>100925</v>
      </c>
      <c r="B16" s="4">
        <v>304</v>
      </c>
      <c r="C16" s="6">
        <v>0.9</v>
      </c>
      <c r="D16" s="6" t="s">
        <v>22</v>
      </c>
      <c r="E16" s="7" t="s">
        <v>48</v>
      </c>
      <c r="F16" s="4"/>
      <c r="G16" s="8" t="s">
        <v>22</v>
      </c>
      <c r="H16" s="8">
        <v>1200</v>
      </c>
      <c r="I16" s="9">
        <v>1325</v>
      </c>
      <c r="J16" s="8">
        <f t="shared" si="1"/>
        <v>-125</v>
      </c>
    </row>
    <row r="17" spans="1:12" ht="19.95" customHeight="1" x14ac:dyDescent="0.3">
      <c r="A17" s="4">
        <v>100925</v>
      </c>
      <c r="B17" s="4">
        <v>304</v>
      </c>
      <c r="C17" s="6">
        <v>0.9</v>
      </c>
      <c r="D17" s="6" t="s">
        <v>26</v>
      </c>
      <c r="E17" s="7" t="s">
        <v>49</v>
      </c>
      <c r="F17" s="4"/>
      <c r="G17" s="8">
        <v>430</v>
      </c>
      <c r="H17" s="8">
        <v>1500</v>
      </c>
      <c r="I17" s="9">
        <f>545</f>
        <v>545</v>
      </c>
      <c r="J17" s="8">
        <f t="shared" si="1"/>
        <v>955</v>
      </c>
    </row>
    <row r="18" spans="1:12" ht="19.95" customHeight="1" x14ac:dyDescent="0.3">
      <c r="A18" s="4">
        <v>100925</v>
      </c>
      <c r="B18" s="4">
        <v>304</v>
      </c>
      <c r="C18" s="6">
        <v>0.9</v>
      </c>
      <c r="D18" s="6" t="s">
        <v>26</v>
      </c>
      <c r="E18" s="7" t="s">
        <v>50</v>
      </c>
      <c r="F18" s="4"/>
      <c r="G18" s="8">
        <v>430</v>
      </c>
      <c r="H18" s="8">
        <v>600</v>
      </c>
      <c r="I18" s="9"/>
      <c r="J18" s="8">
        <f t="shared" si="1"/>
        <v>600</v>
      </c>
    </row>
    <row r="19" spans="1:12" ht="19.95" customHeight="1" x14ac:dyDescent="0.3">
      <c r="A19" s="4">
        <v>100925</v>
      </c>
      <c r="B19" s="4">
        <v>304</v>
      </c>
      <c r="C19" s="6">
        <v>0.9</v>
      </c>
      <c r="D19" s="6" t="s">
        <v>22</v>
      </c>
      <c r="E19" s="7" t="s">
        <v>51</v>
      </c>
      <c r="F19" s="4"/>
      <c r="G19" s="4" t="s">
        <v>22</v>
      </c>
      <c r="H19" s="8">
        <v>2100</v>
      </c>
      <c r="I19" s="9"/>
      <c r="J19" s="8">
        <f t="shared" si="1"/>
        <v>2100</v>
      </c>
      <c r="L19" t="s">
        <v>52</v>
      </c>
    </row>
    <row r="20" spans="1:12" ht="19.95" customHeight="1" x14ac:dyDescent="0.3">
      <c r="A20" s="4"/>
      <c r="B20" s="4"/>
      <c r="C20" s="6"/>
      <c r="D20" s="6"/>
      <c r="E20" s="7"/>
      <c r="F20" s="4"/>
      <c r="G20" s="8"/>
      <c r="H20" s="8"/>
      <c r="I20" s="9"/>
      <c r="J20" s="8">
        <f t="shared" si="1"/>
        <v>0</v>
      </c>
    </row>
    <row r="21" spans="1:12" ht="19.95" customHeight="1" x14ac:dyDescent="0.3">
      <c r="A21" s="10"/>
      <c r="B21" s="10"/>
      <c r="C21" s="10"/>
      <c r="D21" s="10"/>
      <c r="E21" s="11"/>
      <c r="F21" s="10"/>
      <c r="G21" s="12"/>
      <c r="H21" s="8">
        <f>SUM(H15:H20)</f>
        <v>6600</v>
      </c>
      <c r="I21" s="9">
        <f>SUM(I15:I20)</f>
        <v>3160</v>
      </c>
      <c r="J21" s="8">
        <f>SUM(J15:J20)</f>
        <v>3440</v>
      </c>
    </row>
    <row r="22" spans="1:12" ht="19.95" customHeight="1" x14ac:dyDescent="0.3">
      <c r="A22" s="16"/>
      <c r="B22" s="16"/>
      <c r="C22" s="16"/>
      <c r="D22" s="16"/>
      <c r="E22" s="17"/>
      <c r="F22" s="16"/>
      <c r="G22" s="16"/>
      <c r="H22" s="18"/>
      <c r="I22" s="19"/>
      <c r="J22" s="18"/>
    </row>
    <row r="23" spans="1:12" ht="30" customHeight="1" x14ac:dyDescent="0.3">
      <c r="A23" s="31" t="s">
        <v>13</v>
      </c>
      <c r="B23" s="31"/>
      <c r="C23" s="31"/>
      <c r="D23" s="31"/>
      <c r="E23" s="31"/>
      <c r="F23" s="31"/>
      <c r="G23" s="31"/>
      <c r="H23" s="31"/>
      <c r="I23" s="31"/>
      <c r="J23" s="31"/>
    </row>
    <row r="24" spans="1:12" ht="30" customHeight="1" x14ac:dyDescent="0.3">
      <c r="A24" s="4" t="s">
        <v>2</v>
      </c>
      <c r="B24" s="4" t="s">
        <v>3</v>
      </c>
      <c r="C24" s="5" t="s">
        <v>4</v>
      </c>
      <c r="D24" s="5" t="s">
        <v>5</v>
      </c>
      <c r="E24" s="4" t="s">
        <v>6</v>
      </c>
      <c r="F24" s="5" t="s">
        <v>17</v>
      </c>
      <c r="G24" s="5" t="s">
        <v>7</v>
      </c>
      <c r="H24" s="4" t="s">
        <v>8</v>
      </c>
      <c r="I24" s="4" t="s">
        <v>9</v>
      </c>
      <c r="J24" s="4" t="s">
        <v>10</v>
      </c>
    </row>
    <row r="25" spans="1:12" ht="19.95" customHeight="1" x14ac:dyDescent="0.3">
      <c r="A25" s="4">
        <v>250074</v>
      </c>
      <c r="B25" s="4">
        <v>304</v>
      </c>
      <c r="C25" s="6">
        <v>0.7</v>
      </c>
      <c r="D25" s="6" t="s">
        <v>19</v>
      </c>
      <c r="E25" s="7" t="s">
        <v>37</v>
      </c>
      <c r="F25" s="4" t="s">
        <v>45</v>
      </c>
      <c r="G25" s="8">
        <v>430</v>
      </c>
      <c r="H25" s="8">
        <v>708</v>
      </c>
      <c r="I25" s="9">
        <v>760</v>
      </c>
      <c r="J25" s="8">
        <f t="shared" ref="J25:J31" si="2">H25-I25</f>
        <v>-52</v>
      </c>
    </row>
    <row r="26" spans="1:12" ht="19.95" customHeight="1" x14ac:dyDescent="0.3">
      <c r="A26" s="4">
        <v>250074</v>
      </c>
      <c r="B26" s="4">
        <v>304</v>
      </c>
      <c r="C26" s="6">
        <v>0.7</v>
      </c>
      <c r="D26" s="6" t="s">
        <v>19</v>
      </c>
      <c r="E26" s="7" t="s">
        <v>38</v>
      </c>
      <c r="F26" s="4" t="s">
        <v>45</v>
      </c>
      <c r="G26" s="8">
        <v>430</v>
      </c>
      <c r="H26" s="8">
        <v>708</v>
      </c>
      <c r="I26" s="9">
        <v>760</v>
      </c>
      <c r="J26" s="8">
        <f t="shared" si="2"/>
        <v>-52</v>
      </c>
    </row>
    <row r="27" spans="1:12" ht="19.95" customHeight="1" x14ac:dyDescent="0.3">
      <c r="A27" s="4">
        <v>250074</v>
      </c>
      <c r="B27" s="4">
        <v>304</v>
      </c>
      <c r="C27" s="6">
        <v>0.7</v>
      </c>
      <c r="D27" s="6" t="s">
        <v>19</v>
      </c>
      <c r="E27" s="7" t="s">
        <v>39</v>
      </c>
      <c r="F27" s="4" t="s">
        <v>46</v>
      </c>
      <c r="G27" s="8">
        <v>430</v>
      </c>
      <c r="H27" s="8">
        <v>708</v>
      </c>
      <c r="I27" s="9">
        <f>500+250</f>
        <v>750</v>
      </c>
      <c r="J27" s="8">
        <f t="shared" si="2"/>
        <v>-42</v>
      </c>
    </row>
    <row r="28" spans="1:12" ht="19.95" customHeight="1" x14ac:dyDescent="0.3">
      <c r="A28" s="4">
        <v>100925</v>
      </c>
      <c r="B28" s="4">
        <v>304</v>
      </c>
      <c r="C28" s="6">
        <v>0.9</v>
      </c>
      <c r="D28" s="6" t="s">
        <v>26</v>
      </c>
      <c r="E28" s="7" t="s">
        <v>42</v>
      </c>
      <c r="F28" s="4" t="s">
        <v>43</v>
      </c>
      <c r="G28" s="8">
        <v>430</v>
      </c>
      <c r="H28" s="8">
        <v>1200</v>
      </c>
      <c r="I28" s="9"/>
      <c r="J28" s="8">
        <f t="shared" si="2"/>
        <v>1200</v>
      </c>
    </row>
    <row r="29" spans="1:12" ht="19.95" customHeight="1" x14ac:dyDescent="0.3">
      <c r="A29" s="4">
        <v>100925</v>
      </c>
      <c r="B29" s="4">
        <v>304</v>
      </c>
      <c r="C29" s="6">
        <v>0.9</v>
      </c>
      <c r="D29" s="6" t="s">
        <v>22</v>
      </c>
      <c r="E29" s="7" t="s">
        <v>48</v>
      </c>
      <c r="F29" s="4"/>
      <c r="G29" s="8" t="s">
        <v>22</v>
      </c>
      <c r="H29" s="8">
        <v>1200</v>
      </c>
      <c r="I29" s="9">
        <v>700</v>
      </c>
      <c r="J29" s="8">
        <f t="shared" si="2"/>
        <v>500</v>
      </c>
    </row>
    <row r="30" spans="1:12" ht="19.95" customHeight="1" x14ac:dyDescent="0.3">
      <c r="A30" s="4">
        <v>100925</v>
      </c>
      <c r="B30" s="4">
        <v>304</v>
      </c>
      <c r="C30" s="6">
        <v>0.9</v>
      </c>
      <c r="D30" s="6" t="s">
        <v>26</v>
      </c>
      <c r="E30" s="7" t="s">
        <v>49</v>
      </c>
      <c r="F30" s="4"/>
      <c r="G30" s="8">
        <v>430</v>
      </c>
      <c r="H30" s="8">
        <v>1500</v>
      </c>
      <c r="I30" s="9"/>
      <c r="J30" s="8">
        <f t="shared" si="2"/>
        <v>1500</v>
      </c>
    </row>
    <row r="31" spans="1:12" ht="19.95" customHeight="1" x14ac:dyDescent="0.3">
      <c r="A31" s="4"/>
      <c r="B31" s="4"/>
      <c r="C31" s="6"/>
      <c r="D31" s="6"/>
      <c r="E31" s="7"/>
      <c r="F31" s="4"/>
      <c r="G31" s="8"/>
      <c r="H31" s="8"/>
      <c r="I31" s="9"/>
      <c r="J31" s="8">
        <f t="shared" si="2"/>
        <v>0</v>
      </c>
    </row>
    <row r="32" spans="1:12" ht="19.95" customHeight="1" x14ac:dyDescent="0.3">
      <c r="A32" s="10"/>
      <c r="B32" s="10"/>
      <c r="C32" s="10"/>
      <c r="D32" s="10"/>
      <c r="E32" s="11"/>
      <c r="F32" s="10"/>
      <c r="G32" s="12"/>
      <c r="H32" s="8">
        <f>SUM(H25:H31)</f>
        <v>6024</v>
      </c>
      <c r="I32" s="9">
        <f>SUM(I25:I31)</f>
        <v>2970</v>
      </c>
      <c r="J32" s="8">
        <f>SUM(J25:J31)</f>
        <v>3054</v>
      </c>
    </row>
    <row r="33" spans="1:10" ht="19.95" customHeight="1" x14ac:dyDescent="0.3">
      <c r="A33" s="16"/>
      <c r="B33" s="16"/>
      <c r="C33" s="16"/>
      <c r="D33" s="16"/>
      <c r="E33" s="17"/>
      <c r="F33" s="16"/>
      <c r="G33" s="16"/>
      <c r="H33" s="18"/>
      <c r="I33" s="19"/>
      <c r="J33" s="18"/>
    </row>
    <row r="34" spans="1:10" ht="30" customHeight="1" x14ac:dyDescent="0.3">
      <c r="A34" s="31" t="s">
        <v>14</v>
      </c>
      <c r="B34" s="31"/>
      <c r="C34" s="31"/>
      <c r="D34" s="31"/>
      <c r="E34" s="31"/>
      <c r="F34" s="31"/>
      <c r="G34" s="31"/>
      <c r="H34" s="31"/>
      <c r="I34" s="31"/>
      <c r="J34" s="31"/>
    </row>
    <row r="35" spans="1:10" ht="30" customHeight="1" x14ac:dyDescent="0.3">
      <c r="A35" s="4" t="s">
        <v>2</v>
      </c>
      <c r="B35" s="4" t="s">
        <v>3</v>
      </c>
      <c r="C35" s="5" t="s">
        <v>4</v>
      </c>
      <c r="D35" s="5" t="s">
        <v>5</v>
      </c>
      <c r="E35" s="4" t="s">
        <v>6</v>
      </c>
      <c r="F35" s="5" t="s">
        <v>17</v>
      </c>
      <c r="G35" s="5" t="s">
        <v>7</v>
      </c>
      <c r="H35" s="4" t="s">
        <v>8</v>
      </c>
      <c r="I35" s="4" t="s">
        <v>9</v>
      </c>
      <c r="J35" s="4" t="s">
        <v>10</v>
      </c>
    </row>
    <row r="36" spans="1:10" ht="19.95" customHeight="1" x14ac:dyDescent="0.3">
      <c r="A36" s="4">
        <v>250074</v>
      </c>
      <c r="B36" s="4">
        <v>304</v>
      </c>
      <c r="C36" s="6">
        <v>0.7</v>
      </c>
      <c r="D36" s="6" t="s">
        <v>19</v>
      </c>
      <c r="E36" s="7" t="s">
        <v>37</v>
      </c>
      <c r="F36" s="4" t="s">
        <v>45</v>
      </c>
      <c r="G36" s="8">
        <v>430</v>
      </c>
      <c r="H36" s="8">
        <v>708</v>
      </c>
      <c r="I36" s="9">
        <v>730</v>
      </c>
      <c r="J36" s="8">
        <f t="shared" ref="J36:J42" si="3">H36-I36</f>
        <v>-22</v>
      </c>
    </row>
    <row r="37" spans="1:10" ht="19.95" customHeight="1" x14ac:dyDescent="0.3">
      <c r="A37" s="4">
        <v>250074</v>
      </c>
      <c r="B37" s="4">
        <v>304</v>
      </c>
      <c r="C37" s="6">
        <v>0.7</v>
      </c>
      <c r="D37" s="6" t="s">
        <v>19</v>
      </c>
      <c r="E37" s="7" t="s">
        <v>38</v>
      </c>
      <c r="F37" s="4" t="s">
        <v>45</v>
      </c>
      <c r="G37" s="8">
        <v>430</v>
      </c>
      <c r="H37" s="8">
        <v>708</v>
      </c>
      <c r="I37" s="9">
        <v>750</v>
      </c>
      <c r="J37" s="8">
        <f t="shared" si="3"/>
        <v>-42</v>
      </c>
    </row>
    <row r="38" spans="1:10" ht="19.95" customHeight="1" x14ac:dyDescent="0.3">
      <c r="A38" s="4">
        <v>250074</v>
      </c>
      <c r="B38" s="4">
        <v>304</v>
      </c>
      <c r="C38" s="6">
        <v>0.7</v>
      </c>
      <c r="D38" s="6" t="s">
        <v>19</v>
      </c>
      <c r="E38" s="7" t="s">
        <v>39</v>
      </c>
      <c r="F38" s="4" t="s">
        <v>46</v>
      </c>
      <c r="G38" s="8">
        <v>430</v>
      </c>
      <c r="H38" s="8">
        <v>708</v>
      </c>
      <c r="I38" s="9">
        <v>775</v>
      </c>
      <c r="J38" s="8">
        <f t="shared" si="3"/>
        <v>-67</v>
      </c>
    </row>
    <row r="39" spans="1:10" ht="19.95" customHeight="1" x14ac:dyDescent="0.3">
      <c r="A39" s="4">
        <v>100925</v>
      </c>
      <c r="B39" s="4">
        <v>304</v>
      </c>
      <c r="C39" s="6">
        <v>0.9</v>
      </c>
      <c r="D39" s="6" t="s">
        <v>26</v>
      </c>
      <c r="E39" s="7" t="s">
        <v>42</v>
      </c>
      <c r="F39" s="4" t="s">
        <v>43</v>
      </c>
      <c r="G39" s="8">
        <v>430</v>
      </c>
      <c r="H39" s="8">
        <v>1200</v>
      </c>
      <c r="I39" s="9"/>
      <c r="J39" s="8">
        <f t="shared" si="3"/>
        <v>1200</v>
      </c>
    </row>
    <row r="40" spans="1:10" ht="19.95" customHeight="1" x14ac:dyDescent="0.3">
      <c r="A40" s="4">
        <v>100925</v>
      </c>
      <c r="B40" s="4">
        <v>304</v>
      </c>
      <c r="C40" s="6">
        <v>0.9</v>
      </c>
      <c r="D40" s="6" t="s">
        <v>22</v>
      </c>
      <c r="E40" s="7" t="s">
        <v>48</v>
      </c>
      <c r="F40" s="4"/>
      <c r="G40" s="8" t="s">
        <v>22</v>
      </c>
      <c r="H40" s="8">
        <v>1200</v>
      </c>
      <c r="I40" s="9"/>
      <c r="J40" s="8">
        <f t="shared" si="3"/>
        <v>1200</v>
      </c>
    </row>
    <row r="41" spans="1:10" ht="19.95" customHeight="1" x14ac:dyDescent="0.3">
      <c r="A41" s="4">
        <v>100925</v>
      </c>
      <c r="B41" s="4">
        <v>304</v>
      </c>
      <c r="C41" s="6">
        <v>0.9</v>
      </c>
      <c r="D41" s="6" t="s">
        <v>26</v>
      </c>
      <c r="E41" s="7" t="s">
        <v>49</v>
      </c>
      <c r="F41" s="4"/>
      <c r="G41" s="8">
        <v>430</v>
      </c>
      <c r="H41" s="8">
        <v>1500</v>
      </c>
      <c r="I41" s="9"/>
      <c r="J41" s="8">
        <f t="shared" si="3"/>
        <v>1500</v>
      </c>
    </row>
    <row r="42" spans="1:10" ht="19.95" customHeight="1" x14ac:dyDescent="0.3">
      <c r="A42" s="4"/>
      <c r="B42" s="4"/>
      <c r="C42" s="6"/>
      <c r="D42" s="6"/>
      <c r="E42" s="7"/>
      <c r="F42" s="4"/>
      <c r="G42" s="8"/>
      <c r="H42" s="8"/>
      <c r="I42" s="9"/>
      <c r="J42" s="8">
        <f t="shared" si="3"/>
        <v>0</v>
      </c>
    </row>
    <row r="43" spans="1:10" ht="19.95" customHeight="1" x14ac:dyDescent="0.3">
      <c r="A43" s="10"/>
      <c r="B43" s="10"/>
      <c r="C43" s="10"/>
      <c r="D43" s="10"/>
      <c r="E43" s="11"/>
      <c r="F43" s="10"/>
      <c r="G43" s="12"/>
      <c r="H43" s="8">
        <f>SUM(H36:H42)</f>
        <v>6024</v>
      </c>
      <c r="I43" s="9">
        <f>SUM(I36:I42)</f>
        <v>2255</v>
      </c>
      <c r="J43" s="8">
        <f>SUM(J36:J42)</f>
        <v>3769</v>
      </c>
    </row>
    <row r="44" spans="1:10" ht="19.95" customHeight="1" x14ac:dyDescent="0.3">
      <c r="A44" s="16"/>
      <c r="B44" s="16"/>
      <c r="C44" s="16"/>
      <c r="D44" s="16"/>
      <c r="E44" s="17"/>
      <c r="F44" s="16"/>
      <c r="G44" s="16"/>
      <c r="H44" s="18"/>
      <c r="I44" s="19"/>
      <c r="J44" s="18"/>
    </row>
    <row r="45" spans="1:10" ht="30" customHeight="1" x14ac:dyDescent="0.3">
      <c r="A45" s="31" t="s">
        <v>16</v>
      </c>
      <c r="B45" s="31"/>
      <c r="C45" s="31"/>
      <c r="D45" s="31"/>
      <c r="E45" s="31"/>
      <c r="F45" s="31"/>
      <c r="G45" s="31"/>
      <c r="H45" s="31"/>
      <c r="I45" s="31"/>
      <c r="J45" s="31"/>
    </row>
    <row r="46" spans="1:10" ht="30" customHeight="1" x14ac:dyDescent="0.3">
      <c r="A46" s="4" t="s">
        <v>2</v>
      </c>
      <c r="B46" s="4" t="s">
        <v>3</v>
      </c>
      <c r="C46" s="5" t="s">
        <v>4</v>
      </c>
      <c r="D46" s="5" t="s">
        <v>5</v>
      </c>
      <c r="E46" s="4" t="s">
        <v>6</v>
      </c>
      <c r="F46" s="5" t="s">
        <v>18</v>
      </c>
      <c r="G46" s="5" t="s">
        <v>7</v>
      </c>
      <c r="H46" s="4" t="s">
        <v>8</v>
      </c>
      <c r="I46" s="4" t="s">
        <v>9</v>
      </c>
      <c r="J46" s="4" t="s">
        <v>10</v>
      </c>
    </row>
    <row r="47" spans="1:10" ht="19.95" customHeight="1" x14ac:dyDescent="0.3">
      <c r="A47" s="4"/>
      <c r="B47" s="4"/>
      <c r="C47" s="6"/>
      <c r="D47" s="6"/>
      <c r="E47" s="7"/>
      <c r="F47" s="4"/>
      <c r="G47" s="4"/>
      <c r="H47" s="8"/>
      <c r="I47" s="9"/>
      <c r="J47" s="8">
        <f t="shared" ref="J47:J52" si="4">H47-I47</f>
        <v>0</v>
      </c>
    </row>
    <row r="48" spans="1:10" ht="19.95" customHeight="1" x14ac:dyDescent="0.3">
      <c r="A48" s="4"/>
      <c r="B48" s="4"/>
      <c r="C48" s="6"/>
      <c r="D48" s="6"/>
      <c r="E48" s="7"/>
      <c r="F48" s="4"/>
      <c r="G48" s="4"/>
      <c r="H48" s="8"/>
      <c r="I48" s="9"/>
      <c r="J48" s="8">
        <f t="shared" si="4"/>
        <v>0</v>
      </c>
    </row>
    <row r="49" spans="1:10" ht="19.95" customHeight="1" x14ac:dyDescent="0.3">
      <c r="A49" s="4"/>
      <c r="B49" s="4"/>
      <c r="C49" s="6"/>
      <c r="D49" s="6"/>
      <c r="E49" s="7"/>
      <c r="F49" s="4"/>
      <c r="G49" s="4"/>
      <c r="H49" s="8"/>
      <c r="I49" s="9"/>
      <c r="J49" s="8">
        <f t="shared" si="4"/>
        <v>0</v>
      </c>
    </row>
    <row r="50" spans="1:10" ht="19.95" customHeight="1" x14ac:dyDescent="0.3">
      <c r="A50" s="4"/>
      <c r="B50" s="4"/>
      <c r="C50" s="6"/>
      <c r="D50" s="6"/>
      <c r="E50" s="7"/>
      <c r="F50" s="4"/>
      <c r="G50" s="8"/>
      <c r="H50" s="8"/>
      <c r="I50" s="9"/>
      <c r="J50" s="8">
        <f t="shared" si="4"/>
        <v>0</v>
      </c>
    </row>
    <row r="51" spans="1:10" ht="19.95" customHeight="1" x14ac:dyDescent="0.3">
      <c r="A51" s="4"/>
      <c r="B51" s="4"/>
      <c r="C51" s="6"/>
      <c r="D51" s="6"/>
      <c r="E51" s="7"/>
      <c r="F51" s="4"/>
      <c r="G51" s="4"/>
      <c r="H51" s="8"/>
      <c r="I51" s="9"/>
      <c r="J51" s="8">
        <f t="shared" si="4"/>
        <v>0</v>
      </c>
    </row>
    <row r="52" spans="1:10" ht="19.95" customHeight="1" x14ac:dyDescent="0.3">
      <c r="A52" s="4"/>
      <c r="B52" s="4"/>
      <c r="C52" s="6"/>
      <c r="D52" s="6"/>
      <c r="E52" s="7"/>
      <c r="F52" s="4"/>
      <c r="G52" s="4"/>
      <c r="H52" s="8"/>
      <c r="I52" s="9"/>
      <c r="J52" s="8">
        <f t="shared" si="4"/>
        <v>0</v>
      </c>
    </row>
    <row r="53" spans="1:10" ht="19.95" customHeight="1" x14ac:dyDescent="0.3">
      <c r="A53" s="10"/>
      <c r="B53" s="10"/>
      <c r="C53" s="10"/>
      <c r="D53" s="10"/>
      <c r="E53" s="11"/>
      <c r="F53" s="10"/>
      <c r="G53" s="12"/>
      <c r="H53" s="8">
        <f>SUM(H47:H52)</f>
        <v>0</v>
      </c>
      <c r="I53" s="9">
        <f>SUM(I47:I52)</f>
        <v>0</v>
      </c>
      <c r="J53" s="8">
        <f>SUM(J47:J52)</f>
        <v>0</v>
      </c>
    </row>
    <row r="54" spans="1:10" ht="19.95" customHeight="1" x14ac:dyDescent="0.3">
      <c r="A54" s="16"/>
      <c r="B54" s="16"/>
      <c r="C54" s="16"/>
      <c r="D54" s="16"/>
      <c r="E54" s="17"/>
      <c r="F54" s="16"/>
      <c r="G54" s="16"/>
      <c r="H54" s="18"/>
      <c r="I54" s="19"/>
      <c r="J54" s="18"/>
    </row>
    <row r="56" spans="1:10" ht="23.4" x14ac:dyDescent="0.3">
      <c r="A56" s="31" t="s">
        <v>11</v>
      </c>
      <c r="B56" s="31"/>
      <c r="C56" s="31"/>
      <c r="D56" s="31"/>
      <c r="E56" s="31"/>
      <c r="F56" s="31"/>
      <c r="G56" s="31"/>
      <c r="H56" s="31"/>
      <c r="I56" s="31"/>
      <c r="J56" s="31"/>
    </row>
  </sheetData>
  <mergeCells count="8">
    <mergeCell ref="A45:J45"/>
    <mergeCell ref="A56:J56"/>
    <mergeCell ref="I1:J1"/>
    <mergeCell ref="A2:J2"/>
    <mergeCell ref="A3:J3"/>
    <mergeCell ref="A13:J13"/>
    <mergeCell ref="A23:J23"/>
    <mergeCell ref="A34:J34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45" orientation="portrait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topLeftCell="A34" zoomScale="75" zoomScaleNormal="75" workbookViewId="0">
      <selection activeCell="I39" sqref="I39"/>
    </sheetView>
  </sheetViews>
  <sheetFormatPr defaultRowHeight="14.4" x14ac:dyDescent="0.3"/>
  <cols>
    <col min="1" max="1" width="15.6640625" customWidth="1"/>
    <col min="2" max="3" width="12.6640625" customWidth="1"/>
    <col min="4" max="4" width="15.6640625" customWidth="1"/>
    <col min="5" max="5" width="80.6640625" customWidth="1"/>
    <col min="6" max="6" width="22.77734375" style="15" bestFit="1" customWidth="1"/>
    <col min="7" max="7" width="12.33203125" customWidth="1"/>
    <col min="8" max="10" width="15.6640625" customWidth="1"/>
  </cols>
  <sheetData>
    <row r="1" spans="1:11" s="1" customFormat="1" ht="30" customHeight="1" x14ac:dyDescent="0.3">
      <c r="F1" s="2"/>
      <c r="G1" s="2"/>
      <c r="H1" s="3" t="s">
        <v>0</v>
      </c>
      <c r="I1" s="27">
        <v>45937</v>
      </c>
      <c r="J1" s="27"/>
    </row>
    <row r="2" spans="1:11" ht="40.049999999999997" customHeight="1" x14ac:dyDescent="0.3">
      <c r="A2" s="28" t="s">
        <v>35</v>
      </c>
      <c r="B2" s="29"/>
      <c r="C2" s="29"/>
      <c r="D2" s="29"/>
      <c r="E2" s="29"/>
      <c r="F2" s="29"/>
      <c r="G2" s="29"/>
      <c r="H2" s="29"/>
      <c r="I2" s="29"/>
      <c r="J2" s="30"/>
    </row>
    <row r="3" spans="1:11" ht="30" customHeight="1" x14ac:dyDescent="0.3">
      <c r="A3" s="31" t="s">
        <v>12</v>
      </c>
      <c r="B3" s="31"/>
      <c r="C3" s="31"/>
      <c r="D3" s="31"/>
      <c r="E3" s="31"/>
      <c r="F3" s="31"/>
      <c r="G3" s="31"/>
      <c r="H3" s="31"/>
      <c r="I3" s="31"/>
      <c r="J3" s="31"/>
    </row>
    <row r="4" spans="1:11" ht="30" customHeight="1" x14ac:dyDescent="0.3">
      <c r="A4" s="4" t="s">
        <v>2</v>
      </c>
      <c r="B4" s="4" t="s">
        <v>3</v>
      </c>
      <c r="C4" s="5" t="s">
        <v>4</v>
      </c>
      <c r="D4" s="5" t="s">
        <v>5</v>
      </c>
      <c r="E4" s="4" t="s">
        <v>6</v>
      </c>
      <c r="F4" s="5" t="s">
        <v>17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1" ht="19.95" customHeight="1" x14ac:dyDescent="0.3">
      <c r="A5" s="4">
        <v>100925</v>
      </c>
      <c r="B5" s="4">
        <v>304</v>
      </c>
      <c r="C5" s="6">
        <v>0.9</v>
      </c>
      <c r="D5" s="6" t="s">
        <v>26</v>
      </c>
      <c r="E5" s="7" t="s">
        <v>50</v>
      </c>
      <c r="F5" s="4"/>
      <c r="G5" s="8">
        <v>430</v>
      </c>
      <c r="H5" s="8">
        <v>600</v>
      </c>
      <c r="I5" s="9">
        <f>325+425</f>
        <v>750</v>
      </c>
      <c r="J5" s="22">
        <f t="shared" ref="J5:J10" si="0">H5-I5</f>
        <v>-150</v>
      </c>
      <c r="K5" s="20"/>
    </row>
    <row r="6" spans="1:11" ht="19.95" customHeight="1" x14ac:dyDescent="0.3">
      <c r="A6" s="4">
        <v>100925</v>
      </c>
      <c r="B6" s="4">
        <v>304</v>
      </c>
      <c r="C6" s="6">
        <v>0.9</v>
      </c>
      <c r="D6" s="6" t="s">
        <v>22</v>
      </c>
      <c r="E6" s="7" t="s">
        <v>53</v>
      </c>
      <c r="F6" s="4"/>
      <c r="G6" s="4" t="s">
        <v>22</v>
      </c>
      <c r="H6" s="8">
        <v>1500</v>
      </c>
      <c r="I6" s="9">
        <v>1500</v>
      </c>
      <c r="J6" s="8">
        <f t="shared" si="0"/>
        <v>0</v>
      </c>
    </row>
    <row r="7" spans="1:11" ht="19.95" customHeight="1" x14ac:dyDescent="0.3">
      <c r="A7" s="4">
        <v>100925</v>
      </c>
      <c r="B7" s="4">
        <v>304</v>
      </c>
      <c r="C7" s="6">
        <v>0.9</v>
      </c>
      <c r="D7" s="6" t="s">
        <v>22</v>
      </c>
      <c r="E7" s="7" t="s">
        <v>54</v>
      </c>
      <c r="F7" s="4"/>
      <c r="G7" s="4" t="s">
        <v>22</v>
      </c>
      <c r="H7" s="8">
        <v>600</v>
      </c>
      <c r="I7" s="9">
        <v>225</v>
      </c>
      <c r="J7" s="8">
        <f t="shared" si="0"/>
        <v>375</v>
      </c>
    </row>
    <row r="8" spans="1:11" ht="19.95" customHeight="1" x14ac:dyDescent="0.3">
      <c r="A8" s="4" t="s">
        <v>55</v>
      </c>
      <c r="B8" s="4">
        <v>304</v>
      </c>
      <c r="C8" s="6">
        <v>0.9</v>
      </c>
      <c r="D8" s="6" t="s">
        <v>26</v>
      </c>
      <c r="E8" s="7" t="s">
        <v>56</v>
      </c>
      <c r="F8" s="4"/>
      <c r="G8" s="4">
        <v>430</v>
      </c>
      <c r="H8" s="8">
        <v>1200</v>
      </c>
      <c r="I8" s="9"/>
      <c r="J8" s="8">
        <f t="shared" si="0"/>
        <v>1200</v>
      </c>
    </row>
    <row r="9" spans="1:11" ht="19.95" customHeight="1" x14ac:dyDescent="0.3">
      <c r="A9" s="4" t="s">
        <v>55</v>
      </c>
      <c r="B9" s="4">
        <v>304</v>
      </c>
      <c r="C9" s="6">
        <v>0.9</v>
      </c>
      <c r="D9" s="6" t="s">
        <v>26</v>
      </c>
      <c r="E9" s="7" t="s">
        <v>57</v>
      </c>
      <c r="F9" s="4"/>
      <c r="G9" s="4" t="s">
        <v>22</v>
      </c>
      <c r="H9" s="8">
        <v>1200</v>
      </c>
      <c r="I9" s="9"/>
      <c r="J9" s="8">
        <f t="shared" si="0"/>
        <v>1200</v>
      </c>
    </row>
    <row r="10" spans="1:11" ht="19.95" customHeight="1" x14ac:dyDescent="0.3">
      <c r="A10" s="4"/>
      <c r="B10" s="4"/>
      <c r="C10" s="6"/>
      <c r="D10" s="6"/>
      <c r="E10" s="7"/>
      <c r="F10" s="4"/>
      <c r="G10" s="4"/>
      <c r="H10" s="8"/>
      <c r="I10" s="9"/>
      <c r="J10" s="8">
        <f t="shared" si="0"/>
        <v>0</v>
      </c>
    </row>
    <row r="11" spans="1:11" ht="19.95" customHeight="1" x14ac:dyDescent="0.3">
      <c r="A11" s="10"/>
      <c r="B11" s="10"/>
      <c r="C11" s="10"/>
      <c r="D11" s="10"/>
      <c r="E11" s="11"/>
      <c r="F11" s="10"/>
      <c r="G11" s="12"/>
      <c r="H11" s="13">
        <f>SUM(H5:H10)</f>
        <v>5100</v>
      </c>
      <c r="I11" s="14">
        <f>SUM(I5:I10)</f>
        <v>2475</v>
      </c>
      <c r="J11" s="8">
        <f>SUM(J5:J10)</f>
        <v>2625</v>
      </c>
    </row>
    <row r="13" spans="1:11" ht="30" customHeight="1" x14ac:dyDescent="0.3">
      <c r="A13" s="31" t="s">
        <v>15</v>
      </c>
      <c r="B13" s="31"/>
      <c r="C13" s="31"/>
      <c r="D13" s="31"/>
      <c r="E13" s="31"/>
      <c r="F13" s="31"/>
      <c r="G13" s="31"/>
      <c r="H13" s="31"/>
      <c r="I13" s="31"/>
      <c r="J13" s="31"/>
    </row>
    <row r="14" spans="1:11" ht="30" customHeight="1" x14ac:dyDescent="0.3">
      <c r="A14" s="4" t="s">
        <v>2</v>
      </c>
      <c r="B14" s="4" t="s">
        <v>3</v>
      </c>
      <c r="C14" s="5" t="s">
        <v>4</v>
      </c>
      <c r="D14" s="5" t="s">
        <v>5</v>
      </c>
      <c r="E14" s="4" t="s">
        <v>6</v>
      </c>
      <c r="F14" s="5" t="s">
        <v>17</v>
      </c>
      <c r="G14" s="5" t="s">
        <v>7</v>
      </c>
      <c r="H14" s="4" t="s">
        <v>8</v>
      </c>
      <c r="I14" s="4" t="s">
        <v>9</v>
      </c>
      <c r="J14" s="4" t="s">
        <v>10</v>
      </c>
    </row>
    <row r="15" spans="1:11" ht="19.95" customHeight="1" x14ac:dyDescent="0.3">
      <c r="A15" s="4">
        <v>100925</v>
      </c>
      <c r="B15" s="4">
        <v>304</v>
      </c>
      <c r="C15" s="6">
        <v>0.9</v>
      </c>
      <c r="D15" s="6" t="s">
        <v>26</v>
      </c>
      <c r="E15" s="7" t="s">
        <v>49</v>
      </c>
      <c r="F15" s="4"/>
      <c r="G15" s="8">
        <v>430</v>
      </c>
      <c r="H15" s="8">
        <v>1500</v>
      </c>
      <c r="I15" s="9">
        <f>545+1055</f>
        <v>1600</v>
      </c>
      <c r="J15" s="8">
        <f t="shared" ref="J15:J21" si="1">H15-I15</f>
        <v>-100</v>
      </c>
    </row>
    <row r="16" spans="1:11" ht="19.95" customHeight="1" x14ac:dyDescent="0.3">
      <c r="A16" s="4">
        <v>100925</v>
      </c>
      <c r="B16" s="4">
        <v>304</v>
      </c>
      <c r="C16" s="6">
        <v>0.9</v>
      </c>
      <c r="D16" s="6" t="s">
        <v>26</v>
      </c>
      <c r="E16" s="7" t="s">
        <v>50</v>
      </c>
      <c r="F16" s="4"/>
      <c r="G16" s="8">
        <v>430</v>
      </c>
      <c r="H16" s="8">
        <v>600</v>
      </c>
      <c r="I16" s="9">
        <v>700</v>
      </c>
      <c r="J16" s="8">
        <f t="shared" si="1"/>
        <v>-100</v>
      </c>
    </row>
    <row r="17" spans="1:10" ht="19.95" customHeight="1" x14ac:dyDescent="0.3">
      <c r="A17" s="4">
        <v>100925</v>
      </c>
      <c r="B17" s="4">
        <v>304</v>
      </c>
      <c r="C17" s="6">
        <v>0.9</v>
      </c>
      <c r="D17" s="6" t="s">
        <v>22</v>
      </c>
      <c r="E17" s="7" t="s">
        <v>53</v>
      </c>
      <c r="F17" s="4"/>
      <c r="G17" s="4" t="s">
        <v>22</v>
      </c>
      <c r="H17" s="8">
        <v>1500</v>
      </c>
      <c r="I17" s="9">
        <v>245</v>
      </c>
      <c r="J17" s="8">
        <f t="shared" si="1"/>
        <v>1255</v>
      </c>
    </row>
    <row r="18" spans="1:10" ht="19.95" customHeight="1" x14ac:dyDescent="0.3">
      <c r="A18" s="4">
        <v>100925</v>
      </c>
      <c r="B18" s="4">
        <v>304</v>
      </c>
      <c r="C18" s="6">
        <v>0.9</v>
      </c>
      <c r="D18" s="6" t="s">
        <v>22</v>
      </c>
      <c r="E18" s="7" t="s">
        <v>54</v>
      </c>
      <c r="F18" s="4"/>
      <c r="G18" s="4" t="s">
        <v>22</v>
      </c>
      <c r="H18" s="8">
        <v>600</v>
      </c>
      <c r="I18" s="9"/>
      <c r="J18" s="8">
        <f t="shared" si="1"/>
        <v>600</v>
      </c>
    </row>
    <row r="19" spans="1:10" ht="19.95" customHeight="1" x14ac:dyDescent="0.3">
      <c r="A19" s="4" t="s">
        <v>55</v>
      </c>
      <c r="B19" s="4">
        <v>304</v>
      </c>
      <c r="C19" s="6">
        <v>0.9</v>
      </c>
      <c r="D19" s="6" t="s">
        <v>26</v>
      </c>
      <c r="E19" s="7" t="s">
        <v>56</v>
      </c>
      <c r="F19" s="4"/>
      <c r="G19" s="4">
        <v>430</v>
      </c>
      <c r="H19" s="8">
        <v>1200</v>
      </c>
      <c r="I19" s="9"/>
      <c r="J19" s="8">
        <f t="shared" si="1"/>
        <v>1200</v>
      </c>
    </row>
    <row r="20" spans="1:10" ht="19.95" customHeight="1" x14ac:dyDescent="0.3">
      <c r="A20" s="4" t="s">
        <v>55</v>
      </c>
      <c r="B20" s="4">
        <v>304</v>
      </c>
      <c r="C20" s="6">
        <v>0.9</v>
      </c>
      <c r="D20" s="6" t="s">
        <v>26</v>
      </c>
      <c r="E20" s="7" t="s">
        <v>57</v>
      </c>
      <c r="F20" s="4"/>
      <c r="G20" s="4" t="s">
        <v>22</v>
      </c>
      <c r="H20" s="8">
        <v>1200</v>
      </c>
      <c r="I20" s="9"/>
      <c r="J20" s="8">
        <f t="shared" si="1"/>
        <v>1200</v>
      </c>
    </row>
    <row r="21" spans="1:10" ht="19.95" customHeight="1" x14ac:dyDescent="0.3">
      <c r="A21" s="4"/>
      <c r="B21" s="4"/>
      <c r="C21" s="6"/>
      <c r="D21" s="6"/>
      <c r="E21" s="7"/>
      <c r="F21" s="4"/>
      <c r="G21" s="8"/>
      <c r="H21" s="8"/>
      <c r="I21" s="9"/>
      <c r="J21" s="8">
        <f t="shared" si="1"/>
        <v>0</v>
      </c>
    </row>
    <row r="22" spans="1:10" ht="19.95" customHeight="1" x14ac:dyDescent="0.3">
      <c r="A22" s="10"/>
      <c r="B22" s="10"/>
      <c r="C22" s="10"/>
      <c r="D22" s="10"/>
      <c r="E22" s="11"/>
      <c r="F22" s="10"/>
      <c r="G22" s="12"/>
      <c r="H22" s="8">
        <f>SUM(H15:H21)</f>
        <v>6600</v>
      </c>
      <c r="I22" s="9">
        <f>SUM(I15:I21)</f>
        <v>2545</v>
      </c>
      <c r="J22" s="8">
        <f>SUM(J15:J21)</f>
        <v>4055</v>
      </c>
    </row>
    <row r="23" spans="1:10" ht="19.95" customHeight="1" x14ac:dyDescent="0.3">
      <c r="A23" s="16"/>
      <c r="B23" s="16"/>
      <c r="C23" s="16"/>
      <c r="D23" s="16"/>
      <c r="E23" s="17"/>
      <c r="F23" s="16"/>
      <c r="G23" s="16"/>
      <c r="H23" s="18"/>
      <c r="I23" s="19"/>
      <c r="J23" s="18"/>
    </row>
    <row r="24" spans="1:10" ht="30" customHeight="1" x14ac:dyDescent="0.3">
      <c r="A24" s="31" t="s">
        <v>13</v>
      </c>
      <c r="B24" s="31"/>
      <c r="C24" s="31"/>
      <c r="D24" s="31"/>
      <c r="E24" s="31"/>
      <c r="F24" s="31"/>
      <c r="G24" s="31"/>
      <c r="H24" s="31"/>
      <c r="I24" s="31"/>
      <c r="J24" s="31"/>
    </row>
    <row r="25" spans="1:10" ht="30" customHeight="1" x14ac:dyDescent="0.3">
      <c r="A25" s="4" t="s">
        <v>2</v>
      </c>
      <c r="B25" s="4" t="s">
        <v>3</v>
      </c>
      <c r="C25" s="5" t="s">
        <v>4</v>
      </c>
      <c r="D25" s="5" t="s">
        <v>5</v>
      </c>
      <c r="E25" s="4" t="s">
        <v>6</v>
      </c>
      <c r="F25" s="5" t="s">
        <v>17</v>
      </c>
      <c r="G25" s="5" t="s">
        <v>7</v>
      </c>
      <c r="H25" s="4" t="s">
        <v>8</v>
      </c>
      <c r="I25" s="4" t="s">
        <v>9</v>
      </c>
      <c r="J25" s="4" t="s">
        <v>10</v>
      </c>
    </row>
    <row r="26" spans="1:10" ht="19.95" customHeight="1" x14ac:dyDescent="0.3">
      <c r="A26" s="4">
        <v>100925</v>
      </c>
      <c r="B26" s="4">
        <v>304</v>
      </c>
      <c r="C26" s="6">
        <v>0.9</v>
      </c>
      <c r="D26" s="6" t="s">
        <v>26</v>
      </c>
      <c r="E26" s="7" t="s">
        <v>42</v>
      </c>
      <c r="F26" s="4" t="s">
        <v>43</v>
      </c>
      <c r="G26" s="8">
        <v>430</v>
      </c>
      <c r="H26" s="8">
        <v>1200</v>
      </c>
      <c r="I26" s="9">
        <v>1280</v>
      </c>
      <c r="J26" s="8">
        <f t="shared" ref="J26:J33" si="2">H26-I26</f>
        <v>-80</v>
      </c>
    </row>
    <row r="27" spans="1:10" ht="19.95" customHeight="1" x14ac:dyDescent="0.3">
      <c r="A27" s="4">
        <v>100925</v>
      </c>
      <c r="B27" s="4">
        <v>304</v>
      </c>
      <c r="C27" s="6">
        <v>0.9</v>
      </c>
      <c r="D27" s="6" t="s">
        <v>22</v>
      </c>
      <c r="E27" s="7" t="s">
        <v>48</v>
      </c>
      <c r="F27" s="4"/>
      <c r="G27" s="8" t="s">
        <v>22</v>
      </c>
      <c r="H27" s="8">
        <v>1200</v>
      </c>
      <c r="I27" s="9">
        <f>700+630</f>
        <v>1330</v>
      </c>
      <c r="J27" s="8">
        <f t="shared" si="2"/>
        <v>-130</v>
      </c>
    </row>
    <row r="28" spans="1:10" ht="19.95" customHeight="1" x14ac:dyDescent="0.3">
      <c r="A28" s="4">
        <v>100925</v>
      </c>
      <c r="B28" s="4">
        <v>304</v>
      </c>
      <c r="C28" s="6">
        <v>0.9</v>
      </c>
      <c r="D28" s="6" t="s">
        <v>26</v>
      </c>
      <c r="E28" s="7" t="s">
        <v>49</v>
      </c>
      <c r="F28" s="4"/>
      <c r="G28" s="8">
        <v>430</v>
      </c>
      <c r="H28" s="8">
        <v>1500</v>
      </c>
      <c r="I28" s="9">
        <v>300</v>
      </c>
      <c r="J28" s="8">
        <f t="shared" si="2"/>
        <v>1200</v>
      </c>
    </row>
    <row r="29" spans="1:10" ht="19.95" customHeight="1" x14ac:dyDescent="0.3">
      <c r="A29" s="4">
        <v>100925</v>
      </c>
      <c r="B29" s="4">
        <v>304</v>
      </c>
      <c r="C29" s="6">
        <v>0.9</v>
      </c>
      <c r="D29" s="6" t="s">
        <v>22</v>
      </c>
      <c r="E29" s="7" t="s">
        <v>53</v>
      </c>
      <c r="F29" s="4"/>
      <c r="G29" s="4" t="s">
        <v>22</v>
      </c>
      <c r="H29" s="8">
        <v>1500</v>
      </c>
      <c r="I29" s="9"/>
      <c r="J29" s="8">
        <f t="shared" si="2"/>
        <v>1500</v>
      </c>
    </row>
    <row r="30" spans="1:10" ht="19.95" customHeight="1" x14ac:dyDescent="0.3">
      <c r="A30" s="4">
        <v>100925</v>
      </c>
      <c r="B30" s="4">
        <v>304</v>
      </c>
      <c r="C30" s="6">
        <v>0.9</v>
      </c>
      <c r="D30" s="6" t="s">
        <v>22</v>
      </c>
      <c r="E30" s="7" t="s">
        <v>54</v>
      </c>
      <c r="F30" s="4"/>
      <c r="G30" s="4" t="s">
        <v>22</v>
      </c>
      <c r="H30" s="8">
        <v>600</v>
      </c>
      <c r="I30" s="9"/>
      <c r="J30" s="8">
        <f t="shared" si="2"/>
        <v>600</v>
      </c>
    </row>
    <row r="31" spans="1:10" ht="19.95" customHeight="1" x14ac:dyDescent="0.3">
      <c r="A31" s="4" t="s">
        <v>55</v>
      </c>
      <c r="B31" s="4">
        <v>304</v>
      </c>
      <c r="C31" s="6">
        <v>0.9</v>
      </c>
      <c r="D31" s="6" t="s">
        <v>26</v>
      </c>
      <c r="E31" s="7" t="s">
        <v>56</v>
      </c>
      <c r="F31" s="4"/>
      <c r="G31" s="4">
        <v>430</v>
      </c>
      <c r="H31" s="8">
        <v>1200</v>
      </c>
      <c r="I31" s="9"/>
      <c r="J31" s="8">
        <f t="shared" si="2"/>
        <v>1200</v>
      </c>
    </row>
    <row r="32" spans="1:10" ht="19.95" customHeight="1" x14ac:dyDescent="0.3">
      <c r="A32" s="4" t="s">
        <v>55</v>
      </c>
      <c r="B32" s="4">
        <v>304</v>
      </c>
      <c r="C32" s="6">
        <v>0.9</v>
      </c>
      <c r="D32" s="6" t="s">
        <v>26</v>
      </c>
      <c r="E32" s="7" t="s">
        <v>57</v>
      </c>
      <c r="F32" s="4"/>
      <c r="G32" s="4" t="s">
        <v>22</v>
      </c>
      <c r="H32" s="8">
        <v>1200</v>
      </c>
      <c r="I32" s="9"/>
      <c r="J32" s="8">
        <f t="shared" si="2"/>
        <v>1200</v>
      </c>
    </row>
    <row r="33" spans="1:10" ht="19.95" customHeight="1" x14ac:dyDescent="0.3">
      <c r="A33" s="4"/>
      <c r="B33" s="4"/>
      <c r="C33" s="6"/>
      <c r="D33" s="6"/>
      <c r="E33" s="7"/>
      <c r="F33" s="4"/>
      <c r="G33" s="8"/>
      <c r="H33" s="8"/>
      <c r="I33" s="9"/>
      <c r="J33" s="8">
        <f t="shared" si="2"/>
        <v>0</v>
      </c>
    </row>
    <row r="34" spans="1:10" ht="19.95" customHeight="1" x14ac:dyDescent="0.3">
      <c r="A34" s="10"/>
      <c r="B34" s="10"/>
      <c r="C34" s="10"/>
      <c r="D34" s="10"/>
      <c r="E34" s="11"/>
      <c r="F34" s="10"/>
      <c r="G34" s="12"/>
      <c r="H34" s="8">
        <f>SUM(H26:H33)</f>
        <v>8400</v>
      </c>
      <c r="I34" s="9">
        <f>SUM(I26:I33)</f>
        <v>2910</v>
      </c>
      <c r="J34" s="8">
        <f>SUM(J26:J33)</f>
        <v>5490</v>
      </c>
    </row>
    <row r="35" spans="1:10" ht="19.95" customHeight="1" x14ac:dyDescent="0.3">
      <c r="A35" s="16"/>
      <c r="B35" s="16"/>
      <c r="C35" s="16"/>
      <c r="D35" s="16"/>
      <c r="E35" s="17"/>
      <c r="F35" s="16"/>
      <c r="G35" s="16"/>
      <c r="H35" s="18"/>
      <c r="I35" s="19"/>
      <c r="J35" s="18"/>
    </row>
    <row r="36" spans="1:10" ht="30" customHeight="1" x14ac:dyDescent="0.3">
      <c r="A36" s="31" t="s">
        <v>14</v>
      </c>
      <c r="B36" s="31"/>
      <c r="C36" s="31"/>
      <c r="D36" s="31"/>
      <c r="E36" s="31"/>
      <c r="F36" s="31"/>
      <c r="G36" s="31"/>
      <c r="H36" s="31"/>
      <c r="I36" s="31"/>
      <c r="J36" s="31"/>
    </row>
    <row r="37" spans="1:10" ht="30" customHeight="1" x14ac:dyDescent="0.3">
      <c r="A37" s="4" t="s">
        <v>2</v>
      </c>
      <c r="B37" s="4" t="s">
        <v>3</v>
      </c>
      <c r="C37" s="5" t="s">
        <v>4</v>
      </c>
      <c r="D37" s="5" t="s">
        <v>5</v>
      </c>
      <c r="E37" s="4" t="s">
        <v>6</v>
      </c>
      <c r="F37" s="5" t="s">
        <v>17</v>
      </c>
      <c r="G37" s="5" t="s">
        <v>7</v>
      </c>
      <c r="H37" s="4" t="s">
        <v>8</v>
      </c>
      <c r="I37" s="4" t="s">
        <v>9</v>
      </c>
      <c r="J37" s="4" t="s">
        <v>10</v>
      </c>
    </row>
    <row r="38" spans="1:10" ht="19.95" customHeight="1" x14ac:dyDescent="0.3">
      <c r="A38" s="4">
        <v>100925</v>
      </c>
      <c r="B38" s="4">
        <v>304</v>
      </c>
      <c r="C38" s="6">
        <v>0.9</v>
      </c>
      <c r="D38" s="6" t="s">
        <v>26</v>
      </c>
      <c r="E38" s="7" t="s">
        <v>42</v>
      </c>
      <c r="F38" s="4" t="s">
        <v>43</v>
      </c>
      <c r="G38" s="8">
        <v>430</v>
      </c>
      <c r="H38" s="8">
        <v>1200</v>
      </c>
      <c r="I38" s="9">
        <v>700</v>
      </c>
      <c r="J38" s="8">
        <f t="shared" ref="J38:J45" si="3">H38-I38</f>
        <v>500</v>
      </c>
    </row>
    <row r="39" spans="1:10" ht="19.95" customHeight="1" x14ac:dyDescent="0.3">
      <c r="A39" s="4">
        <v>100925</v>
      </c>
      <c r="B39" s="4">
        <v>304</v>
      </c>
      <c r="C39" s="6">
        <v>0.9</v>
      </c>
      <c r="D39" s="6" t="s">
        <v>22</v>
      </c>
      <c r="E39" s="7" t="s">
        <v>48</v>
      </c>
      <c r="F39" s="4"/>
      <c r="G39" s="8" t="s">
        <v>22</v>
      </c>
      <c r="H39" s="8">
        <v>1200</v>
      </c>
      <c r="I39" s="9">
        <v>1300</v>
      </c>
      <c r="J39" s="8">
        <f t="shared" si="3"/>
        <v>-100</v>
      </c>
    </row>
    <row r="40" spans="1:10" ht="19.95" customHeight="1" x14ac:dyDescent="0.3">
      <c r="A40" s="4">
        <v>100925</v>
      </c>
      <c r="B40" s="4">
        <v>304</v>
      </c>
      <c r="C40" s="6">
        <v>0.9</v>
      </c>
      <c r="D40" s="6" t="s">
        <v>26</v>
      </c>
      <c r="E40" s="7" t="s">
        <v>49</v>
      </c>
      <c r="F40" s="4"/>
      <c r="G40" s="8">
        <v>430</v>
      </c>
      <c r="H40" s="8">
        <v>1500</v>
      </c>
      <c r="I40" s="9"/>
      <c r="J40" s="8">
        <f t="shared" si="3"/>
        <v>1500</v>
      </c>
    </row>
    <row r="41" spans="1:10" ht="19.95" customHeight="1" x14ac:dyDescent="0.3">
      <c r="A41" s="4">
        <v>100925</v>
      </c>
      <c r="B41" s="4">
        <v>304</v>
      </c>
      <c r="C41" s="6">
        <v>0.9</v>
      </c>
      <c r="D41" s="6" t="s">
        <v>22</v>
      </c>
      <c r="E41" s="7" t="s">
        <v>53</v>
      </c>
      <c r="F41" s="4"/>
      <c r="G41" s="4" t="s">
        <v>22</v>
      </c>
      <c r="H41" s="8">
        <v>1500</v>
      </c>
      <c r="I41" s="9"/>
      <c r="J41" s="8">
        <f t="shared" si="3"/>
        <v>1500</v>
      </c>
    </row>
    <row r="42" spans="1:10" ht="19.95" customHeight="1" x14ac:dyDescent="0.3">
      <c r="A42" s="4">
        <v>100925</v>
      </c>
      <c r="B42" s="4">
        <v>304</v>
      </c>
      <c r="C42" s="6">
        <v>0.9</v>
      </c>
      <c r="D42" s="6" t="s">
        <v>22</v>
      </c>
      <c r="E42" s="7" t="s">
        <v>54</v>
      </c>
      <c r="F42" s="4"/>
      <c r="G42" s="4" t="s">
        <v>22</v>
      </c>
      <c r="H42" s="8">
        <v>600</v>
      </c>
      <c r="I42" s="9"/>
      <c r="J42" s="8">
        <f t="shared" si="3"/>
        <v>600</v>
      </c>
    </row>
    <row r="43" spans="1:10" ht="19.95" customHeight="1" x14ac:dyDescent="0.3">
      <c r="A43" s="4" t="s">
        <v>55</v>
      </c>
      <c r="B43" s="4">
        <v>304</v>
      </c>
      <c r="C43" s="6">
        <v>0.9</v>
      </c>
      <c r="D43" s="6" t="s">
        <v>26</v>
      </c>
      <c r="E43" s="7" t="s">
        <v>56</v>
      </c>
      <c r="F43" s="4"/>
      <c r="G43" s="4">
        <v>430</v>
      </c>
      <c r="H43" s="8">
        <v>1200</v>
      </c>
      <c r="I43" s="9"/>
      <c r="J43" s="8">
        <f t="shared" si="3"/>
        <v>1200</v>
      </c>
    </row>
    <row r="44" spans="1:10" ht="19.95" customHeight="1" x14ac:dyDescent="0.3">
      <c r="A44" s="4" t="s">
        <v>55</v>
      </c>
      <c r="B44" s="4">
        <v>304</v>
      </c>
      <c r="C44" s="6">
        <v>0.9</v>
      </c>
      <c r="D44" s="6" t="s">
        <v>26</v>
      </c>
      <c r="E44" s="7" t="s">
        <v>57</v>
      </c>
      <c r="F44" s="4"/>
      <c r="G44" s="4" t="s">
        <v>22</v>
      </c>
      <c r="H44" s="8">
        <v>1200</v>
      </c>
      <c r="I44" s="9"/>
      <c r="J44" s="8">
        <f t="shared" si="3"/>
        <v>1200</v>
      </c>
    </row>
    <row r="45" spans="1:10" ht="19.95" customHeight="1" x14ac:dyDescent="0.3">
      <c r="A45" s="4"/>
      <c r="B45" s="4"/>
      <c r="C45" s="6"/>
      <c r="D45" s="6"/>
      <c r="E45" s="7"/>
      <c r="F45" s="4"/>
      <c r="G45" s="8"/>
      <c r="H45" s="8"/>
      <c r="I45" s="9"/>
      <c r="J45" s="8">
        <f t="shared" si="3"/>
        <v>0</v>
      </c>
    </row>
    <row r="46" spans="1:10" ht="19.95" customHeight="1" x14ac:dyDescent="0.3">
      <c r="A46" s="10"/>
      <c r="B46" s="10"/>
      <c r="C46" s="10"/>
      <c r="D46" s="10"/>
      <c r="E46" s="11"/>
      <c r="F46" s="10"/>
      <c r="G46" s="12"/>
      <c r="H46" s="8">
        <f>SUM(H38:H45)</f>
        <v>8400</v>
      </c>
      <c r="I46" s="9">
        <f>SUM(I38:I45)</f>
        <v>2000</v>
      </c>
      <c r="J46" s="8">
        <f>SUM(J38:J45)</f>
        <v>6400</v>
      </c>
    </row>
    <row r="47" spans="1:10" ht="19.95" customHeight="1" x14ac:dyDescent="0.3">
      <c r="A47" s="16"/>
      <c r="B47" s="16"/>
      <c r="C47" s="16"/>
      <c r="D47" s="16"/>
      <c r="E47" s="17"/>
      <c r="F47" s="16"/>
      <c r="G47" s="16"/>
      <c r="H47" s="18"/>
      <c r="I47" s="19"/>
      <c r="J47" s="18"/>
    </row>
    <row r="48" spans="1:10" ht="30" customHeight="1" x14ac:dyDescent="0.3">
      <c r="A48" s="31" t="s">
        <v>16</v>
      </c>
      <c r="B48" s="31"/>
      <c r="C48" s="31"/>
      <c r="D48" s="31"/>
      <c r="E48" s="31"/>
      <c r="F48" s="31"/>
      <c r="G48" s="31"/>
      <c r="H48" s="31"/>
      <c r="I48" s="31"/>
      <c r="J48" s="31"/>
    </row>
    <row r="49" spans="1:10" ht="30" customHeight="1" x14ac:dyDescent="0.3">
      <c r="A49" s="4" t="s">
        <v>2</v>
      </c>
      <c r="B49" s="4" t="s">
        <v>3</v>
      </c>
      <c r="C49" s="5" t="s">
        <v>4</v>
      </c>
      <c r="D49" s="5" t="s">
        <v>5</v>
      </c>
      <c r="E49" s="4" t="s">
        <v>6</v>
      </c>
      <c r="F49" s="5" t="s">
        <v>18</v>
      </c>
      <c r="G49" s="5" t="s">
        <v>7</v>
      </c>
      <c r="H49" s="4" t="s">
        <v>8</v>
      </c>
      <c r="I49" s="4" t="s">
        <v>9</v>
      </c>
      <c r="J49" s="4" t="s">
        <v>10</v>
      </c>
    </row>
    <row r="50" spans="1:10" ht="19.95" customHeight="1" x14ac:dyDescent="0.3">
      <c r="A50" s="4"/>
      <c r="B50" s="4"/>
      <c r="C50" s="6"/>
      <c r="D50" s="6"/>
      <c r="E50" s="7"/>
      <c r="F50" s="4"/>
      <c r="G50" s="4"/>
      <c r="H50" s="8"/>
      <c r="I50" s="9"/>
      <c r="J50" s="8">
        <f t="shared" ref="J50:J55" si="4">H50-I50</f>
        <v>0</v>
      </c>
    </row>
    <row r="51" spans="1:10" ht="19.95" customHeight="1" x14ac:dyDescent="0.3">
      <c r="A51" s="4"/>
      <c r="B51" s="4"/>
      <c r="C51" s="6"/>
      <c r="D51" s="6"/>
      <c r="E51" s="7"/>
      <c r="F51" s="4"/>
      <c r="G51" s="4"/>
      <c r="H51" s="8"/>
      <c r="I51" s="9"/>
      <c r="J51" s="8">
        <f t="shared" si="4"/>
        <v>0</v>
      </c>
    </row>
    <row r="52" spans="1:10" ht="19.95" customHeight="1" x14ac:dyDescent="0.3">
      <c r="A52" s="4"/>
      <c r="B52" s="4"/>
      <c r="C52" s="6"/>
      <c r="D52" s="6"/>
      <c r="E52" s="7"/>
      <c r="F52" s="4"/>
      <c r="G52" s="4"/>
      <c r="H52" s="8"/>
      <c r="I52" s="9"/>
      <c r="J52" s="8">
        <f t="shared" si="4"/>
        <v>0</v>
      </c>
    </row>
    <row r="53" spans="1:10" ht="19.95" customHeight="1" x14ac:dyDescent="0.3">
      <c r="A53" s="4"/>
      <c r="B53" s="4"/>
      <c r="C53" s="6"/>
      <c r="D53" s="6"/>
      <c r="E53" s="7"/>
      <c r="F53" s="4"/>
      <c r="G53" s="8"/>
      <c r="H53" s="8"/>
      <c r="I53" s="9"/>
      <c r="J53" s="8">
        <f t="shared" si="4"/>
        <v>0</v>
      </c>
    </row>
    <row r="54" spans="1:10" ht="19.95" customHeight="1" x14ac:dyDescent="0.3">
      <c r="A54" s="4"/>
      <c r="B54" s="4"/>
      <c r="C54" s="6"/>
      <c r="D54" s="6"/>
      <c r="E54" s="7"/>
      <c r="F54" s="4"/>
      <c r="G54" s="4"/>
      <c r="H54" s="8"/>
      <c r="I54" s="9"/>
      <c r="J54" s="8">
        <f t="shared" si="4"/>
        <v>0</v>
      </c>
    </row>
    <row r="55" spans="1:10" ht="19.95" customHeight="1" x14ac:dyDescent="0.3">
      <c r="A55" s="4"/>
      <c r="B55" s="4"/>
      <c r="C55" s="6"/>
      <c r="D55" s="6"/>
      <c r="E55" s="7"/>
      <c r="F55" s="4"/>
      <c r="G55" s="4"/>
      <c r="H55" s="8"/>
      <c r="I55" s="9"/>
      <c r="J55" s="8">
        <f t="shared" si="4"/>
        <v>0</v>
      </c>
    </row>
    <row r="56" spans="1:10" ht="19.95" customHeight="1" x14ac:dyDescent="0.3">
      <c r="A56" s="10"/>
      <c r="B56" s="10"/>
      <c r="C56" s="10"/>
      <c r="D56" s="10"/>
      <c r="E56" s="11"/>
      <c r="F56" s="10"/>
      <c r="G56" s="12"/>
      <c r="H56" s="8">
        <f>SUM(H50:H55)</f>
        <v>0</v>
      </c>
      <c r="I56" s="9">
        <f>SUM(I50:I55)</f>
        <v>0</v>
      </c>
      <c r="J56" s="8">
        <f>SUM(J50:J55)</f>
        <v>0</v>
      </c>
    </row>
    <row r="57" spans="1:10" ht="19.95" customHeight="1" x14ac:dyDescent="0.3">
      <c r="A57" s="16"/>
      <c r="B57" s="16"/>
      <c r="C57" s="16"/>
      <c r="D57" s="16"/>
      <c r="E57" s="17"/>
      <c r="F57" s="16"/>
      <c r="G57" s="16"/>
      <c r="H57" s="18"/>
      <c r="I57" s="19"/>
      <c r="J57" s="18"/>
    </row>
    <row r="59" spans="1:10" ht="23.4" x14ac:dyDescent="0.3">
      <c r="A59" s="31" t="s">
        <v>11</v>
      </c>
      <c r="B59" s="31"/>
      <c r="C59" s="31"/>
      <c r="D59" s="31"/>
      <c r="E59" s="31"/>
      <c r="F59" s="31"/>
      <c r="G59" s="31"/>
      <c r="H59" s="31"/>
      <c r="I59" s="31"/>
      <c r="J59" s="31"/>
    </row>
  </sheetData>
  <mergeCells count="8">
    <mergeCell ref="A48:J48"/>
    <mergeCell ref="A59:J59"/>
    <mergeCell ref="I1:J1"/>
    <mergeCell ref="A2:J2"/>
    <mergeCell ref="A3:J3"/>
    <mergeCell ref="A13:J13"/>
    <mergeCell ref="A24:J24"/>
    <mergeCell ref="A36:J36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45" orientation="portrait" horizontalDpi="1200" verticalDpi="1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topLeftCell="A28" zoomScale="75" zoomScaleNormal="75" workbookViewId="0">
      <selection activeCell="E41" sqref="E41"/>
    </sheetView>
  </sheetViews>
  <sheetFormatPr defaultRowHeight="14.4" x14ac:dyDescent="0.3"/>
  <cols>
    <col min="1" max="1" width="15.6640625" customWidth="1"/>
    <col min="2" max="3" width="12.6640625" customWidth="1"/>
    <col min="4" max="4" width="15.6640625" customWidth="1"/>
    <col min="5" max="5" width="80.6640625" customWidth="1"/>
    <col min="6" max="6" width="22.77734375" style="15" bestFit="1" customWidth="1"/>
    <col min="7" max="7" width="12.33203125" customWidth="1"/>
    <col min="8" max="10" width="15.6640625" customWidth="1"/>
  </cols>
  <sheetData>
    <row r="1" spans="1:11" s="1" customFormat="1" ht="30" customHeight="1" x14ac:dyDescent="0.3">
      <c r="F1" s="2"/>
      <c r="G1" s="2"/>
      <c r="H1" s="3" t="s">
        <v>0</v>
      </c>
      <c r="I1" s="27">
        <v>45938</v>
      </c>
      <c r="J1" s="27"/>
    </row>
    <row r="2" spans="1:11" ht="40.049999999999997" customHeight="1" x14ac:dyDescent="0.3">
      <c r="A2" s="28" t="s">
        <v>36</v>
      </c>
      <c r="B2" s="29"/>
      <c r="C2" s="29"/>
      <c r="D2" s="29"/>
      <c r="E2" s="29"/>
      <c r="F2" s="29"/>
      <c r="G2" s="29"/>
      <c r="H2" s="29"/>
      <c r="I2" s="29"/>
      <c r="J2" s="30"/>
    </row>
    <row r="3" spans="1:11" ht="30" customHeight="1" x14ac:dyDescent="0.3">
      <c r="A3" s="31" t="s">
        <v>12</v>
      </c>
      <c r="B3" s="31"/>
      <c r="C3" s="31"/>
      <c r="D3" s="31"/>
      <c r="E3" s="31"/>
      <c r="F3" s="31"/>
      <c r="G3" s="31"/>
      <c r="H3" s="31"/>
      <c r="I3" s="31"/>
      <c r="J3" s="31"/>
    </row>
    <row r="4" spans="1:11" ht="30" customHeight="1" x14ac:dyDescent="0.3">
      <c r="A4" s="4" t="s">
        <v>2</v>
      </c>
      <c r="B4" s="4" t="s">
        <v>3</v>
      </c>
      <c r="C4" s="5" t="s">
        <v>4</v>
      </c>
      <c r="D4" s="5" t="s">
        <v>5</v>
      </c>
      <c r="E4" s="4" t="s">
        <v>6</v>
      </c>
      <c r="F4" s="5" t="s">
        <v>17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1" ht="19.95" customHeight="1" x14ac:dyDescent="0.3">
      <c r="A5" s="4">
        <v>100925</v>
      </c>
      <c r="B5" s="4">
        <v>304</v>
      </c>
      <c r="C5" s="6">
        <v>0.9</v>
      </c>
      <c r="D5" s="6" t="s">
        <v>22</v>
      </c>
      <c r="E5" s="7" t="s">
        <v>54</v>
      </c>
      <c r="F5" s="4"/>
      <c r="G5" s="4" t="s">
        <v>22</v>
      </c>
      <c r="H5" s="8">
        <v>600</v>
      </c>
      <c r="I5" s="9">
        <f>225+460</f>
        <v>685</v>
      </c>
      <c r="J5" s="22">
        <f t="shared" ref="J5:J10" si="0">H5-I5</f>
        <v>-85</v>
      </c>
      <c r="K5" s="20"/>
    </row>
    <row r="6" spans="1:11" ht="19.95" customHeight="1" x14ac:dyDescent="0.3">
      <c r="A6" s="4" t="s">
        <v>55</v>
      </c>
      <c r="B6" s="4">
        <v>304</v>
      </c>
      <c r="C6" s="6">
        <v>0.9</v>
      </c>
      <c r="D6" s="6" t="s">
        <v>26</v>
      </c>
      <c r="E6" s="7" t="s">
        <v>56</v>
      </c>
      <c r="F6" s="4"/>
      <c r="G6" s="4">
        <v>430</v>
      </c>
      <c r="H6" s="8">
        <v>1200</v>
      </c>
      <c r="I6" s="9">
        <v>1358</v>
      </c>
      <c r="J6" s="8">
        <f t="shared" si="0"/>
        <v>-158</v>
      </c>
    </row>
    <row r="7" spans="1:11" ht="19.95" customHeight="1" x14ac:dyDescent="0.3">
      <c r="A7" s="4" t="s">
        <v>55</v>
      </c>
      <c r="B7" s="4">
        <v>304</v>
      </c>
      <c r="C7" s="6">
        <v>0.9</v>
      </c>
      <c r="D7" s="6" t="s">
        <v>26</v>
      </c>
      <c r="E7" s="7" t="s">
        <v>57</v>
      </c>
      <c r="F7" s="4"/>
      <c r="G7" s="4" t="s">
        <v>22</v>
      </c>
      <c r="H7" s="8">
        <v>1200</v>
      </c>
      <c r="I7" s="9">
        <v>100</v>
      </c>
      <c r="J7" s="8">
        <f t="shared" si="0"/>
        <v>1100</v>
      </c>
    </row>
    <row r="8" spans="1:11" ht="19.95" customHeight="1" x14ac:dyDescent="0.3">
      <c r="A8" s="4"/>
      <c r="B8" s="4"/>
      <c r="C8" s="6"/>
      <c r="D8" s="6"/>
      <c r="E8" s="7"/>
      <c r="F8" s="4"/>
      <c r="G8" s="4"/>
      <c r="H8" s="8"/>
      <c r="I8" s="9"/>
      <c r="J8" s="8">
        <f t="shared" si="0"/>
        <v>0</v>
      </c>
    </row>
    <row r="9" spans="1:11" ht="19.95" customHeight="1" x14ac:dyDescent="0.3">
      <c r="A9" s="4"/>
      <c r="B9" s="4"/>
      <c r="C9" s="6"/>
      <c r="D9" s="6"/>
      <c r="E9" s="7"/>
      <c r="F9" s="4"/>
      <c r="G9" s="4"/>
      <c r="H9" s="8"/>
      <c r="I9" s="9"/>
      <c r="J9" s="8">
        <f t="shared" si="0"/>
        <v>0</v>
      </c>
    </row>
    <row r="10" spans="1:11" ht="19.95" customHeight="1" x14ac:dyDescent="0.3">
      <c r="A10" s="4"/>
      <c r="B10" s="4"/>
      <c r="C10" s="6"/>
      <c r="D10" s="6"/>
      <c r="E10" s="7"/>
      <c r="F10" s="4"/>
      <c r="G10" s="4"/>
      <c r="H10" s="8"/>
      <c r="I10" s="9"/>
      <c r="J10" s="8">
        <f t="shared" si="0"/>
        <v>0</v>
      </c>
    </row>
    <row r="11" spans="1:11" ht="19.95" customHeight="1" x14ac:dyDescent="0.3">
      <c r="A11" s="10"/>
      <c r="B11" s="10"/>
      <c r="C11" s="10"/>
      <c r="D11" s="10"/>
      <c r="E11" s="11"/>
      <c r="F11" s="10"/>
      <c r="G11" s="12"/>
      <c r="H11" s="13">
        <f>SUM(H5:H10)</f>
        <v>3000</v>
      </c>
      <c r="I11" s="14">
        <f>SUM(I5:I10)</f>
        <v>2143</v>
      </c>
      <c r="J11" s="8">
        <f>SUM(J5:J10)</f>
        <v>857</v>
      </c>
    </row>
    <row r="13" spans="1:11" ht="30" customHeight="1" x14ac:dyDescent="0.3">
      <c r="A13" s="31" t="s">
        <v>15</v>
      </c>
      <c r="B13" s="31"/>
      <c r="C13" s="31"/>
      <c r="D13" s="31"/>
      <c r="E13" s="31"/>
      <c r="F13" s="31"/>
      <c r="G13" s="31"/>
      <c r="H13" s="31"/>
      <c r="I13" s="31"/>
      <c r="J13" s="31"/>
    </row>
    <row r="14" spans="1:11" ht="30" customHeight="1" x14ac:dyDescent="0.3">
      <c r="A14" s="4" t="s">
        <v>2</v>
      </c>
      <c r="B14" s="4" t="s">
        <v>3</v>
      </c>
      <c r="C14" s="5" t="s">
        <v>4</v>
      </c>
      <c r="D14" s="5" t="s">
        <v>5</v>
      </c>
      <c r="E14" s="4" t="s">
        <v>6</v>
      </c>
      <c r="F14" s="5" t="s">
        <v>17</v>
      </c>
      <c r="G14" s="5" t="s">
        <v>7</v>
      </c>
      <c r="H14" s="4" t="s">
        <v>8</v>
      </c>
      <c r="I14" s="4" t="s">
        <v>9</v>
      </c>
      <c r="J14" s="4" t="s">
        <v>10</v>
      </c>
    </row>
    <row r="15" spans="1:11" ht="19.95" customHeight="1" x14ac:dyDescent="0.3">
      <c r="A15" s="4">
        <v>100925</v>
      </c>
      <c r="B15" s="4">
        <v>304</v>
      </c>
      <c r="C15" s="6">
        <v>0.9</v>
      </c>
      <c r="D15" s="6" t="s">
        <v>22</v>
      </c>
      <c r="E15" s="7" t="s">
        <v>53</v>
      </c>
      <c r="F15" s="4"/>
      <c r="G15" s="4" t="s">
        <v>22</v>
      </c>
      <c r="H15" s="8">
        <v>1500</v>
      </c>
      <c r="I15" s="9">
        <f>245+1255</f>
        <v>1500</v>
      </c>
      <c r="J15" s="8">
        <f t="shared" ref="J15:J21" si="1">H15-I15</f>
        <v>0</v>
      </c>
    </row>
    <row r="16" spans="1:11" ht="19.95" customHeight="1" x14ac:dyDescent="0.3">
      <c r="A16" s="4">
        <v>100925</v>
      </c>
      <c r="B16" s="4">
        <v>304</v>
      </c>
      <c r="C16" s="6">
        <v>0.9</v>
      </c>
      <c r="D16" s="6" t="s">
        <v>22</v>
      </c>
      <c r="E16" s="7" t="s">
        <v>54</v>
      </c>
      <c r="F16" s="4"/>
      <c r="G16" s="4" t="s">
        <v>22</v>
      </c>
      <c r="H16" s="8">
        <v>600</v>
      </c>
      <c r="I16" s="9">
        <v>685</v>
      </c>
      <c r="J16" s="8">
        <f t="shared" si="1"/>
        <v>-85</v>
      </c>
    </row>
    <row r="17" spans="1:10" ht="19.95" customHeight="1" x14ac:dyDescent="0.3">
      <c r="A17" s="4" t="s">
        <v>55</v>
      </c>
      <c r="B17" s="4">
        <v>304</v>
      </c>
      <c r="C17" s="6">
        <v>0.9</v>
      </c>
      <c r="D17" s="6" t="s">
        <v>26</v>
      </c>
      <c r="E17" s="7" t="s">
        <v>56</v>
      </c>
      <c r="F17" s="4"/>
      <c r="G17" s="4">
        <v>430</v>
      </c>
      <c r="H17" s="8">
        <v>1200</v>
      </c>
      <c r="I17" s="9">
        <v>125</v>
      </c>
      <c r="J17" s="8">
        <f t="shared" si="1"/>
        <v>1075</v>
      </c>
    </row>
    <row r="18" spans="1:10" ht="19.95" customHeight="1" x14ac:dyDescent="0.3">
      <c r="A18" s="4" t="s">
        <v>55</v>
      </c>
      <c r="B18" s="4">
        <v>304</v>
      </c>
      <c r="C18" s="6">
        <v>0.9</v>
      </c>
      <c r="D18" s="6" t="s">
        <v>26</v>
      </c>
      <c r="E18" s="7" t="s">
        <v>57</v>
      </c>
      <c r="F18" s="4"/>
      <c r="G18" s="4" t="s">
        <v>22</v>
      </c>
      <c r="H18" s="8">
        <v>1200</v>
      </c>
      <c r="I18" s="9"/>
      <c r="J18" s="8">
        <f t="shared" si="1"/>
        <v>1200</v>
      </c>
    </row>
    <row r="19" spans="1:10" ht="19.95" customHeight="1" x14ac:dyDescent="0.3">
      <c r="A19" s="4"/>
      <c r="B19" s="4"/>
      <c r="C19" s="6"/>
      <c r="D19" s="6"/>
      <c r="E19" s="7"/>
      <c r="F19" s="4"/>
      <c r="G19" s="4"/>
      <c r="H19" s="8"/>
      <c r="I19" s="9"/>
      <c r="J19" s="8">
        <f t="shared" si="1"/>
        <v>0</v>
      </c>
    </row>
    <row r="20" spans="1:10" ht="19.95" customHeight="1" x14ac:dyDescent="0.3">
      <c r="A20" s="4"/>
      <c r="B20" s="4"/>
      <c r="C20" s="6"/>
      <c r="D20" s="6"/>
      <c r="E20" s="7"/>
      <c r="F20" s="4"/>
      <c r="G20" s="4"/>
      <c r="H20" s="8"/>
      <c r="I20" s="9"/>
      <c r="J20" s="8">
        <f t="shared" si="1"/>
        <v>0</v>
      </c>
    </row>
    <row r="21" spans="1:10" ht="19.95" customHeight="1" x14ac:dyDescent="0.3">
      <c r="A21" s="4"/>
      <c r="B21" s="4"/>
      <c r="C21" s="6"/>
      <c r="D21" s="6"/>
      <c r="E21" s="7"/>
      <c r="F21" s="4"/>
      <c r="G21" s="8"/>
      <c r="H21" s="8"/>
      <c r="I21" s="9"/>
      <c r="J21" s="8">
        <f t="shared" si="1"/>
        <v>0</v>
      </c>
    </row>
    <row r="22" spans="1:10" ht="19.95" customHeight="1" x14ac:dyDescent="0.3">
      <c r="A22" s="10"/>
      <c r="B22" s="10"/>
      <c r="C22" s="10"/>
      <c r="D22" s="10"/>
      <c r="E22" s="11"/>
      <c r="F22" s="10"/>
      <c r="G22" s="12"/>
      <c r="H22" s="8">
        <f>SUM(H15:H21)</f>
        <v>4500</v>
      </c>
      <c r="I22" s="9">
        <f>SUM(I15:I21)</f>
        <v>2310</v>
      </c>
      <c r="J22" s="8">
        <f>SUM(J15:J21)</f>
        <v>2190</v>
      </c>
    </row>
    <row r="23" spans="1:10" ht="19.95" customHeight="1" x14ac:dyDescent="0.3">
      <c r="A23" s="16"/>
      <c r="B23" s="16"/>
      <c r="C23" s="16"/>
      <c r="D23" s="16"/>
      <c r="E23" s="17"/>
      <c r="F23" s="16"/>
      <c r="G23" s="16"/>
      <c r="H23" s="18"/>
      <c r="I23" s="19"/>
      <c r="J23" s="18"/>
    </row>
    <row r="24" spans="1:10" ht="30" customHeight="1" x14ac:dyDescent="0.3">
      <c r="A24" s="31" t="s">
        <v>13</v>
      </c>
      <c r="B24" s="31"/>
      <c r="C24" s="31"/>
      <c r="D24" s="31"/>
      <c r="E24" s="31"/>
      <c r="F24" s="31"/>
      <c r="G24" s="31"/>
      <c r="H24" s="31"/>
      <c r="I24" s="31"/>
      <c r="J24" s="31"/>
    </row>
    <row r="25" spans="1:10" ht="30" customHeight="1" x14ac:dyDescent="0.3">
      <c r="A25" s="4" t="s">
        <v>2</v>
      </c>
      <c r="B25" s="4" t="s">
        <v>3</v>
      </c>
      <c r="C25" s="5" t="s">
        <v>4</v>
      </c>
      <c r="D25" s="5" t="s">
        <v>5</v>
      </c>
      <c r="E25" s="4" t="s">
        <v>6</v>
      </c>
      <c r="F25" s="5" t="s">
        <v>17</v>
      </c>
      <c r="G25" s="5" t="s">
        <v>7</v>
      </c>
      <c r="H25" s="4" t="s">
        <v>8</v>
      </c>
      <c r="I25" s="4" t="s">
        <v>9</v>
      </c>
      <c r="J25" s="4" t="s">
        <v>10</v>
      </c>
    </row>
    <row r="26" spans="1:10" ht="19.95" customHeight="1" x14ac:dyDescent="0.3">
      <c r="A26" s="4">
        <v>100925</v>
      </c>
      <c r="B26" s="4">
        <v>304</v>
      </c>
      <c r="C26" s="6">
        <v>0.9</v>
      </c>
      <c r="D26" s="6" t="s">
        <v>26</v>
      </c>
      <c r="E26" s="7" t="s">
        <v>49</v>
      </c>
      <c r="F26" s="4"/>
      <c r="G26" s="8">
        <v>430</v>
      </c>
      <c r="H26" s="8">
        <v>1500</v>
      </c>
      <c r="I26" s="9">
        <f>300+1500</f>
        <v>1800</v>
      </c>
      <c r="J26" s="8">
        <f t="shared" ref="J26:J33" si="2">H26-I26</f>
        <v>-300</v>
      </c>
    </row>
    <row r="27" spans="1:10" ht="19.95" customHeight="1" x14ac:dyDescent="0.3">
      <c r="A27" s="4">
        <v>100925</v>
      </c>
      <c r="B27" s="4">
        <v>304</v>
      </c>
      <c r="C27" s="6">
        <v>0.9</v>
      </c>
      <c r="D27" s="6" t="s">
        <v>26</v>
      </c>
      <c r="E27" s="7" t="s">
        <v>50</v>
      </c>
      <c r="F27" s="4"/>
      <c r="G27" s="4">
        <v>430</v>
      </c>
      <c r="H27" s="8">
        <v>600</v>
      </c>
      <c r="I27" s="9">
        <v>600</v>
      </c>
      <c r="J27" s="8">
        <f t="shared" si="2"/>
        <v>0</v>
      </c>
    </row>
    <row r="28" spans="1:10" ht="19.95" customHeight="1" x14ac:dyDescent="0.3">
      <c r="A28" s="4">
        <v>100925</v>
      </c>
      <c r="B28" s="4">
        <v>304</v>
      </c>
      <c r="C28" s="6">
        <v>0.9</v>
      </c>
      <c r="D28" s="6" t="s">
        <v>22</v>
      </c>
      <c r="E28" s="7" t="s">
        <v>53</v>
      </c>
      <c r="F28" s="4"/>
      <c r="G28" s="4" t="s">
        <v>22</v>
      </c>
      <c r="H28" s="8">
        <v>1500</v>
      </c>
      <c r="I28" s="9"/>
      <c r="J28" s="8">
        <f t="shared" si="2"/>
        <v>1500</v>
      </c>
    </row>
    <row r="29" spans="1:10" ht="19.95" customHeight="1" x14ac:dyDescent="0.3">
      <c r="A29" s="4">
        <v>100925</v>
      </c>
      <c r="B29" s="4">
        <v>304</v>
      </c>
      <c r="C29" s="6">
        <v>0.9</v>
      </c>
      <c r="D29" s="6" t="s">
        <v>22</v>
      </c>
      <c r="E29" s="7" t="s">
        <v>54</v>
      </c>
      <c r="F29" s="4"/>
      <c r="G29" s="4" t="s">
        <v>22</v>
      </c>
      <c r="H29" s="8">
        <v>600</v>
      </c>
      <c r="I29" s="9"/>
      <c r="J29" s="8">
        <f t="shared" si="2"/>
        <v>600</v>
      </c>
    </row>
    <row r="30" spans="1:10" ht="19.95" customHeight="1" x14ac:dyDescent="0.3">
      <c r="A30" s="4" t="s">
        <v>55</v>
      </c>
      <c r="B30" s="4">
        <v>304</v>
      </c>
      <c r="C30" s="6">
        <v>0.9</v>
      </c>
      <c r="D30" s="6" t="s">
        <v>26</v>
      </c>
      <c r="E30" s="7" t="s">
        <v>56</v>
      </c>
      <c r="F30" s="4"/>
      <c r="G30" s="4">
        <v>430</v>
      </c>
      <c r="H30" s="8">
        <v>1200</v>
      </c>
      <c r="I30" s="9"/>
      <c r="J30" s="8">
        <f t="shared" si="2"/>
        <v>1200</v>
      </c>
    </row>
    <row r="31" spans="1:10" ht="19.95" customHeight="1" x14ac:dyDescent="0.3">
      <c r="A31" s="4" t="s">
        <v>55</v>
      </c>
      <c r="B31" s="4">
        <v>304</v>
      </c>
      <c r="C31" s="6">
        <v>0.9</v>
      </c>
      <c r="D31" s="6" t="s">
        <v>26</v>
      </c>
      <c r="E31" s="7" t="s">
        <v>57</v>
      </c>
      <c r="F31" s="4"/>
      <c r="G31" s="4" t="s">
        <v>22</v>
      </c>
      <c r="H31" s="8">
        <v>1200</v>
      </c>
      <c r="I31" s="9"/>
      <c r="J31" s="8">
        <f t="shared" si="2"/>
        <v>1200</v>
      </c>
    </row>
    <row r="32" spans="1:10" ht="19.95" customHeight="1" x14ac:dyDescent="0.3">
      <c r="A32" s="4"/>
      <c r="B32" s="4"/>
      <c r="C32" s="6"/>
      <c r="D32" s="6"/>
      <c r="E32" s="7"/>
      <c r="F32" s="4"/>
      <c r="G32" s="4"/>
      <c r="H32" s="8"/>
      <c r="I32" s="9"/>
      <c r="J32" s="8">
        <f t="shared" si="2"/>
        <v>0</v>
      </c>
    </row>
    <row r="33" spans="1:10" ht="19.95" customHeight="1" x14ac:dyDescent="0.3">
      <c r="A33" s="4"/>
      <c r="B33" s="4"/>
      <c r="C33" s="6"/>
      <c r="D33" s="6"/>
      <c r="E33" s="7"/>
      <c r="F33" s="4"/>
      <c r="G33" s="8"/>
      <c r="H33" s="8"/>
      <c r="I33" s="9"/>
      <c r="J33" s="8">
        <f t="shared" si="2"/>
        <v>0</v>
      </c>
    </row>
    <row r="34" spans="1:10" ht="19.95" customHeight="1" x14ac:dyDescent="0.3">
      <c r="A34" s="10"/>
      <c r="B34" s="10"/>
      <c r="C34" s="10"/>
      <c r="D34" s="10"/>
      <c r="E34" s="11"/>
      <c r="F34" s="10"/>
      <c r="G34" s="12"/>
      <c r="H34" s="8">
        <f>SUM(H26:H33)</f>
        <v>6600</v>
      </c>
      <c r="I34" s="9">
        <f>SUM(I26:I33)</f>
        <v>2400</v>
      </c>
      <c r="J34" s="8">
        <f>SUM(J26:J33)</f>
        <v>4200</v>
      </c>
    </row>
    <row r="35" spans="1:10" ht="19.95" customHeight="1" x14ac:dyDescent="0.3">
      <c r="A35" s="16"/>
      <c r="B35" s="16"/>
      <c r="C35" s="16"/>
      <c r="D35" s="16"/>
      <c r="E35" s="17"/>
      <c r="F35" s="16"/>
      <c r="G35" s="16"/>
      <c r="H35" s="18"/>
      <c r="I35" s="19"/>
      <c r="J35" s="18"/>
    </row>
    <row r="36" spans="1:10" ht="30" customHeight="1" x14ac:dyDescent="0.3">
      <c r="A36" s="31" t="s">
        <v>14</v>
      </c>
      <c r="B36" s="31"/>
      <c r="C36" s="31"/>
      <c r="D36" s="31"/>
      <c r="E36" s="31"/>
      <c r="F36" s="31"/>
      <c r="G36" s="31"/>
      <c r="H36" s="31"/>
      <c r="I36" s="31"/>
      <c r="J36" s="31"/>
    </row>
    <row r="37" spans="1:10" ht="30" customHeight="1" x14ac:dyDescent="0.3">
      <c r="A37" s="4" t="s">
        <v>2</v>
      </c>
      <c r="B37" s="4" t="s">
        <v>3</v>
      </c>
      <c r="C37" s="5" t="s">
        <v>4</v>
      </c>
      <c r="D37" s="5" t="s">
        <v>5</v>
      </c>
      <c r="E37" s="4" t="s">
        <v>6</v>
      </c>
      <c r="F37" s="5" t="s">
        <v>17</v>
      </c>
      <c r="G37" s="5" t="s">
        <v>7</v>
      </c>
      <c r="H37" s="4" t="s">
        <v>8</v>
      </c>
      <c r="I37" s="4" t="s">
        <v>9</v>
      </c>
      <c r="J37" s="4" t="s">
        <v>10</v>
      </c>
    </row>
    <row r="38" spans="1:10" ht="19.95" customHeight="1" x14ac:dyDescent="0.3">
      <c r="A38" s="4">
        <v>100925</v>
      </c>
      <c r="B38" s="4">
        <v>304</v>
      </c>
      <c r="C38" s="6">
        <v>0.9</v>
      </c>
      <c r="D38" s="6" t="s">
        <v>26</v>
      </c>
      <c r="E38" s="7" t="s">
        <v>42</v>
      </c>
      <c r="F38" s="4" t="s">
        <v>43</v>
      </c>
      <c r="G38" s="8">
        <v>430</v>
      </c>
      <c r="H38" s="8">
        <v>1200</v>
      </c>
      <c r="I38" s="9">
        <f>700+565</f>
        <v>1265</v>
      </c>
      <c r="J38" s="8">
        <f t="shared" ref="J38:J47" si="3">H38-I38</f>
        <v>-65</v>
      </c>
    </row>
    <row r="39" spans="1:10" ht="19.95" customHeight="1" x14ac:dyDescent="0.3">
      <c r="A39" s="4"/>
      <c r="B39" s="4"/>
      <c r="C39" s="6"/>
      <c r="D39" s="6"/>
      <c r="E39" s="7"/>
      <c r="F39" s="4"/>
      <c r="G39" s="8"/>
      <c r="H39" s="8"/>
      <c r="I39" s="9"/>
      <c r="J39" s="8">
        <f t="shared" si="3"/>
        <v>0</v>
      </c>
    </row>
    <row r="40" spans="1:10" ht="19.95" customHeight="1" x14ac:dyDescent="0.3">
      <c r="A40" s="4">
        <v>100925</v>
      </c>
      <c r="B40" s="4">
        <v>304</v>
      </c>
      <c r="C40" s="6">
        <v>0.9</v>
      </c>
      <c r="D40" s="6" t="s">
        <v>26</v>
      </c>
      <c r="E40" s="7" t="s">
        <v>49</v>
      </c>
      <c r="F40" s="4"/>
      <c r="G40" s="8">
        <v>430</v>
      </c>
      <c r="H40" s="8">
        <v>1500</v>
      </c>
      <c r="I40" s="9">
        <v>1435</v>
      </c>
      <c r="J40" s="8">
        <f t="shared" si="3"/>
        <v>65</v>
      </c>
    </row>
    <row r="41" spans="1:10" ht="19.95" customHeight="1" x14ac:dyDescent="0.3">
      <c r="A41" s="4">
        <v>100925</v>
      </c>
      <c r="B41" s="4">
        <v>304</v>
      </c>
      <c r="C41" s="6">
        <v>0.9</v>
      </c>
      <c r="D41" s="6" t="s">
        <v>26</v>
      </c>
      <c r="E41" s="7" t="s">
        <v>50</v>
      </c>
      <c r="F41" s="4"/>
      <c r="G41" s="8">
        <v>430</v>
      </c>
      <c r="H41" s="8">
        <v>600</v>
      </c>
      <c r="I41" s="9"/>
      <c r="J41" s="8">
        <f t="shared" si="3"/>
        <v>600</v>
      </c>
    </row>
    <row r="42" spans="1:10" ht="19.95" customHeight="1" x14ac:dyDescent="0.3">
      <c r="A42" s="4">
        <v>100925</v>
      </c>
      <c r="B42" s="4">
        <v>304</v>
      </c>
      <c r="C42" s="6">
        <v>0.9</v>
      </c>
      <c r="D42" s="6" t="s">
        <v>22</v>
      </c>
      <c r="E42" s="7" t="s">
        <v>53</v>
      </c>
      <c r="F42" s="4"/>
      <c r="G42" s="4" t="s">
        <v>22</v>
      </c>
      <c r="H42" s="8">
        <v>1500</v>
      </c>
      <c r="I42" s="9"/>
      <c r="J42" s="8">
        <f t="shared" si="3"/>
        <v>1500</v>
      </c>
    </row>
    <row r="43" spans="1:10" ht="19.95" customHeight="1" x14ac:dyDescent="0.3">
      <c r="A43" s="4">
        <v>100925</v>
      </c>
      <c r="B43" s="4">
        <v>304</v>
      </c>
      <c r="C43" s="6">
        <v>0.9</v>
      </c>
      <c r="D43" s="6" t="s">
        <v>22</v>
      </c>
      <c r="E43" s="7" t="s">
        <v>54</v>
      </c>
      <c r="F43" s="4"/>
      <c r="G43" s="4" t="s">
        <v>22</v>
      </c>
      <c r="H43" s="8">
        <v>600</v>
      </c>
      <c r="I43" s="9"/>
      <c r="J43" s="8">
        <f t="shared" si="3"/>
        <v>600</v>
      </c>
    </row>
    <row r="44" spans="1:10" ht="19.95" customHeight="1" x14ac:dyDescent="0.3">
      <c r="A44" s="4" t="s">
        <v>55</v>
      </c>
      <c r="B44" s="4">
        <v>304</v>
      </c>
      <c r="C44" s="6">
        <v>0.9</v>
      </c>
      <c r="D44" s="6" t="s">
        <v>26</v>
      </c>
      <c r="E44" s="7" t="s">
        <v>56</v>
      </c>
      <c r="F44" s="4"/>
      <c r="G44" s="4">
        <v>430</v>
      </c>
      <c r="H44" s="8">
        <v>1200</v>
      </c>
      <c r="I44" s="9"/>
      <c r="J44" s="8">
        <f t="shared" si="3"/>
        <v>1200</v>
      </c>
    </row>
    <row r="45" spans="1:10" ht="19.95" customHeight="1" x14ac:dyDescent="0.3">
      <c r="A45" s="4" t="s">
        <v>55</v>
      </c>
      <c r="B45" s="4">
        <v>304</v>
      </c>
      <c r="C45" s="6">
        <v>0.9</v>
      </c>
      <c r="D45" s="6" t="s">
        <v>26</v>
      </c>
      <c r="E45" s="7" t="s">
        <v>57</v>
      </c>
      <c r="F45" s="4"/>
      <c r="G45" s="4" t="s">
        <v>22</v>
      </c>
      <c r="H45" s="8">
        <v>1200</v>
      </c>
      <c r="I45" s="9"/>
      <c r="J45" s="8">
        <f t="shared" si="3"/>
        <v>1200</v>
      </c>
    </row>
    <row r="46" spans="1:10" ht="19.95" customHeight="1" x14ac:dyDescent="0.3">
      <c r="A46" s="4"/>
      <c r="B46" s="4"/>
      <c r="C46" s="6"/>
      <c r="D46" s="6"/>
      <c r="E46" s="7"/>
      <c r="F46" s="4"/>
      <c r="G46" s="4"/>
      <c r="H46" s="8"/>
      <c r="I46" s="9"/>
      <c r="J46" s="8">
        <f t="shared" si="3"/>
        <v>0</v>
      </c>
    </row>
    <row r="47" spans="1:10" ht="19.95" customHeight="1" x14ac:dyDescent="0.3">
      <c r="A47" s="4"/>
      <c r="B47" s="4"/>
      <c r="C47" s="6"/>
      <c r="D47" s="6"/>
      <c r="E47" s="7"/>
      <c r="F47" s="4"/>
      <c r="G47" s="8"/>
      <c r="H47" s="8"/>
      <c r="I47" s="9"/>
      <c r="J47" s="8">
        <f t="shared" si="3"/>
        <v>0</v>
      </c>
    </row>
    <row r="48" spans="1:10" ht="19.95" customHeight="1" x14ac:dyDescent="0.3">
      <c r="A48" s="10"/>
      <c r="B48" s="10"/>
      <c r="C48" s="10"/>
      <c r="D48" s="10"/>
      <c r="E48" s="11"/>
      <c r="F48" s="10"/>
      <c r="G48" s="12"/>
      <c r="H48" s="8">
        <f>SUM(H38:H47)</f>
        <v>7800</v>
      </c>
      <c r="I48" s="9">
        <f>SUM(I38:I47)</f>
        <v>2700</v>
      </c>
      <c r="J48" s="8">
        <f>SUM(J38:J47)</f>
        <v>5100</v>
      </c>
    </row>
    <row r="49" spans="1:10" ht="19.95" customHeight="1" x14ac:dyDescent="0.3">
      <c r="A49" s="16"/>
      <c r="B49" s="16"/>
      <c r="C49" s="16"/>
      <c r="D49" s="16"/>
      <c r="E49" s="17"/>
      <c r="F49" s="16"/>
      <c r="G49" s="16"/>
      <c r="H49" s="18"/>
      <c r="I49" s="19"/>
      <c r="J49" s="18"/>
    </row>
    <row r="50" spans="1:10" ht="30" customHeight="1" x14ac:dyDescent="0.3">
      <c r="A50" s="31" t="s">
        <v>16</v>
      </c>
      <c r="B50" s="31"/>
      <c r="C50" s="31"/>
      <c r="D50" s="31"/>
      <c r="E50" s="31"/>
      <c r="F50" s="31"/>
      <c r="G50" s="31"/>
      <c r="H50" s="31"/>
      <c r="I50" s="31"/>
      <c r="J50" s="31"/>
    </row>
    <row r="51" spans="1:10" ht="30" customHeight="1" x14ac:dyDescent="0.3">
      <c r="A51" s="4" t="s">
        <v>2</v>
      </c>
      <c r="B51" s="4" t="s">
        <v>3</v>
      </c>
      <c r="C51" s="5" t="s">
        <v>4</v>
      </c>
      <c r="D51" s="5" t="s">
        <v>5</v>
      </c>
      <c r="E51" s="4" t="s">
        <v>6</v>
      </c>
      <c r="F51" s="5" t="s">
        <v>18</v>
      </c>
      <c r="G51" s="5" t="s">
        <v>7</v>
      </c>
      <c r="H51" s="4" t="s">
        <v>8</v>
      </c>
      <c r="I51" s="4" t="s">
        <v>9</v>
      </c>
      <c r="J51" s="4" t="s">
        <v>10</v>
      </c>
    </row>
    <row r="52" spans="1:10" ht="19.95" customHeight="1" x14ac:dyDescent="0.3">
      <c r="A52" s="4"/>
      <c r="B52" s="4"/>
      <c r="C52" s="6"/>
      <c r="D52" s="6"/>
      <c r="E52" s="7"/>
      <c r="F52" s="4"/>
      <c r="G52" s="4"/>
      <c r="H52" s="8"/>
      <c r="I52" s="9"/>
      <c r="J52" s="8">
        <f t="shared" ref="J52:J57" si="4">H52-I52</f>
        <v>0</v>
      </c>
    </row>
    <row r="53" spans="1:10" ht="19.95" customHeight="1" x14ac:dyDescent="0.3">
      <c r="A53" s="4"/>
      <c r="B53" s="4"/>
      <c r="C53" s="6"/>
      <c r="D53" s="6"/>
      <c r="E53" s="7"/>
      <c r="F53" s="4"/>
      <c r="G53" s="4"/>
      <c r="H53" s="8"/>
      <c r="I53" s="9"/>
      <c r="J53" s="8">
        <f t="shared" si="4"/>
        <v>0</v>
      </c>
    </row>
    <row r="54" spans="1:10" ht="19.95" customHeight="1" x14ac:dyDescent="0.3">
      <c r="A54" s="4"/>
      <c r="B54" s="4"/>
      <c r="C54" s="6"/>
      <c r="D54" s="6"/>
      <c r="E54" s="7"/>
      <c r="F54" s="4"/>
      <c r="G54" s="4"/>
      <c r="H54" s="8"/>
      <c r="I54" s="9"/>
      <c r="J54" s="8">
        <f t="shared" si="4"/>
        <v>0</v>
      </c>
    </row>
    <row r="55" spans="1:10" ht="19.95" customHeight="1" x14ac:dyDescent="0.3">
      <c r="A55" s="4"/>
      <c r="B55" s="4"/>
      <c r="C55" s="6"/>
      <c r="D55" s="6"/>
      <c r="E55" s="7"/>
      <c r="F55" s="4"/>
      <c r="G55" s="8"/>
      <c r="H55" s="8"/>
      <c r="I55" s="9"/>
      <c r="J55" s="8">
        <f t="shared" si="4"/>
        <v>0</v>
      </c>
    </row>
    <row r="56" spans="1:10" ht="19.95" customHeight="1" x14ac:dyDescent="0.3">
      <c r="A56" s="4"/>
      <c r="B56" s="4"/>
      <c r="C56" s="6"/>
      <c r="D56" s="6"/>
      <c r="E56" s="7"/>
      <c r="F56" s="4"/>
      <c r="G56" s="4"/>
      <c r="H56" s="8"/>
      <c r="I56" s="9"/>
      <c r="J56" s="8">
        <f t="shared" si="4"/>
        <v>0</v>
      </c>
    </row>
    <row r="57" spans="1:10" ht="19.95" customHeight="1" x14ac:dyDescent="0.3">
      <c r="A57" s="4"/>
      <c r="B57" s="4"/>
      <c r="C57" s="6"/>
      <c r="D57" s="6"/>
      <c r="E57" s="7"/>
      <c r="F57" s="4"/>
      <c r="G57" s="4"/>
      <c r="H57" s="8"/>
      <c r="I57" s="9"/>
      <c r="J57" s="8">
        <f t="shared" si="4"/>
        <v>0</v>
      </c>
    </row>
    <row r="58" spans="1:10" ht="19.95" customHeight="1" x14ac:dyDescent="0.3">
      <c r="A58" s="10"/>
      <c r="B58" s="10"/>
      <c r="C58" s="10"/>
      <c r="D58" s="10"/>
      <c r="E58" s="11"/>
      <c r="F58" s="10"/>
      <c r="G58" s="12"/>
      <c r="H58" s="8">
        <f>SUM(H52:H57)</f>
        <v>0</v>
      </c>
      <c r="I58" s="9">
        <f>SUM(I52:I57)</f>
        <v>0</v>
      </c>
      <c r="J58" s="8">
        <f>SUM(J52:J57)</f>
        <v>0</v>
      </c>
    </row>
    <row r="59" spans="1:10" ht="19.95" customHeight="1" x14ac:dyDescent="0.3">
      <c r="A59" s="16"/>
      <c r="B59" s="16"/>
      <c r="C59" s="16"/>
      <c r="D59" s="16"/>
      <c r="E59" s="17"/>
      <c r="F59" s="16"/>
      <c r="G59" s="16"/>
      <c r="H59" s="18"/>
      <c r="I59" s="19"/>
      <c r="J59" s="18"/>
    </row>
    <row r="61" spans="1:10" ht="23.4" x14ac:dyDescent="0.3">
      <c r="A61" s="31" t="s">
        <v>11</v>
      </c>
      <c r="B61" s="31"/>
      <c r="C61" s="31"/>
      <c r="D61" s="31"/>
      <c r="E61" s="31"/>
      <c r="F61" s="31"/>
      <c r="G61" s="31"/>
      <c r="H61" s="31"/>
      <c r="I61" s="31"/>
      <c r="J61" s="31"/>
    </row>
  </sheetData>
  <mergeCells count="8">
    <mergeCell ref="A50:J50"/>
    <mergeCell ref="A61:J61"/>
    <mergeCell ref="I1:J1"/>
    <mergeCell ref="A2:J2"/>
    <mergeCell ref="A3:J3"/>
    <mergeCell ref="A13:J13"/>
    <mergeCell ref="A24:J24"/>
    <mergeCell ref="A36:J36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45" orientation="portrait" horizontalDpi="1200" verticalDpi="1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31" zoomScale="75" zoomScaleNormal="75" workbookViewId="0">
      <selection activeCell="I39" sqref="I39:I40"/>
    </sheetView>
  </sheetViews>
  <sheetFormatPr defaultRowHeight="14.4" x14ac:dyDescent="0.3"/>
  <cols>
    <col min="1" max="1" width="15.6640625" customWidth="1"/>
    <col min="2" max="3" width="12.6640625" customWidth="1"/>
    <col min="4" max="4" width="15.6640625" customWidth="1"/>
    <col min="5" max="5" width="80.6640625" customWidth="1"/>
    <col min="6" max="6" width="22.77734375" style="15" bestFit="1" customWidth="1"/>
    <col min="7" max="7" width="12.33203125" customWidth="1"/>
    <col min="8" max="10" width="15.6640625" customWidth="1"/>
  </cols>
  <sheetData>
    <row r="1" spans="1:11" s="1" customFormat="1" ht="30" customHeight="1" x14ac:dyDescent="0.3">
      <c r="F1" s="2"/>
      <c r="G1" s="2"/>
      <c r="H1" s="3" t="s">
        <v>0</v>
      </c>
      <c r="I1" s="27">
        <v>45939</v>
      </c>
      <c r="J1" s="27"/>
    </row>
    <row r="2" spans="1:11" ht="40.049999999999997" customHeight="1" x14ac:dyDescent="0.3">
      <c r="A2" s="28" t="s">
        <v>44</v>
      </c>
      <c r="B2" s="29"/>
      <c r="C2" s="29"/>
      <c r="D2" s="29"/>
      <c r="E2" s="29"/>
      <c r="F2" s="29"/>
      <c r="G2" s="29"/>
      <c r="H2" s="29"/>
      <c r="I2" s="29"/>
      <c r="J2" s="30"/>
    </row>
    <row r="3" spans="1:11" ht="30" customHeight="1" x14ac:dyDescent="0.3">
      <c r="A3" s="31" t="s">
        <v>12</v>
      </c>
      <c r="B3" s="31"/>
      <c r="C3" s="31"/>
      <c r="D3" s="31"/>
      <c r="E3" s="31"/>
      <c r="F3" s="31"/>
      <c r="G3" s="31"/>
      <c r="H3" s="31"/>
      <c r="I3" s="31"/>
      <c r="J3" s="31"/>
    </row>
    <row r="4" spans="1:11" ht="30" customHeight="1" x14ac:dyDescent="0.3">
      <c r="A4" s="4" t="s">
        <v>2</v>
      </c>
      <c r="B4" s="4" t="s">
        <v>3</v>
      </c>
      <c r="C4" s="5" t="s">
        <v>4</v>
      </c>
      <c r="D4" s="5" t="s">
        <v>5</v>
      </c>
      <c r="E4" s="4" t="s">
        <v>6</v>
      </c>
      <c r="F4" s="5" t="s">
        <v>17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1" ht="19.95" customHeight="1" x14ac:dyDescent="0.3">
      <c r="A5" s="4" t="s">
        <v>55</v>
      </c>
      <c r="B5" s="4">
        <v>304</v>
      </c>
      <c r="C5" s="6">
        <v>0.9</v>
      </c>
      <c r="D5" s="6" t="s">
        <v>26</v>
      </c>
      <c r="E5" s="7" t="s">
        <v>57</v>
      </c>
      <c r="F5" s="4"/>
      <c r="G5" s="4" t="s">
        <v>22</v>
      </c>
      <c r="H5" s="8">
        <v>1200</v>
      </c>
      <c r="I5" s="9">
        <f>100+1231</f>
        <v>1331</v>
      </c>
      <c r="J5" s="22">
        <f t="shared" ref="J5:J10" si="0">H5-I5</f>
        <v>-131</v>
      </c>
      <c r="K5" s="20"/>
    </row>
    <row r="6" spans="1:11" ht="19.95" customHeight="1" x14ac:dyDescent="0.3">
      <c r="A6" s="4" t="s">
        <v>55</v>
      </c>
      <c r="B6" s="4">
        <v>304</v>
      </c>
      <c r="C6" s="6">
        <v>0.9</v>
      </c>
      <c r="D6" s="6" t="s">
        <v>26</v>
      </c>
      <c r="E6" s="7" t="s">
        <v>58</v>
      </c>
      <c r="F6" s="4"/>
      <c r="G6" s="4">
        <v>430</v>
      </c>
      <c r="H6" s="8">
        <v>1500</v>
      </c>
      <c r="I6" s="9">
        <v>1000</v>
      </c>
      <c r="J6" s="8">
        <f t="shared" si="0"/>
        <v>500</v>
      </c>
    </row>
    <row r="7" spans="1:11" ht="19.95" customHeight="1" x14ac:dyDescent="0.3">
      <c r="A7" s="4" t="s">
        <v>55</v>
      </c>
      <c r="B7" s="4">
        <v>304</v>
      </c>
      <c r="C7" s="6">
        <v>0.9</v>
      </c>
      <c r="D7" s="6" t="s">
        <v>22</v>
      </c>
      <c r="E7" s="7" t="s">
        <v>59</v>
      </c>
      <c r="F7" s="4"/>
      <c r="G7" s="4" t="s">
        <v>22</v>
      </c>
      <c r="H7" s="8">
        <v>1500</v>
      </c>
      <c r="I7" s="9"/>
      <c r="J7" s="8">
        <f t="shared" si="0"/>
        <v>1500</v>
      </c>
    </row>
    <row r="8" spans="1:11" ht="19.95" customHeight="1" x14ac:dyDescent="0.3">
      <c r="A8" s="4" t="s">
        <v>55</v>
      </c>
      <c r="B8" s="4">
        <v>304</v>
      </c>
      <c r="C8" s="6">
        <v>0.9</v>
      </c>
      <c r="D8" s="6" t="s">
        <v>26</v>
      </c>
      <c r="E8" s="7" t="s">
        <v>60</v>
      </c>
      <c r="F8" s="4"/>
      <c r="G8" s="4">
        <v>430</v>
      </c>
      <c r="H8" s="8">
        <v>1500</v>
      </c>
      <c r="I8" s="9"/>
      <c r="J8" s="8">
        <f t="shared" si="0"/>
        <v>1500</v>
      </c>
    </row>
    <row r="9" spans="1:11" ht="19.95" customHeight="1" x14ac:dyDescent="0.3">
      <c r="A9" s="4" t="s">
        <v>55</v>
      </c>
      <c r="B9" s="4">
        <v>304</v>
      </c>
      <c r="C9" s="6">
        <v>0.9</v>
      </c>
      <c r="D9" s="6" t="s">
        <v>22</v>
      </c>
      <c r="E9" s="7" t="s">
        <v>61</v>
      </c>
      <c r="F9" s="4"/>
      <c r="G9" s="4" t="s">
        <v>22</v>
      </c>
      <c r="H9" s="8">
        <v>1500</v>
      </c>
      <c r="I9" s="9"/>
      <c r="J9" s="8">
        <f t="shared" si="0"/>
        <v>1500</v>
      </c>
    </row>
    <row r="10" spans="1:11" ht="19.95" customHeight="1" x14ac:dyDescent="0.3">
      <c r="A10" s="4"/>
      <c r="B10" s="4"/>
      <c r="C10" s="6"/>
      <c r="D10" s="6"/>
      <c r="E10" s="7"/>
      <c r="F10" s="4"/>
      <c r="G10" s="4"/>
      <c r="H10" s="8"/>
      <c r="I10" s="9"/>
      <c r="J10" s="8">
        <f t="shared" si="0"/>
        <v>0</v>
      </c>
    </row>
    <row r="11" spans="1:11" ht="19.95" customHeight="1" x14ac:dyDescent="0.3">
      <c r="A11" s="10"/>
      <c r="B11" s="10"/>
      <c r="C11" s="10"/>
      <c r="D11" s="10"/>
      <c r="E11" s="11"/>
      <c r="F11" s="10"/>
      <c r="G11" s="12"/>
      <c r="H11" s="13">
        <f>SUM(H5:H10)</f>
        <v>7200</v>
      </c>
      <c r="I11" s="14">
        <f>SUM(I5:I10)</f>
        <v>2331</v>
      </c>
      <c r="J11" s="8">
        <f>SUM(J5:J10)</f>
        <v>4869</v>
      </c>
    </row>
    <row r="13" spans="1:11" ht="30" customHeight="1" x14ac:dyDescent="0.3">
      <c r="A13" s="31" t="s">
        <v>15</v>
      </c>
      <c r="B13" s="31"/>
      <c r="C13" s="31"/>
      <c r="D13" s="31"/>
      <c r="E13" s="31"/>
      <c r="F13" s="31"/>
      <c r="G13" s="31"/>
      <c r="H13" s="31"/>
      <c r="I13" s="31"/>
      <c r="J13" s="31"/>
    </row>
    <row r="14" spans="1:11" ht="30" customHeight="1" x14ac:dyDescent="0.3">
      <c r="A14" s="4" t="s">
        <v>2</v>
      </c>
      <c r="B14" s="4" t="s">
        <v>3</v>
      </c>
      <c r="C14" s="5" t="s">
        <v>4</v>
      </c>
      <c r="D14" s="5" t="s">
        <v>5</v>
      </c>
      <c r="E14" s="4" t="s">
        <v>6</v>
      </c>
      <c r="F14" s="5" t="s">
        <v>17</v>
      </c>
      <c r="G14" s="5" t="s">
        <v>7</v>
      </c>
      <c r="H14" s="4" t="s">
        <v>8</v>
      </c>
      <c r="I14" s="4" t="s">
        <v>9</v>
      </c>
      <c r="J14" s="4" t="s">
        <v>10</v>
      </c>
    </row>
    <row r="15" spans="1:11" ht="19.95" customHeight="1" x14ac:dyDescent="0.3">
      <c r="A15" s="4" t="s">
        <v>55</v>
      </c>
      <c r="B15" s="4">
        <v>304</v>
      </c>
      <c r="C15" s="6">
        <v>0.9</v>
      </c>
      <c r="D15" s="6" t="s">
        <v>26</v>
      </c>
      <c r="E15" s="7" t="s">
        <v>56</v>
      </c>
      <c r="F15" s="4"/>
      <c r="G15" s="4">
        <v>430</v>
      </c>
      <c r="H15" s="8">
        <v>1200</v>
      </c>
      <c r="I15" s="9">
        <f>125+1205</f>
        <v>1330</v>
      </c>
      <c r="J15" s="8">
        <f t="shared" ref="J15:J21" si="1">H15-I15</f>
        <v>-130</v>
      </c>
    </row>
    <row r="16" spans="1:11" ht="19.95" customHeight="1" x14ac:dyDescent="0.3">
      <c r="A16" s="4" t="s">
        <v>55</v>
      </c>
      <c r="B16" s="4">
        <v>304</v>
      </c>
      <c r="C16" s="6">
        <v>0.9</v>
      </c>
      <c r="D16" s="6" t="s">
        <v>26</v>
      </c>
      <c r="E16" s="7" t="s">
        <v>57</v>
      </c>
      <c r="F16" s="4"/>
      <c r="G16" s="4" t="s">
        <v>22</v>
      </c>
      <c r="H16" s="8">
        <v>1200</v>
      </c>
      <c r="I16" s="9">
        <v>800</v>
      </c>
      <c r="J16" s="8">
        <f t="shared" si="1"/>
        <v>400</v>
      </c>
    </row>
    <row r="17" spans="1:10" ht="19.95" customHeight="1" x14ac:dyDescent="0.3">
      <c r="A17" s="4" t="s">
        <v>55</v>
      </c>
      <c r="B17" s="4">
        <v>304</v>
      </c>
      <c r="C17" s="6">
        <v>0.9</v>
      </c>
      <c r="D17" s="6" t="s">
        <v>26</v>
      </c>
      <c r="E17" s="7" t="s">
        <v>58</v>
      </c>
      <c r="F17" s="4"/>
      <c r="G17" s="4">
        <v>430</v>
      </c>
      <c r="H17" s="8">
        <v>1500</v>
      </c>
      <c r="I17" s="9"/>
      <c r="J17" s="8">
        <f t="shared" si="1"/>
        <v>1500</v>
      </c>
    </row>
    <row r="18" spans="1:10" ht="19.95" customHeight="1" x14ac:dyDescent="0.3">
      <c r="A18" s="4" t="s">
        <v>55</v>
      </c>
      <c r="B18" s="4">
        <v>304</v>
      </c>
      <c r="C18" s="6">
        <v>0.9</v>
      </c>
      <c r="D18" s="6" t="s">
        <v>22</v>
      </c>
      <c r="E18" s="7" t="s">
        <v>59</v>
      </c>
      <c r="F18" s="4"/>
      <c r="G18" s="4" t="s">
        <v>22</v>
      </c>
      <c r="H18" s="8">
        <v>1500</v>
      </c>
      <c r="I18" s="9"/>
      <c r="J18" s="8">
        <f t="shared" si="1"/>
        <v>1500</v>
      </c>
    </row>
    <row r="19" spans="1:10" ht="19.95" customHeight="1" x14ac:dyDescent="0.3">
      <c r="A19" s="4" t="s">
        <v>55</v>
      </c>
      <c r="B19" s="4">
        <v>304</v>
      </c>
      <c r="C19" s="6">
        <v>0.9</v>
      </c>
      <c r="D19" s="6" t="s">
        <v>26</v>
      </c>
      <c r="E19" s="7" t="s">
        <v>60</v>
      </c>
      <c r="F19" s="4"/>
      <c r="G19" s="4">
        <v>430</v>
      </c>
      <c r="H19" s="8">
        <v>1500</v>
      </c>
      <c r="I19" s="9"/>
      <c r="J19" s="8">
        <f t="shared" si="1"/>
        <v>1500</v>
      </c>
    </row>
    <row r="20" spans="1:10" ht="19.95" customHeight="1" x14ac:dyDescent="0.3">
      <c r="A20" s="4" t="s">
        <v>55</v>
      </c>
      <c r="B20" s="4">
        <v>304</v>
      </c>
      <c r="C20" s="6">
        <v>0.9</v>
      </c>
      <c r="D20" s="6" t="s">
        <v>22</v>
      </c>
      <c r="E20" s="7" t="s">
        <v>61</v>
      </c>
      <c r="F20" s="4"/>
      <c r="G20" s="4" t="s">
        <v>22</v>
      </c>
      <c r="H20" s="8">
        <v>1500</v>
      </c>
      <c r="I20" s="9"/>
      <c r="J20" s="8">
        <f t="shared" si="1"/>
        <v>1500</v>
      </c>
    </row>
    <row r="21" spans="1:10" ht="19.95" customHeight="1" x14ac:dyDescent="0.3">
      <c r="A21" s="4"/>
      <c r="B21" s="4"/>
      <c r="C21" s="6"/>
      <c r="D21" s="6"/>
      <c r="E21" s="7"/>
      <c r="F21" s="4"/>
      <c r="G21" s="8"/>
      <c r="H21" s="8"/>
      <c r="I21" s="9"/>
      <c r="J21" s="8">
        <f t="shared" si="1"/>
        <v>0</v>
      </c>
    </row>
    <row r="22" spans="1:10" ht="19.95" customHeight="1" x14ac:dyDescent="0.3">
      <c r="A22" s="10"/>
      <c r="B22" s="10"/>
      <c r="C22" s="10"/>
      <c r="D22" s="10"/>
      <c r="E22" s="11"/>
      <c r="F22" s="10"/>
      <c r="G22" s="12"/>
      <c r="H22" s="8">
        <f>SUM(H15:H21)</f>
        <v>8400</v>
      </c>
      <c r="I22" s="9">
        <f>SUM(I15:I21)</f>
        <v>2130</v>
      </c>
      <c r="J22" s="8">
        <f>SUM(J15:J21)</f>
        <v>6270</v>
      </c>
    </row>
    <row r="23" spans="1:10" ht="19.95" customHeight="1" x14ac:dyDescent="0.3">
      <c r="A23" s="16"/>
      <c r="B23" s="16"/>
      <c r="C23" s="16"/>
      <c r="D23" s="16"/>
      <c r="E23" s="17"/>
      <c r="F23" s="16"/>
      <c r="G23" s="16"/>
      <c r="H23" s="18"/>
      <c r="I23" s="19"/>
      <c r="J23" s="18"/>
    </row>
    <row r="24" spans="1:10" ht="30" customHeight="1" x14ac:dyDescent="0.3">
      <c r="A24" s="31" t="s">
        <v>13</v>
      </c>
      <c r="B24" s="31"/>
      <c r="C24" s="31"/>
      <c r="D24" s="31"/>
      <c r="E24" s="31"/>
      <c r="F24" s="31"/>
      <c r="G24" s="31"/>
      <c r="H24" s="31"/>
      <c r="I24" s="31"/>
      <c r="J24" s="31"/>
    </row>
    <row r="25" spans="1:10" ht="30" customHeight="1" x14ac:dyDescent="0.3">
      <c r="A25" s="4" t="s">
        <v>2</v>
      </c>
      <c r="B25" s="4" t="s">
        <v>3</v>
      </c>
      <c r="C25" s="5" t="s">
        <v>4</v>
      </c>
      <c r="D25" s="5" t="s">
        <v>5</v>
      </c>
      <c r="E25" s="4" t="s">
        <v>6</v>
      </c>
      <c r="F25" s="5" t="s">
        <v>17</v>
      </c>
      <c r="G25" s="5" t="s">
        <v>7</v>
      </c>
      <c r="H25" s="4" t="s">
        <v>8</v>
      </c>
      <c r="I25" s="4" t="s">
        <v>9</v>
      </c>
      <c r="J25" s="4" t="s">
        <v>10</v>
      </c>
    </row>
    <row r="26" spans="1:10" ht="19.95" customHeight="1" x14ac:dyDescent="0.3">
      <c r="A26" s="4">
        <v>100925</v>
      </c>
      <c r="B26" s="4">
        <v>304</v>
      </c>
      <c r="C26" s="6">
        <v>0.9</v>
      </c>
      <c r="D26" s="6" t="s">
        <v>22</v>
      </c>
      <c r="E26" s="7" t="s">
        <v>53</v>
      </c>
      <c r="F26" s="4"/>
      <c r="G26" s="4" t="s">
        <v>22</v>
      </c>
      <c r="H26" s="8">
        <v>1500</v>
      </c>
      <c r="I26" s="9">
        <v>1525</v>
      </c>
      <c r="J26" s="8">
        <f t="shared" ref="J26:J34" si="2">H26-I26</f>
        <v>-25</v>
      </c>
    </row>
    <row r="27" spans="1:10" ht="19.95" customHeight="1" x14ac:dyDescent="0.3">
      <c r="A27" s="4">
        <v>100925</v>
      </c>
      <c r="B27" s="4">
        <v>304</v>
      </c>
      <c r="C27" s="6">
        <v>0.9</v>
      </c>
      <c r="D27" s="6" t="s">
        <v>22</v>
      </c>
      <c r="E27" s="7" t="s">
        <v>54</v>
      </c>
      <c r="F27" s="4"/>
      <c r="G27" s="4" t="s">
        <v>22</v>
      </c>
      <c r="H27" s="8">
        <v>600</v>
      </c>
      <c r="I27" s="9">
        <v>625</v>
      </c>
      <c r="J27" s="8">
        <f t="shared" si="2"/>
        <v>-25</v>
      </c>
    </row>
    <row r="28" spans="1:10" ht="19.95" customHeight="1" x14ac:dyDescent="0.3">
      <c r="A28" s="4" t="s">
        <v>55</v>
      </c>
      <c r="B28" s="4">
        <v>304</v>
      </c>
      <c r="C28" s="6">
        <v>0.9</v>
      </c>
      <c r="D28" s="6" t="s">
        <v>26</v>
      </c>
      <c r="E28" s="7" t="s">
        <v>56</v>
      </c>
      <c r="F28" s="4"/>
      <c r="G28" s="4">
        <v>430</v>
      </c>
      <c r="H28" s="8">
        <v>1200</v>
      </c>
      <c r="I28" s="9">
        <v>500</v>
      </c>
      <c r="J28" s="8">
        <f t="shared" si="2"/>
        <v>700</v>
      </c>
    </row>
    <row r="29" spans="1:10" ht="19.95" customHeight="1" x14ac:dyDescent="0.3">
      <c r="A29" s="4" t="s">
        <v>55</v>
      </c>
      <c r="B29" s="4">
        <v>304</v>
      </c>
      <c r="C29" s="6">
        <v>0.9</v>
      </c>
      <c r="D29" s="6" t="s">
        <v>26</v>
      </c>
      <c r="E29" s="7" t="s">
        <v>57</v>
      </c>
      <c r="F29" s="4"/>
      <c r="G29" s="4" t="s">
        <v>22</v>
      </c>
      <c r="H29" s="8">
        <v>1200</v>
      </c>
      <c r="I29" s="9"/>
      <c r="J29" s="8">
        <f t="shared" si="2"/>
        <v>1200</v>
      </c>
    </row>
    <row r="30" spans="1:10" ht="19.95" customHeight="1" x14ac:dyDescent="0.3">
      <c r="A30" s="4" t="s">
        <v>55</v>
      </c>
      <c r="B30" s="4">
        <v>304</v>
      </c>
      <c r="C30" s="6">
        <v>0.9</v>
      </c>
      <c r="D30" s="6" t="s">
        <v>26</v>
      </c>
      <c r="E30" s="7" t="s">
        <v>58</v>
      </c>
      <c r="F30" s="4"/>
      <c r="G30" s="4">
        <v>430</v>
      </c>
      <c r="H30" s="8">
        <v>1500</v>
      </c>
      <c r="I30" s="9"/>
      <c r="J30" s="8">
        <f t="shared" si="2"/>
        <v>1500</v>
      </c>
    </row>
    <row r="31" spans="1:10" ht="19.95" customHeight="1" x14ac:dyDescent="0.3">
      <c r="A31" s="4" t="s">
        <v>55</v>
      </c>
      <c r="B31" s="4">
        <v>304</v>
      </c>
      <c r="C31" s="6">
        <v>0.9</v>
      </c>
      <c r="D31" s="6" t="s">
        <v>22</v>
      </c>
      <c r="E31" s="7" t="s">
        <v>59</v>
      </c>
      <c r="F31" s="4"/>
      <c r="G31" s="4" t="s">
        <v>22</v>
      </c>
      <c r="H31" s="8">
        <v>1500</v>
      </c>
      <c r="I31" s="9"/>
      <c r="J31" s="8">
        <f t="shared" si="2"/>
        <v>1500</v>
      </c>
    </row>
    <row r="32" spans="1:10" ht="19.95" customHeight="1" x14ac:dyDescent="0.3">
      <c r="A32" s="4" t="s">
        <v>55</v>
      </c>
      <c r="B32" s="4">
        <v>304</v>
      </c>
      <c r="C32" s="6">
        <v>0.9</v>
      </c>
      <c r="D32" s="6" t="s">
        <v>26</v>
      </c>
      <c r="E32" s="7" t="s">
        <v>60</v>
      </c>
      <c r="F32" s="4"/>
      <c r="G32" s="4">
        <v>430</v>
      </c>
      <c r="H32" s="8">
        <v>1500</v>
      </c>
      <c r="I32" s="9"/>
      <c r="J32" s="8">
        <f t="shared" si="2"/>
        <v>1500</v>
      </c>
    </row>
    <row r="33" spans="1:10" ht="19.95" customHeight="1" x14ac:dyDescent="0.3">
      <c r="A33" s="4" t="s">
        <v>55</v>
      </c>
      <c r="B33" s="4">
        <v>304</v>
      </c>
      <c r="C33" s="6">
        <v>0.9</v>
      </c>
      <c r="D33" s="6" t="s">
        <v>22</v>
      </c>
      <c r="E33" s="7" t="s">
        <v>61</v>
      </c>
      <c r="F33" s="4"/>
      <c r="G33" s="4" t="s">
        <v>22</v>
      </c>
      <c r="H33" s="8">
        <v>1500</v>
      </c>
      <c r="I33" s="9"/>
      <c r="J33" s="8">
        <f t="shared" si="2"/>
        <v>1500</v>
      </c>
    </row>
    <row r="34" spans="1:10" ht="19.95" customHeight="1" x14ac:dyDescent="0.3">
      <c r="A34" s="4"/>
      <c r="B34" s="4"/>
      <c r="C34" s="6"/>
      <c r="D34" s="6"/>
      <c r="E34" s="7"/>
      <c r="F34" s="4"/>
      <c r="G34" s="8"/>
      <c r="H34" s="8"/>
      <c r="I34" s="9"/>
      <c r="J34" s="8">
        <f t="shared" si="2"/>
        <v>0</v>
      </c>
    </row>
    <row r="35" spans="1:10" ht="19.95" customHeight="1" x14ac:dyDescent="0.3">
      <c r="A35" s="10"/>
      <c r="B35" s="10"/>
      <c r="C35" s="10"/>
      <c r="D35" s="10"/>
      <c r="E35" s="11"/>
      <c r="F35" s="10"/>
      <c r="G35" s="12"/>
      <c r="H35" s="8">
        <f>SUM(H26:H34)</f>
        <v>10500</v>
      </c>
      <c r="I35" s="9">
        <f>SUM(I26:I34)</f>
        <v>2650</v>
      </c>
      <c r="J35" s="8">
        <f>SUM(J26:J34)</f>
        <v>7850</v>
      </c>
    </row>
    <row r="36" spans="1:10" ht="19.95" customHeight="1" x14ac:dyDescent="0.3">
      <c r="A36" s="16"/>
      <c r="B36" s="16"/>
      <c r="C36" s="16"/>
      <c r="D36" s="16"/>
      <c r="E36" s="17"/>
      <c r="F36" s="16"/>
      <c r="G36" s="16"/>
      <c r="H36" s="18"/>
      <c r="I36" s="19"/>
      <c r="J36" s="18"/>
    </row>
    <row r="37" spans="1:10" ht="30" customHeight="1" x14ac:dyDescent="0.3">
      <c r="A37" s="31" t="s">
        <v>14</v>
      </c>
      <c r="B37" s="31"/>
      <c r="C37" s="31"/>
      <c r="D37" s="31"/>
      <c r="E37" s="31"/>
      <c r="F37" s="31"/>
      <c r="G37" s="31"/>
      <c r="H37" s="31"/>
      <c r="I37" s="31"/>
      <c r="J37" s="31"/>
    </row>
    <row r="38" spans="1:10" ht="30" customHeight="1" x14ac:dyDescent="0.3">
      <c r="A38" s="4" t="s">
        <v>2</v>
      </c>
      <c r="B38" s="4" t="s">
        <v>3</v>
      </c>
      <c r="C38" s="5" t="s">
        <v>4</v>
      </c>
      <c r="D38" s="5" t="s">
        <v>5</v>
      </c>
      <c r="E38" s="4" t="s">
        <v>6</v>
      </c>
      <c r="F38" s="5" t="s">
        <v>17</v>
      </c>
      <c r="G38" s="5" t="s">
        <v>7</v>
      </c>
      <c r="H38" s="4" t="s">
        <v>8</v>
      </c>
      <c r="I38" s="4" t="s">
        <v>9</v>
      </c>
      <c r="J38" s="4" t="s">
        <v>10</v>
      </c>
    </row>
    <row r="39" spans="1:10" ht="19.95" customHeight="1" x14ac:dyDescent="0.3">
      <c r="A39" s="4">
        <v>100925</v>
      </c>
      <c r="B39" s="4">
        <v>304</v>
      </c>
      <c r="C39" s="6">
        <v>0.9</v>
      </c>
      <c r="D39" s="6" t="s">
        <v>26</v>
      </c>
      <c r="E39" s="7" t="s">
        <v>49</v>
      </c>
      <c r="F39" s="4"/>
      <c r="G39" s="8">
        <v>430</v>
      </c>
      <c r="H39" s="8">
        <v>1500</v>
      </c>
      <c r="I39" s="9">
        <f>1435+65</f>
        <v>1500</v>
      </c>
      <c r="J39" s="8">
        <f t="shared" ref="J39:J49" si="3">H39-I39</f>
        <v>0</v>
      </c>
    </row>
    <row r="40" spans="1:10" ht="19.95" customHeight="1" x14ac:dyDescent="0.3">
      <c r="A40" s="4">
        <v>100925</v>
      </c>
      <c r="B40" s="4">
        <v>304</v>
      </c>
      <c r="C40" s="6">
        <v>0.9</v>
      </c>
      <c r="D40" s="6" t="s">
        <v>26</v>
      </c>
      <c r="E40" s="7" t="s">
        <v>50</v>
      </c>
      <c r="F40" s="4"/>
      <c r="G40" s="8">
        <v>430</v>
      </c>
      <c r="H40" s="8">
        <v>600</v>
      </c>
      <c r="I40" s="9">
        <v>830</v>
      </c>
      <c r="J40" s="8">
        <f t="shared" si="3"/>
        <v>-230</v>
      </c>
    </row>
    <row r="41" spans="1:10" ht="19.95" customHeight="1" x14ac:dyDescent="0.3">
      <c r="A41" s="4">
        <v>100925</v>
      </c>
      <c r="B41" s="4">
        <v>304</v>
      </c>
      <c r="C41" s="6">
        <v>0.9</v>
      </c>
      <c r="D41" s="6" t="s">
        <v>22</v>
      </c>
      <c r="E41" s="7" t="s">
        <v>53</v>
      </c>
      <c r="F41" s="4"/>
      <c r="G41" s="4" t="s">
        <v>22</v>
      </c>
      <c r="H41" s="8">
        <v>1500</v>
      </c>
      <c r="I41" s="9">
        <v>1500</v>
      </c>
      <c r="J41" s="8">
        <f t="shared" si="3"/>
        <v>0</v>
      </c>
    </row>
    <row r="42" spans="1:10" ht="19.95" customHeight="1" x14ac:dyDescent="0.3">
      <c r="A42" s="4">
        <v>100925</v>
      </c>
      <c r="B42" s="4">
        <v>304</v>
      </c>
      <c r="C42" s="6">
        <v>0.9</v>
      </c>
      <c r="D42" s="6" t="s">
        <v>22</v>
      </c>
      <c r="E42" s="7" t="s">
        <v>54</v>
      </c>
      <c r="F42" s="4"/>
      <c r="G42" s="4" t="s">
        <v>22</v>
      </c>
      <c r="H42" s="8">
        <v>600</v>
      </c>
      <c r="I42" s="9">
        <v>355</v>
      </c>
      <c r="J42" s="8">
        <f t="shared" si="3"/>
        <v>245</v>
      </c>
    </row>
    <row r="43" spans="1:10" ht="19.95" customHeight="1" x14ac:dyDescent="0.3">
      <c r="A43" s="4" t="s">
        <v>55</v>
      </c>
      <c r="B43" s="4">
        <v>304</v>
      </c>
      <c r="C43" s="6">
        <v>0.9</v>
      </c>
      <c r="D43" s="6" t="s">
        <v>26</v>
      </c>
      <c r="E43" s="7" t="s">
        <v>56</v>
      </c>
      <c r="F43" s="4"/>
      <c r="G43" s="4">
        <v>430</v>
      </c>
      <c r="H43" s="8">
        <v>1200</v>
      </c>
      <c r="I43" s="9"/>
      <c r="J43" s="8">
        <f t="shared" si="3"/>
        <v>1200</v>
      </c>
    </row>
    <row r="44" spans="1:10" ht="19.95" customHeight="1" x14ac:dyDescent="0.3">
      <c r="A44" s="4" t="s">
        <v>55</v>
      </c>
      <c r="B44" s="4">
        <v>304</v>
      </c>
      <c r="C44" s="6">
        <v>0.9</v>
      </c>
      <c r="D44" s="6" t="s">
        <v>26</v>
      </c>
      <c r="E44" s="7" t="s">
        <v>57</v>
      </c>
      <c r="F44" s="4"/>
      <c r="G44" s="4" t="s">
        <v>22</v>
      </c>
      <c r="H44" s="8">
        <v>1200</v>
      </c>
      <c r="I44" s="9"/>
      <c r="J44" s="8">
        <f t="shared" si="3"/>
        <v>1200</v>
      </c>
    </row>
    <row r="45" spans="1:10" ht="19.95" customHeight="1" x14ac:dyDescent="0.3">
      <c r="A45" s="4" t="s">
        <v>55</v>
      </c>
      <c r="B45" s="4">
        <v>304</v>
      </c>
      <c r="C45" s="6">
        <v>0.9</v>
      </c>
      <c r="D45" s="6" t="s">
        <v>26</v>
      </c>
      <c r="E45" s="7" t="s">
        <v>58</v>
      </c>
      <c r="F45" s="4"/>
      <c r="G45" s="4">
        <v>430</v>
      </c>
      <c r="H45" s="8">
        <v>1500</v>
      </c>
      <c r="I45" s="9"/>
      <c r="J45" s="8">
        <f t="shared" si="3"/>
        <v>1500</v>
      </c>
    </row>
    <row r="46" spans="1:10" ht="19.95" customHeight="1" x14ac:dyDescent="0.3">
      <c r="A46" s="4" t="s">
        <v>55</v>
      </c>
      <c r="B46" s="4">
        <v>304</v>
      </c>
      <c r="C46" s="6">
        <v>0.9</v>
      </c>
      <c r="D46" s="6" t="s">
        <v>22</v>
      </c>
      <c r="E46" s="7" t="s">
        <v>59</v>
      </c>
      <c r="F46" s="4"/>
      <c r="G46" s="4" t="s">
        <v>22</v>
      </c>
      <c r="H46" s="8">
        <v>1500</v>
      </c>
      <c r="I46" s="9"/>
      <c r="J46" s="8">
        <f t="shared" si="3"/>
        <v>1500</v>
      </c>
    </row>
    <row r="47" spans="1:10" ht="19.95" customHeight="1" x14ac:dyDescent="0.3">
      <c r="A47" s="4" t="s">
        <v>55</v>
      </c>
      <c r="B47" s="4">
        <v>304</v>
      </c>
      <c r="C47" s="6">
        <v>0.9</v>
      </c>
      <c r="D47" s="6" t="s">
        <v>26</v>
      </c>
      <c r="E47" s="7" t="s">
        <v>60</v>
      </c>
      <c r="F47" s="4"/>
      <c r="G47" s="4">
        <v>430</v>
      </c>
      <c r="H47" s="8">
        <v>1500</v>
      </c>
      <c r="I47" s="9"/>
      <c r="J47" s="8">
        <f t="shared" si="3"/>
        <v>1500</v>
      </c>
    </row>
    <row r="48" spans="1:10" ht="19.95" customHeight="1" x14ac:dyDescent="0.3">
      <c r="A48" s="4" t="s">
        <v>55</v>
      </c>
      <c r="B48" s="4">
        <v>304</v>
      </c>
      <c r="C48" s="6">
        <v>0.9</v>
      </c>
      <c r="D48" s="6" t="s">
        <v>22</v>
      </c>
      <c r="E48" s="7" t="s">
        <v>61</v>
      </c>
      <c r="F48" s="4"/>
      <c r="G48" s="4" t="s">
        <v>22</v>
      </c>
      <c r="H48" s="8">
        <v>1500</v>
      </c>
      <c r="I48" s="9"/>
      <c r="J48" s="8">
        <f t="shared" si="3"/>
        <v>1500</v>
      </c>
    </row>
    <row r="49" spans="1:10" ht="19.95" customHeight="1" x14ac:dyDescent="0.3">
      <c r="A49" s="4"/>
      <c r="B49" s="4"/>
      <c r="C49" s="6"/>
      <c r="D49" s="6"/>
      <c r="E49" s="7"/>
      <c r="F49" s="4"/>
      <c r="G49" s="8"/>
      <c r="H49" s="8"/>
      <c r="I49" s="9"/>
      <c r="J49" s="8">
        <f t="shared" si="3"/>
        <v>0</v>
      </c>
    </row>
    <row r="50" spans="1:10" ht="19.95" customHeight="1" x14ac:dyDescent="0.3">
      <c r="A50" s="10"/>
      <c r="B50" s="10"/>
      <c r="C50" s="10"/>
      <c r="D50" s="10"/>
      <c r="E50" s="11"/>
      <c r="F50" s="10"/>
      <c r="G50" s="12"/>
      <c r="H50" s="8">
        <f>SUM(H39:H49)</f>
        <v>12600</v>
      </c>
      <c r="I50" s="9">
        <f>SUM(I39:I49)</f>
        <v>4185</v>
      </c>
      <c r="J50" s="8">
        <f>SUM(J39:J49)</f>
        <v>8415</v>
      </c>
    </row>
    <row r="51" spans="1:10" ht="19.95" customHeight="1" x14ac:dyDescent="0.3">
      <c r="A51" s="16"/>
      <c r="B51" s="16"/>
      <c r="C51" s="16"/>
      <c r="D51" s="16"/>
      <c r="E51" s="17"/>
      <c r="F51" s="16"/>
      <c r="G51" s="16"/>
      <c r="H51" s="18"/>
      <c r="I51" s="19"/>
      <c r="J51" s="18"/>
    </row>
    <row r="52" spans="1:10" ht="30" customHeight="1" x14ac:dyDescent="0.3">
      <c r="A52" s="31" t="s">
        <v>16</v>
      </c>
      <c r="B52" s="31"/>
      <c r="C52" s="31"/>
      <c r="D52" s="31"/>
      <c r="E52" s="31"/>
      <c r="F52" s="31"/>
      <c r="G52" s="31"/>
      <c r="H52" s="31"/>
      <c r="I52" s="31"/>
      <c r="J52" s="31"/>
    </row>
    <row r="53" spans="1:10" ht="30" customHeight="1" x14ac:dyDescent="0.3">
      <c r="A53" s="4" t="s">
        <v>2</v>
      </c>
      <c r="B53" s="4" t="s">
        <v>3</v>
      </c>
      <c r="C53" s="5" t="s">
        <v>4</v>
      </c>
      <c r="D53" s="5" t="s">
        <v>5</v>
      </c>
      <c r="E53" s="4" t="s">
        <v>6</v>
      </c>
      <c r="F53" s="5" t="s">
        <v>18</v>
      </c>
      <c r="G53" s="5" t="s">
        <v>7</v>
      </c>
      <c r="H53" s="4" t="s">
        <v>8</v>
      </c>
      <c r="I53" s="4" t="s">
        <v>9</v>
      </c>
      <c r="J53" s="4" t="s">
        <v>10</v>
      </c>
    </row>
    <row r="54" spans="1:10" ht="19.95" customHeight="1" x14ac:dyDescent="0.3">
      <c r="A54" s="4"/>
      <c r="B54" s="4"/>
      <c r="C54" s="6"/>
      <c r="D54" s="6"/>
      <c r="E54" s="7"/>
      <c r="F54" s="4"/>
      <c r="G54" s="4"/>
      <c r="H54" s="8"/>
      <c r="I54" s="9"/>
      <c r="J54" s="8">
        <f t="shared" ref="J54:J59" si="4">H54-I54</f>
        <v>0</v>
      </c>
    </row>
    <row r="55" spans="1:10" ht="19.95" customHeight="1" x14ac:dyDescent="0.3">
      <c r="A55" s="4"/>
      <c r="B55" s="4"/>
      <c r="C55" s="6"/>
      <c r="D55" s="6"/>
      <c r="E55" s="7"/>
      <c r="F55" s="4"/>
      <c r="G55" s="4"/>
      <c r="H55" s="8"/>
      <c r="I55" s="9"/>
      <c r="J55" s="8">
        <f t="shared" si="4"/>
        <v>0</v>
      </c>
    </row>
    <row r="56" spans="1:10" ht="19.95" customHeight="1" x14ac:dyDescent="0.3">
      <c r="A56" s="4"/>
      <c r="B56" s="4"/>
      <c r="C56" s="6"/>
      <c r="D56" s="6"/>
      <c r="E56" s="7"/>
      <c r="F56" s="4"/>
      <c r="G56" s="4"/>
      <c r="H56" s="8"/>
      <c r="I56" s="9"/>
      <c r="J56" s="8">
        <f t="shared" si="4"/>
        <v>0</v>
      </c>
    </row>
    <row r="57" spans="1:10" ht="19.95" customHeight="1" x14ac:dyDescent="0.3">
      <c r="A57" s="4"/>
      <c r="B57" s="4"/>
      <c r="C57" s="6"/>
      <c r="D57" s="6"/>
      <c r="E57" s="7"/>
      <c r="F57" s="4"/>
      <c r="G57" s="8"/>
      <c r="H57" s="8"/>
      <c r="I57" s="9"/>
      <c r="J57" s="8">
        <f t="shared" si="4"/>
        <v>0</v>
      </c>
    </row>
    <row r="58" spans="1:10" ht="19.95" customHeight="1" x14ac:dyDescent="0.3">
      <c r="A58" s="4"/>
      <c r="B58" s="4"/>
      <c r="C58" s="6"/>
      <c r="D58" s="6"/>
      <c r="E58" s="7"/>
      <c r="F58" s="4"/>
      <c r="G58" s="4"/>
      <c r="H58" s="8"/>
      <c r="I58" s="9"/>
      <c r="J58" s="8">
        <f t="shared" si="4"/>
        <v>0</v>
      </c>
    </row>
    <row r="59" spans="1:10" ht="19.95" customHeight="1" x14ac:dyDescent="0.3">
      <c r="A59" s="4"/>
      <c r="B59" s="4"/>
      <c r="C59" s="6"/>
      <c r="D59" s="6"/>
      <c r="E59" s="7"/>
      <c r="F59" s="4"/>
      <c r="G59" s="4"/>
      <c r="H59" s="8"/>
      <c r="I59" s="9"/>
      <c r="J59" s="8">
        <f t="shared" si="4"/>
        <v>0</v>
      </c>
    </row>
    <row r="60" spans="1:10" ht="19.95" customHeight="1" x14ac:dyDescent="0.3">
      <c r="A60" s="10"/>
      <c r="B60" s="10"/>
      <c r="C60" s="10"/>
      <c r="D60" s="10"/>
      <c r="E60" s="11"/>
      <c r="F60" s="10"/>
      <c r="G60" s="12"/>
      <c r="H60" s="8">
        <f>SUM(H54:H59)</f>
        <v>0</v>
      </c>
      <c r="I60" s="9">
        <f>SUM(I54:I59)</f>
        <v>0</v>
      </c>
      <c r="J60" s="8">
        <f>SUM(J54:J59)</f>
        <v>0</v>
      </c>
    </row>
    <row r="61" spans="1:10" ht="19.95" customHeight="1" x14ac:dyDescent="0.3">
      <c r="A61" s="16"/>
      <c r="B61" s="16"/>
      <c r="C61" s="16"/>
      <c r="D61" s="16"/>
      <c r="E61" s="17"/>
      <c r="F61" s="16"/>
      <c r="G61" s="16"/>
      <c r="H61" s="18"/>
      <c r="I61" s="19"/>
      <c r="J61" s="18"/>
    </row>
    <row r="63" spans="1:10" ht="23.4" x14ac:dyDescent="0.3">
      <c r="A63" s="31" t="s">
        <v>11</v>
      </c>
      <c r="B63" s="31"/>
      <c r="C63" s="31"/>
      <c r="D63" s="31"/>
      <c r="E63" s="31"/>
      <c r="F63" s="31"/>
      <c r="G63" s="31"/>
      <c r="H63" s="31"/>
      <c r="I63" s="31"/>
      <c r="J63" s="31"/>
    </row>
  </sheetData>
  <mergeCells count="8">
    <mergeCell ref="A52:J52"/>
    <mergeCell ref="A63:J63"/>
    <mergeCell ref="I1:J1"/>
    <mergeCell ref="A2:J2"/>
    <mergeCell ref="A3:J3"/>
    <mergeCell ref="A13:J13"/>
    <mergeCell ref="A24:J24"/>
    <mergeCell ref="A37:J37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45" orientation="portrait" horizontalDpi="1200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topLeftCell="A22" zoomScale="75" zoomScaleNormal="75" workbookViewId="0">
      <selection activeCell="E36" sqref="E36"/>
    </sheetView>
  </sheetViews>
  <sheetFormatPr defaultRowHeight="14.4" x14ac:dyDescent="0.3"/>
  <cols>
    <col min="1" max="1" width="15.6640625" customWidth="1"/>
    <col min="2" max="3" width="12.6640625" customWidth="1"/>
    <col min="4" max="4" width="15.6640625" customWidth="1"/>
    <col min="5" max="5" width="80.6640625" customWidth="1"/>
    <col min="6" max="6" width="22.77734375" style="15" bestFit="1" customWidth="1"/>
    <col min="7" max="7" width="12.33203125" customWidth="1"/>
    <col min="8" max="10" width="15.6640625" customWidth="1"/>
  </cols>
  <sheetData>
    <row r="1" spans="1:11" s="1" customFormat="1" ht="30" customHeight="1" x14ac:dyDescent="0.3">
      <c r="F1" s="2"/>
      <c r="G1" s="2"/>
      <c r="H1" s="3" t="s">
        <v>0</v>
      </c>
      <c r="I1" s="27">
        <v>45940</v>
      </c>
      <c r="J1" s="27"/>
    </row>
    <row r="2" spans="1:11" ht="40.049999999999997" customHeight="1" x14ac:dyDescent="0.3">
      <c r="A2" s="28" t="s">
        <v>24</v>
      </c>
      <c r="B2" s="29"/>
      <c r="C2" s="29"/>
      <c r="D2" s="29"/>
      <c r="E2" s="29"/>
      <c r="F2" s="29"/>
      <c r="G2" s="29"/>
      <c r="H2" s="29"/>
      <c r="I2" s="29"/>
      <c r="J2" s="30"/>
    </row>
    <row r="3" spans="1:11" ht="30" customHeight="1" x14ac:dyDescent="0.3">
      <c r="A3" s="31" t="s">
        <v>12</v>
      </c>
      <c r="B3" s="31"/>
      <c r="C3" s="31"/>
      <c r="D3" s="31"/>
      <c r="E3" s="31"/>
      <c r="F3" s="31"/>
      <c r="G3" s="31"/>
      <c r="H3" s="31"/>
      <c r="I3" s="31"/>
      <c r="J3" s="31"/>
    </row>
    <row r="4" spans="1:11" ht="30" customHeight="1" x14ac:dyDescent="0.3">
      <c r="A4" s="4" t="s">
        <v>2</v>
      </c>
      <c r="B4" s="4" t="s">
        <v>3</v>
      </c>
      <c r="C4" s="5" t="s">
        <v>4</v>
      </c>
      <c r="D4" s="5" t="s">
        <v>5</v>
      </c>
      <c r="E4" s="4" t="s">
        <v>6</v>
      </c>
      <c r="F4" s="5" t="s">
        <v>17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1" ht="19.95" customHeight="1" x14ac:dyDescent="0.3">
      <c r="A5" s="4" t="s">
        <v>55</v>
      </c>
      <c r="B5" s="4">
        <v>304</v>
      </c>
      <c r="C5" s="6">
        <v>0.9</v>
      </c>
      <c r="D5" s="6" t="s">
        <v>26</v>
      </c>
      <c r="E5" s="7" t="s">
        <v>58</v>
      </c>
      <c r="F5" s="4"/>
      <c r="G5" s="4">
        <v>430</v>
      </c>
      <c r="H5" s="8">
        <v>1500</v>
      </c>
      <c r="I5" s="9">
        <f>1000+640</f>
        <v>1640</v>
      </c>
      <c r="J5" s="22">
        <f t="shared" ref="J5:J9" si="0">H5-I5</f>
        <v>-140</v>
      </c>
      <c r="K5" s="20"/>
    </row>
    <row r="6" spans="1:11" ht="19.95" customHeight="1" x14ac:dyDescent="0.3">
      <c r="A6" s="4" t="s">
        <v>55</v>
      </c>
      <c r="B6" s="4">
        <v>304</v>
      </c>
      <c r="C6" s="6">
        <v>0.9</v>
      </c>
      <c r="D6" s="6" t="s">
        <v>22</v>
      </c>
      <c r="E6" s="7" t="s">
        <v>59</v>
      </c>
      <c r="F6" s="4"/>
      <c r="G6" s="4" t="s">
        <v>22</v>
      </c>
      <c r="H6" s="8">
        <v>1500</v>
      </c>
      <c r="I6" s="9">
        <v>1600</v>
      </c>
      <c r="J6" s="8">
        <f t="shared" si="0"/>
        <v>-100</v>
      </c>
    </row>
    <row r="7" spans="1:11" ht="19.95" customHeight="1" x14ac:dyDescent="0.3">
      <c r="A7" s="4" t="s">
        <v>55</v>
      </c>
      <c r="B7" s="4">
        <v>304</v>
      </c>
      <c r="C7" s="6">
        <v>0.9</v>
      </c>
      <c r="D7" s="6" t="s">
        <v>26</v>
      </c>
      <c r="E7" s="7" t="s">
        <v>60</v>
      </c>
      <c r="F7" s="4"/>
      <c r="G7" s="4">
        <v>430</v>
      </c>
      <c r="H7" s="8">
        <v>1500</v>
      </c>
      <c r="I7" s="9"/>
      <c r="J7" s="8">
        <f t="shared" si="0"/>
        <v>1500</v>
      </c>
    </row>
    <row r="8" spans="1:11" ht="19.95" customHeight="1" x14ac:dyDescent="0.3">
      <c r="A8" s="4" t="s">
        <v>55</v>
      </c>
      <c r="B8" s="4">
        <v>304</v>
      </c>
      <c r="C8" s="6">
        <v>0.9</v>
      </c>
      <c r="D8" s="6" t="s">
        <v>22</v>
      </c>
      <c r="E8" s="7" t="s">
        <v>61</v>
      </c>
      <c r="F8" s="4"/>
      <c r="G8" s="4" t="s">
        <v>22</v>
      </c>
      <c r="H8" s="8">
        <v>1500</v>
      </c>
      <c r="I8" s="9"/>
      <c r="J8" s="8">
        <f t="shared" si="0"/>
        <v>1500</v>
      </c>
    </row>
    <row r="9" spans="1:11" ht="19.95" customHeight="1" x14ac:dyDescent="0.3">
      <c r="A9" s="4"/>
      <c r="B9" s="4"/>
      <c r="C9" s="6"/>
      <c r="D9" s="6"/>
      <c r="E9" s="7"/>
      <c r="F9" s="4"/>
      <c r="G9" s="4"/>
      <c r="H9" s="8"/>
      <c r="I9" s="9"/>
      <c r="J9" s="8">
        <f t="shared" si="0"/>
        <v>0</v>
      </c>
    </row>
    <row r="10" spans="1:11" ht="19.95" customHeight="1" x14ac:dyDescent="0.3">
      <c r="A10" s="10"/>
      <c r="B10" s="10"/>
      <c r="C10" s="10"/>
      <c r="D10" s="10"/>
      <c r="E10" s="11"/>
      <c r="F10" s="10"/>
      <c r="G10" s="12"/>
      <c r="H10" s="13">
        <f>SUM(H5:H9)</f>
        <v>6000</v>
      </c>
      <c r="I10" s="14">
        <f>SUM(I5:I9)</f>
        <v>3240</v>
      </c>
      <c r="J10" s="8">
        <f>SUM(J5:J9)</f>
        <v>2760</v>
      </c>
    </row>
    <row r="12" spans="1:11" ht="30" customHeight="1" x14ac:dyDescent="0.3">
      <c r="A12" s="31" t="s">
        <v>15</v>
      </c>
      <c r="B12" s="31"/>
      <c r="C12" s="31"/>
      <c r="D12" s="31"/>
      <c r="E12" s="31"/>
      <c r="F12" s="31"/>
      <c r="G12" s="31"/>
      <c r="H12" s="31"/>
      <c r="I12" s="31"/>
      <c r="J12" s="31"/>
    </row>
    <row r="13" spans="1:11" ht="30" customHeight="1" x14ac:dyDescent="0.3">
      <c r="A13" s="4" t="s">
        <v>2</v>
      </c>
      <c r="B13" s="4" t="s">
        <v>3</v>
      </c>
      <c r="C13" s="5" t="s">
        <v>4</v>
      </c>
      <c r="D13" s="5" t="s">
        <v>5</v>
      </c>
      <c r="E13" s="4" t="s">
        <v>6</v>
      </c>
      <c r="F13" s="5" t="s">
        <v>17</v>
      </c>
      <c r="G13" s="5" t="s">
        <v>7</v>
      </c>
      <c r="H13" s="4" t="s">
        <v>8</v>
      </c>
      <c r="I13" s="4" t="s">
        <v>9</v>
      </c>
      <c r="J13" s="4" t="s">
        <v>10</v>
      </c>
    </row>
    <row r="14" spans="1:11" ht="19.95" customHeight="1" x14ac:dyDescent="0.3">
      <c r="A14" s="4" t="s">
        <v>55</v>
      </c>
      <c r="B14" s="4">
        <v>304</v>
      </c>
      <c r="C14" s="6">
        <v>0.9</v>
      </c>
      <c r="D14" s="6" t="s">
        <v>26</v>
      </c>
      <c r="E14" s="7" t="s">
        <v>57</v>
      </c>
      <c r="F14" s="4"/>
      <c r="G14" s="4" t="s">
        <v>22</v>
      </c>
      <c r="H14" s="8">
        <v>1200</v>
      </c>
      <c r="I14" s="9">
        <f>800+485</f>
        <v>1285</v>
      </c>
      <c r="J14" s="8">
        <f t="shared" ref="J14:J19" si="1">H14-I14</f>
        <v>-85</v>
      </c>
    </row>
    <row r="15" spans="1:11" ht="19.95" customHeight="1" x14ac:dyDescent="0.3">
      <c r="A15" s="4" t="s">
        <v>55</v>
      </c>
      <c r="B15" s="4">
        <v>304</v>
      </c>
      <c r="C15" s="6">
        <v>0.9</v>
      </c>
      <c r="D15" s="6" t="s">
        <v>26</v>
      </c>
      <c r="E15" s="7" t="s">
        <v>58</v>
      </c>
      <c r="F15" s="4"/>
      <c r="G15" s="4">
        <v>430</v>
      </c>
      <c r="H15" s="8">
        <v>1500</v>
      </c>
      <c r="I15" s="9">
        <f>1515+100</f>
        <v>1615</v>
      </c>
      <c r="J15" s="8">
        <f t="shared" si="1"/>
        <v>-115</v>
      </c>
    </row>
    <row r="16" spans="1:11" ht="19.95" customHeight="1" x14ac:dyDescent="0.3">
      <c r="A16" s="4" t="s">
        <v>55</v>
      </c>
      <c r="B16" s="4">
        <v>304</v>
      </c>
      <c r="C16" s="6">
        <v>0.9</v>
      </c>
      <c r="D16" s="6" t="s">
        <v>22</v>
      </c>
      <c r="E16" s="7" t="s">
        <v>59</v>
      </c>
      <c r="F16" s="4"/>
      <c r="G16" s="4" t="s">
        <v>22</v>
      </c>
      <c r="H16" s="8">
        <v>1500</v>
      </c>
      <c r="I16" s="9"/>
      <c r="J16" s="8">
        <f t="shared" si="1"/>
        <v>1500</v>
      </c>
    </row>
    <row r="17" spans="1:10" ht="19.95" customHeight="1" x14ac:dyDescent="0.3">
      <c r="A17" s="4" t="s">
        <v>55</v>
      </c>
      <c r="B17" s="4">
        <v>304</v>
      </c>
      <c r="C17" s="6">
        <v>0.9</v>
      </c>
      <c r="D17" s="6" t="s">
        <v>26</v>
      </c>
      <c r="E17" s="7" t="s">
        <v>60</v>
      </c>
      <c r="F17" s="4"/>
      <c r="G17" s="4">
        <v>430</v>
      </c>
      <c r="H17" s="8">
        <v>1500</v>
      </c>
      <c r="I17" s="9"/>
      <c r="J17" s="8">
        <f t="shared" si="1"/>
        <v>1500</v>
      </c>
    </row>
    <row r="18" spans="1:10" ht="19.95" customHeight="1" x14ac:dyDescent="0.3">
      <c r="A18" s="4" t="s">
        <v>55</v>
      </c>
      <c r="B18" s="4">
        <v>304</v>
      </c>
      <c r="C18" s="6">
        <v>0.9</v>
      </c>
      <c r="D18" s="6" t="s">
        <v>22</v>
      </c>
      <c r="E18" s="7" t="s">
        <v>61</v>
      </c>
      <c r="F18" s="4"/>
      <c r="G18" s="4" t="s">
        <v>22</v>
      </c>
      <c r="H18" s="8">
        <v>1500</v>
      </c>
      <c r="I18" s="9"/>
      <c r="J18" s="8">
        <f t="shared" si="1"/>
        <v>1500</v>
      </c>
    </row>
    <row r="19" spans="1:10" ht="19.95" customHeight="1" x14ac:dyDescent="0.3">
      <c r="A19" s="4"/>
      <c r="B19" s="4"/>
      <c r="C19" s="6"/>
      <c r="D19" s="6"/>
      <c r="E19" s="7"/>
      <c r="F19" s="4"/>
      <c r="G19" s="8"/>
      <c r="H19" s="8"/>
      <c r="I19" s="9"/>
      <c r="J19" s="8">
        <f t="shared" si="1"/>
        <v>0</v>
      </c>
    </row>
    <row r="20" spans="1:10" ht="19.95" customHeight="1" x14ac:dyDescent="0.3">
      <c r="A20" s="10"/>
      <c r="B20" s="10"/>
      <c r="C20" s="10"/>
      <c r="D20" s="10"/>
      <c r="E20" s="11"/>
      <c r="F20" s="10"/>
      <c r="G20" s="12"/>
      <c r="H20" s="8">
        <f>SUM(H14:H19)</f>
        <v>7200</v>
      </c>
      <c r="I20" s="9">
        <f>SUM(I14:I19)</f>
        <v>2900</v>
      </c>
      <c r="J20" s="8">
        <f>SUM(J14:J19)</f>
        <v>4300</v>
      </c>
    </row>
    <row r="21" spans="1:10" ht="19.95" customHeight="1" x14ac:dyDescent="0.3">
      <c r="A21" s="16"/>
      <c r="B21" s="16"/>
      <c r="C21" s="16"/>
      <c r="D21" s="16"/>
      <c r="E21" s="17"/>
      <c r="F21" s="16"/>
      <c r="G21" s="16"/>
      <c r="H21" s="18"/>
      <c r="I21" s="19"/>
      <c r="J21" s="18"/>
    </row>
    <row r="22" spans="1:10" ht="30" customHeight="1" x14ac:dyDescent="0.3">
      <c r="A22" s="31" t="s">
        <v>13</v>
      </c>
      <c r="B22" s="31"/>
      <c r="C22" s="31"/>
      <c r="D22" s="31"/>
      <c r="E22" s="31"/>
      <c r="F22" s="31"/>
      <c r="G22" s="31"/>
      <c r="H22" s="31"/>
      <c r="I22" s="31"/>
      <c r="J22" s="31"/>
    </row>
    <row r="23" spans="1:10" ht="30" customHeight="1" x14ac:dyDescent="0.3">
      <c r="A23" s="4" t="s">
        <v>2</v>
      </c>
      <c r="B23" s="4" t="s">
        <v>3</v>
      </c>
      <c r="C23" s="5" t="s">
        <v>4</v>
      </c>
      <c r="D23" s="5" t="s">
        <v>5</v>
      </c>
      <c r="E23" s="4" t="s">
        <v>6</v>
      </c>
      <c r="F23" s="5" t="s">
        <v>17</v>
      </c>
      <c r="G23" s="5" t="s">
        <v>7</v>
      </c>
      <c r="H23" s="4" t="s">
        <v>8</v>
      </c>
      <c r="I23" s="4" t="s">
        <v>9</v>
      </c>
      <c r="J23" s="4" t="s">
        <v>10</v>
      </c>
    </row>
    <row r="24" spans="1:10" ht="19.95" customHeight="1" x14ac:dyDescent="0.3">
      <c r="A24" s="4" t="s">
        <v>55</v>
      </c>
      <c r="B24" s="4">
        <v>304</v>
      </c>
      <c r="C24" s="6">
        <v>0.9</v>
      </c>
      <c r="D24" s="6" t="s">
        <v>26</v>
      </c>
      <c r="E24" s="7" t="s">
        <v>56</v>
      </c>
      <c r="F24" s="4"/>
      <c r="G24" s="4">
        <v>430</v>
      </c>
      <c r="H24" s="8">
        <v>1200</v>
      </c>
      <c r="I24" s="9">
        <f>500+820</f>
        <v>1320</v>
      </c>
      <c r="J24" s="8">
        <f t="shared" ref="J24:J30" si="2">H24-I24</f>
        <v>-120</v>
      </c>
    </row>
    <row r="25" spans="1:10" ht="19.95" customHeight="1" x14ac:dyDescent="0.3">
      <c r="A25" s="4" t="s">
        <v>55</v>
      </c>
      <c r="B25" s="4">
        <v>304</v>
      </c>
      <c r="C25" s="6">
        <v>0.9</v>
      </c>
      <c r="D25" s="6" t="s">
        <v>26</v>
      </c>
      <c r="E25" s="7" t="s">
        <v>57</v>
      </c>
      <c r="F25" s="4"/>
      <c r="G25" s="4" t="s">
        <v>22</v>
      </c>
      <c r="H25" s="8">
        <v>1200</v>
      </c>
      <c r="I25" s="9">
        <v>1285</v>
      </c>
      <c r="J25" s="8">
        <f t="shared" si="2"/>
        <v>-85</v>
      </c>
    </row>
    <row r="26" spans="1:10" ht="19.95" customHeight="1" x14ac:dyDescent="0.3">
      <c r="A26" s="4" t="s">
        <v>55</v>
      </c>
      <c r="B26" s="4">
        <v>304</v>
      </c>
      <c r="C26" s="6">
        <v>0.9</v>
      </c>
      <c r="D26" s="6" t="s">
        <v>26</v>
      </c>
      <c r="E26" s="7" t="s">
        <v>58</v>
      </c>
      <c r="F26" s="4"/>
      <c r="G26" s="4">
        <v>430</v>
      </c>
      <c r="H26" s="8">
        <v>1500</v>
      </c>
      <c r="I26" s="9">
        <v>565</v>
      </c>
      <c r="J26" s="8">
        <f t="shared" si="2"/>
        <v>935</v>
      </c>
    </row>
    <row r="27" spans="1:10" ht="19.95" customHeight="1" x14ac:dyDescent="0.3">
      <c r="A27" s="4" t="s">
        <v>55</v>
      </c>
      <c r="B27" s="4">
        <v>304</v>
      </c>
      <c r="C27" s="6">
        <v>0.9</v>
      </c>
      <c r="D27" s="6" t="s">
        <v>22</v>
      </c>
      <c r="E27" s="7" t="s">
        <v>59</v>
      </c>
      <c r="F27" s="4"/>
      <c r="G27" s="4" t="s">
        <v>22</v>
      </c>
      <c r="H27" s="8">
        <v>1500</v>
      </c>
      <c r="I27" s="9"/>
      <c r="J27" s="8">
        <f t="shared" si="2"/>
        <v>1500</v>
      </c>
    </row>
    <row r="28" spans="1:10" ht="19.95" customHeight="1" x14ac:dyDescent="0.3">
      <c r="A28" s="4" t="s">
        <v>55</v>
      </c>
      <c r="B28" s="4">
        <v>304</v>
      </c>
      <c r="C28" s="6">
        <v>0.9</v>
      </c>
      <c r="D28" s="6" t="s">
        <v>26</v>
      </c>
      <c r="E28" s="7" t="s">
        <v>60</v>
      </c>
      <c r="F28" s="4"/>
      <c r="G28" s="4">
        <v>430</v>
      </c>
      <c r="H28" s="8">
        <v>1500</v>
      </c>
      <c r="I28" s="9"/>
      <c r="J28" s="8">
        <f t="shared" si="2"/>
        <v>1500</v>
      </c>
    </row>
    <row r="29" spans="1:10" ht="19.95" customHeight="1" x14ac:dyDescent="0.3">
      <c r="A29" s="4" t="s">
        <v>55</v>
      </c>
      <c r="B29" s="4">
        <v>304</v>
      </c>
      <c r="C29" s="6">
        <v>0.9</v>
      </c>
      <c r="D29" s="6" t="s">
        <v>22</v>
      </c>
      <c r="E29" s="7" t="s">
        <v>61</v>
      </c>
      <c r="F29" s="4"/>
      <c r="G29" s="4" t="s">
        <v>22</v>
      </c>
      <c r="H29" s="8">
        <v>1500</v>
      </c>
      <c r="I29" s="9"/>
      <c r="J29" s="8">
        <f t="shared" si="2"/>
        <v>1500</v>
      </c>
    </row>
    <row r="30" spans="1:10" ht="19.95" customHeight="1" x14ac:dyDescent="0.3">
      <c r="A30" s="4"/>
      <c r="B30" s="4"/>
      <c r="C30" s="6"/>
      <c r="D30" s="6"/>
      <c r="E30" s="7"/>
      <c r="F30" s="4"/>
      <c r="G30" s="8"/>
      <c r="H30" s="8"/>
      <c r="I30" s="9"/>
      <c r="J30" s="8">
        <f t="shared" si="2"/>
        <v>0</v>
      </c>
    </row>
    <row r="31" spans="1:10" ht="19.95" customHeight="1" x14ac:dyDescent="0.3">
      <c r="A31" s="10"/>
      <c r="B31" s="10"/>
      <c r="C31" s="10"/>
      <c r="D31" s="10"/>
      <c r="E31" s="11"/>
      <c r="F31" s="10"/>
      <c r="G31" s="12"/>
      <c r="H31" s="8">
        <f>SUM(H24:H30)</f>
        <v>8400</v>
      </c>
      <c r="I31" s="9">
        <f>SUM(I24:I30)</f>
        <v>3170</v>
      </c>
      <c r="J31" s="8">
        <f>SUM(J24:J30)</f>
        <v>5230</v>
      </c>
    </row>
    <row r="32" spans="1:10" ht="19.95" customHeight="1" x14ac:dyDescent="0.3">
      <c r="A32" s="16"/>
      <c r="B32" s="16"/>
      <c r="C32" s="16"/>
      <c r="D32" s="16"/>
      <c r="E32" s="17"/>
      <c r="F32" s="16"/>
      <c r="G32" s="16"/>
      <c r="H32" s="18"/>
      <c r="I32" s="19"/>
      <c r="J32" s="18"/>
    </row>
    <row r="33" spans="1:10" ht="30" customHeight="1" x14ac:dyDescent="0.3">
      <c r="A33" s="31" t="s">
        <v>14</v>
      </c>
      <c r="B33" s="31"/>
      <c r="C33" s="31"/>
      <c r="D33" s="31"/>
      <c r="E33" s="31"/>
      <c r="F33" s="31"/>
      <c r="G33" s="31"/>
      <c r="H33" s="31"/>
      <c r="I33" s="31"/>
      <c r="J33" s="31"/>
    </row>
    <row r="34" spans="1:10" ht="30" customHeight="1" x14ac:dyDescent="0.3">
      <c r="A34" s="4" t="s">
        <v>2</v>
      </c>
      <c r="B34" s="4" t="s">
        <v>3</v>
      </c>
      <c r="C34" s="5" t="s">
        <v>4</v>
      </c>
      <c r="D34" s="5" t="s">
        <v>5</v>
      </c>
      <c r="E34" s="4" t="s">
        <v>6</v>
      </c>
      <c r="F34" s="5" t="s">
        <v>17</v>
      </c>
      <c r="G34" s="5" t="s">
        <v>7</v>
      </c>
      <c r="H34" s="4" t="s">
        <v>8</v>
      </c>
      <c r="I34" s="4" t="s">
        <v>9</v>
      </c>
      <c r="J34" s="4" t="s">
        <v>10</v>
      </c>
    </row>
    <row r="35" spans="1:10" ht="19.95" customHeight="1" x14ac:dyDescent="0.3">
      <c r="A35" s="4">
        <v>100925</v>
      </c>
      <c r="B35" s="4">
        <v>304</v>
      </c>
      <c r="C35" s="6">
        <v>0.9</v>
      </c>
      <c r="D35" s="6" t="s">
        <v>22</v>
      </c>
      <c r="E35" s="7" t="s">
        <v>54</v>
      </c>
      <c r="F35" s="4"/>
      <c r="G35" s="4" t="s">
        <v>22</v>
      </c>
      <c r="H35" s="8">
        <v>600</v>
      </c>
      <c r="I35" s="9">
        <v>355</v>
      </c>
      <c r="J35" s="8">
        <f t="shared" ref="J35:J42" si="3">H35-I35</f>
        <v>245</v>
      </c>
    </row>
    <row r="36" spans="1:10" ht="19.95" customHeight="1" x14ac:dyDescent="0.3">
      <c r="A36" s="4" t="s">
        <v>55</v>
      </c>
      <c r="B36" s="4">
        <v>304</v>
      </c>
      <c r="C36" s="6">
        <v>0.9</v>
      </c>
      <c r="D36" s="6" t="s">
        <v>26</v>
      </c>
      <c r="E36" s="7" t="s">
        <v>56</v>
      </c>
      <c r="F36" s="4"/>
      <c r="G36" s="4">
        <v>430</v>
      </c>
      <c r="H36" s="8">
        <v>1200</v>
      </c>
      <c r="I36" s="9">
        <v>1295</v>
      </c>
      <c r="J36" s="8">
        <f t="shared" si="3"/>
        <v>-95</v>
      </c>
    </row>
    <row r="37" spans="1:10" ht="19.95" customHeight="1" x14ac:dyDescent="0.3">
      <c r="A37" s="4" t="s">
        <v>55</v>
      </c>
      <c r="B37" s="4">
        <v>304</v>
      </c>
      <c r="C37" s="6">
        <v>0.9</v>
      </c>
      <c r="D37" s="6" t="s">
        <v>26</v>
      </c>
      <c r="E37" s="7" t="s">
        <v>57</v>
      </c>
      <c r="F37" s="4"/>
      <c r="G37" s="4" t="s">
        <v>22</v>
      </c>
      <c r="H37" s="8">
        <v>1200</v>
      </c>
      <c r="I37" s="9">
        <v>955</v>
      </c>
      <c r="J37" s="8">
        <f t="shared" si="3"/>
        <v>245</v>
      </c>
    </row>
    <row r="38" spans="1:10" ht="19.95" customHeight="1" x14ac:dyDescent="0.3">
      <c r="A38" s="4" t="s">
        <v>55</v>
      </c>
      <c r="B38" s="4">
        <v>304</v>
      </c>
      <c r="C38" s="6">
        <v>0.9</v>
      </c>
      <c r="D38" s="6" t="s">
        <v>26</v>
      </c>
      <c r="E38" s="7" t="s">
        <v>58</v>
      </c>
      <c r="F38" s="4"/>
      <c r="G38" s="4">
        <v>430</v>
      </c>
      <c r="H38" s="8">
        <v>1500</v>
      </c>
      <c r="I38" s="9"/>
      <c r="J38" s="8">
        <f t="shared" si="3"/>
        <v>1500</v>
      </c>
    </row>
    <row r="39" spans="1:10" ht="19.95" customHeight="1" x14ac:dyDescent="0.3">
      <c r="A39" s="4" t="s">
        <v>55</v>
      </c>
      <c r="B39" s="4">
        <v>304</v>
      </c>
      <c r="C39" s="6">
        <v>0.9</v>
      </c>
      <c r="D39" s="6" t="s">
        <v>22</v>
      </c>
      <c r="E39" s="7" t="s">
        <v>59</v>
      </c>
      <c r="F39" s="4"/>
      <c r="G39" s="4" t="s">
        <v>22</v>
      </c>
      <c r="H39" s="8">
        <v>1500</v>
      </c>
      <c r="I39" s="9"/>
      <c r="J39" s="8">
        <f t="shared" si="3"/>
        <v>1500</v>
      </c>
    </row>
    <row r="40" spans="1:10" ht="19.95" customHeight="1" x14ac:dyDescent="0.3">
      <c r="A40" s="4" t="s">
        <v>55</v>
      </c>
      <c r="B40" s="4">
        <v>304</v>
      </c>
      <c r="C40" s="6">
        <v>0.9</v>
      </c>
      <c r="D40" s="6" t="s">
        <v>26</v>
      </c>
      <c r="E40" s="7" t="s">
        <v>60</v>
      </c>
      <c r="F40" s="4"/>
      <c r="G40" s="4">
        <v>430</v>
      </c>
      <c r="H40" s="8">
        <v>1500</v>
      </c>
      <c r="I40" s="9"/>
      <c r="J40" s="8">
        <f t="shared" si="3"/>
        <v>1500</v>
      </c>
    </row>
    <row r="41" spans="1:10" ht="19.95" customHeight="1" x14ac:dyDescent="0.3">
      <c r="A41" s="4" t="s">
        <v>55</v>
      </c>
      <c r="B41" s="4">
        <v>304</v>
      </c>
      <c r="C41" s="6">
        <v>0.9</v>
      </c>
      <c r="D41" s="6" t="s">
        <v>22</v>
      </c>
      <c r="E41" s="7" t="s">
        <v>61</v>
      </c>
      <c r="F41" s="4"/>
      <c r="G41" s="4" t="s">
        <v>22</v>
      </c>
      <c r="H41" s="8">
        <v>1500</v>
      </c>
      <c r="I41" s="9"/>
      <c r="J41" s="8">
        <f t="shared" si="3"/>
        <v>1500</v>
      </c>
    </row>
    <row r="42" spans="1:10" ht="19.95" customHeight="1" x14ac:dyDescent="0.3">
      <c r="A42" s="4"/>
      <c r="B42" s="4"/>
      <c r="C42" s="6"/>
      <c r="D42" s="6"/>
      <c r="E42" s="7"/>
      <c r="F42" s="4"/>
      <c r="G42" s="8"/>
      <c r="H42" s="8"/>
      <c r="I42" s="9"/>
      <c r="J42" s="8">
        <f t="shared" si="3"/>
        <v>0</v>
      </c>
    </row>
    <row r="43" spans="1:10" ht="19.95" customHeight="1" x14ac:dyDescent="0.3">
      <c r="A43" s="10"/>
      <c r="B43" s="10"/>
      <c r="C43" s="10"/>
      <c r="D43" s="10"/>
      <c r="E43" s="11"/>
      <c r="F43" s="10"/>
      <c r="G43" s="12"/>
      <c r="H43" s="8">
        <f>SUM(H35:H42)</f>
        <v>9000</v>
      </c>
      <c r="I43" s="9">
        <f>SUM(I35:I42)</f>
        <v>2605</v>
      </c>
      <c r="J43" s="8">
        <f>SUM(J35:J42)</f>
        <v>6395</v>
      </c>
    </row>
    <row r="44" spans="1:10" ht="19.95" customHeight="1" x14ac:dyDescent="0.3">
      <c r="A44" s="16"/>
      <c r="B44" s="16"/>
      <c r="C44" s="16"/>
      <c r="D44" s="16"/>
      <c r="E44" s="17"/>
      <c r="F44" s="16"/>
      <c r="G44" s="16"/>
      <c r="H44" s="18"/>
      <c r="I44" s="19"/>
      <c r="J44" s="18"/>
    </row>
    <row r="45" spans="1:10" ht="30" customHeight="1" x14ac:dyDescent="0.3">
      <c r="A45" s="31" t="s">
        <v>16</v>
      </c>
      <c r="B45" s="31"/>
      <c r="C45" s="31"/>
      <c r="D45" s="31"/>
      <c r="E45" s="31"/>
      <c r="F45" s="31"/>
      <c r="G45" s="31"/>
      <c r="H45" s="31"/>
      <c r="I45" s="31"/>
      <c r="J45" s="31"/>
    </row>
    <row r="46" spans="1:10" ht="30" customHeight="1" x14ac:dyDescent="0.3">
      <c r="A46" s="4" t="s">
        <v>2</v>
      </c>
      <c r="B46" s="4" t="s">
        <v>3</v>
      </c>
      <c r="C46" s="5" t="s">
        <v>4</v>
      </c>
      <c r="D46" s="5" t="s">
        <v>5</v>
      </c>
      <c r="E46" s="4" t="s">
        <v>6</v>
      </c>
      <c r="F46" s="5" t="s">
        <v>18</v>
      </c>
      <c r="G46" s="5" t="s">
        <v>7</v>
      </c>
      <c r="H46" s="4" t="s">
        <v>8</v>
      </c>
      <c r="I46" s="4" t="s">
        <v>9</v>
      </c>
      <c r="J46" s="4" t="s">
        <v>10</v>
      </c>
    </row>
    <row r="47" spans="1:10" ht="19.95" customHeight="1" x14ac:dyDescent="0.3">
      <c r="A47" s="4"/>
      <c r="B47" s="4"/>
      <c r="C47" s="6"/>
      <c r="D47" s="6"/>
      <c r="E47" s="7"/>
      <c r="F47" s="4"/>
      <c r="G47" s="4"/>
      <c r="H47" s="8"/>
      <c r="I47" s="9"/>
      <c r="J47" s="8">
        <f t="shared" ref="J47:J52" si="4">H47-I47</f>
        <v>0</v>
      </c>
    </row>
    <row r="48" spans="1:10" ht="19.95" customHeight="1" x14ac:dyDescent="0.3">
      <c r="A48" s="4"/>
      <c r="B48" s="4"/>
      <c r="C48" s="6"/>
      <c r="D48" s="6"/>
      <c r="E48" s="7"/>
      <c r="F48" s="4"/>
      <c r="G48" s="4"/>
      <c r="H48" s="8"/>
      <c r="I48" s="9"/>
      <c r="J48" s="8">
        <f t="shared" si="4"/>
        <v>0</v>
      </c>
    </row>
    <row r="49" spans="1:10" ht="19.95" customHeight="1" x14ac:dyDescent="0.3">
      <c r="A49" s="4"/>
      <c r="B49" s="4"/>
      <c r="C49" s="6"/>
      <c r="D49" s="6"/>
      <c r="E49" s="7"/>
      <c r="F49" s="4"/>
      <c r="G49" s="4"/>
      <c r="H49" s="8"/>
      <c r="I49" s="9"/>
      <c r="J49" s="8">
        <f t="shared" si="4"/>
        <v>0</v>
      </c>
    </row>
    <row r="50" spans="1:10" ht="19.95" customHeight="1" x14ac:dyDescent="0.3">
      <c r="A50" s="4"/>
      <c r="B50" s="4"/>
      <c r="C50" s="6"/>
      <c r="D50" s="6"/>
      <c r="E50" s="7"/>
      <c r="F50" s="4"/>
      <c r="G50" s="8"/>
      <c r="H50" s="8"/>
      <c r="I50" s="9"/>
      <c r="J50" s="8">
        <f t="shared" si="4"/>
        <v>0</v>
      </c>
    </row>
    <row r="51" spans="1:10" ht="19.95" customHeight="1" x14ac:dyDescent="0.3">
      <c r="A51" s="4"/>
      <c r="B51" s="4"/>
      <c r="C51" s="6"/>
      <c r="D51" s="6"/>
      <c r="E51" s="7"/>
      <c r="F51" s="4"/>
      <c r="G51" s="4"/>
      <c r="H51" s="8"/>
      <c r="I51" s="9"/>
      <c r="J51" s="8">
        <f t="shared" si="4"/>
        <v>0</v>
      </c>
    </row>
    <row r="52" spans="1:10" ht="19.95" customHeight="1" x14ac:dyDescent="0.3">
      <c r="A52" s="4"/>
      <c r="B52" s="4"/>
      <c r="C52" s="6"/>
      <c r="D52" s="6"/>
      <c r="E52" s="7"/>
      <c r="F52" s="4"/>
      <c r="G52" s="4"/>
      <c r="H52" s="8"/>
      <c r="I52" s="9"/>
      <c r="J52" s="8">
        <f t="shared" si="4"/>
        <v>0</v>
      </c>
    </row>
    <row r="53" spans="1:10" ht="19.95" customHeight="1" x14ac:dyDescent="0.3">
      <c r="A53" s="10"/>
      <c r="B53" s="10"/>
      <c r="C53" s="10"/>
      <c r="D53" s="10"/>
      <c r="E53" s="11"/>
      <c r="F53" s="10"/>
      <c r="G53" s="12"/>
      <c r="H53" s="8">
        <f>SUM(H47:H52)</f>
        <v>0</v>
      </c>
      <c r="I53" s="9">
        <f>SUM(I47:I52)</f>
        <v>0</v>
      </c>
      <c r="J53" s="8">
        <f>SUM(J47:J52)</f>
        <v>0</v>
      </c>
    </row>
    <row r="54" spans="1:10" ht="19.95" customHeight="1" x14ac:dyDescent="0.3">
      <c r="A54" s="16"/>
      <c r="B54" s="16"/>
      <c r="C54" s="16"/>
      <c r="D54" s="16"/>
      <c r="E54" s="17"/>
      <c r="F54" s="16"/>
      <c r="G54" s="16"/>
      <c r="H54" s="18"/>
      <c r="I54" s="19"/>
      <c r="J54" s="18"/>
    </row>
    <row r="56" spans="1:10" ht="23.4" x14ac:dyDescent="0.3">
      <c r="A56" s="31" t="s">
        <v>11</v>
      </c>
      <c r="B56" s="31"/>
      <c r="C56" s="31"/>
      <c r="D56" s="31"/>
      <c r="E56" s="31"/>
      <c r="F56" s="31"/>
      <c r="G56" s="31"/>
      <c r="H56" s="31"/>
      <c r="I56" s="31"/>
      <c r="J56" s="31"/>
    </row>
  </sheetData>
  <mergeCells count="8">
    <mergeCell ref="A45:J45"/>
    <mergeCell ref="A56:J56"/>
    <mergeCell ref="I1:J1"/>
    <mergeCell ref="A2:J2"/>
    <mergeCell ref="A3:J3"/>
    <mergeCell ref="A12:J12"/>
    <mergeCell ref="A22:J22"/>
    <mergeCell ref="A33:J33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45" orientation="portrait" horizontalDpi="1200" verticalDpi="12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topLeftCell="A22" zoomScale="75" zoomScaleNormal="75" workbookViewId="0">
      <selection activeCell="I36" sqref="I36"/>
    </sheetView>
  </sheetViews>
  <sheetFormatPr defaultRowHeight="14.4" x14ac:dyDescent="0.3"/>
  <cols>
    <col min="1" max="1" width="15.6640625" customWidth="1"/>
    <col min="2" max="3" width="12.6640625" customWidth="1"/>
    <col min="4" max="4" width="15.6640625" customWidth="1"/>
    <col min="5" max="5" width="80.6640625" customWidth="1"/>
    <col min="6" max="6" width="22.77734375" style="15" bestFit="1" customWidth="1"/>
    <col min="7" max="7" width="12.33203125" customWidth="1"/>
    <col min="8" max="10" width="15.6640625" customWidth="1"/>
  </cols>
  <sheetData>
    <row r="1" spans="1:11" s="1" customFormat="1" ht="30" customHeight="1" x14ac:dyDescent="0.3">
      <c r="F1" s="2"/>
      <c r="G1" s="2"/>
      <c r="H1" s="3" t="s">
        <v>0</v>
      </c>
      <c r="I1" s="27">
        <v>45941</v>
      </c>
      <c r="J1" s="27"/>
    </row>
    <row r="2" spans="1:11" ht="40.049999999999997" customHeight="1" x14ac:dyDescent="0.3">
      <c r="A2" s="28" t="s">
        <v>1</v>
      </c>
      <c r="B2" s="29"/>
      <c r="C2" s="29"/>
      <c r="D2" s="29"/>
      <c r="E2" s="29"/>
      <c r="F2" s="29"/>
      <c r="G2" s="29"/>
      <c r="H2" s="29"/>
      <c r="I2" s="29"/>
      <c r="J2" s="30"/>
    </row>
    <row r="3" spans="1:11" ht="30" customHeight="1" x14ac:dyDescent="0.3">
      <c r="A3" s="31" t="s">
        <v>12</v>
      </c>
      <c r="B3" s="31"/>
      <c r="C3" s="31"/>
      <c r="D3" s="31"/>
      <c r="E3" s="31"/>
      <c r="F3" s="31"/>
      <c r="G3" s="31"/>
      <c r="H3" s="31"/>
      <c r="I3" s="31"/>
      <c r="J3" s="31"/>
    </row>
    <row r="4" spans="1:11" ht="30" customHeight="1" x14ac:dyDescent="0.3">
      <c r="A4" s="4" t="s">
        <v>2</v>
      </c>
      <c r="B4" s="4" t="s">
        <v>3</v>
      </c>
      <c r="C4" s="5" t="s">
        <v>4</v>
      </c>
      <c r="D4" s="5" t="s">
        <v>5</v>
      </c>
      <c r="E4" s="4" t="s">
        <v>6</v>
      </c>
      <c r="F4" s="5" t="s">
        <v>17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1" ht="19.95" customHeight="1" x14ac:dyDescent="0.3">
      <c r="A5" s="4" t="s">
        <v>55</v>
      </c>
      <c r="B5" s="4">
        <v>304</v>
      </c>
      <c r="C5" s="6">
        <v>0.9</v>
      </c>
      <c r="D5" s="6" t="s">
        <v>26</v>
      </c>
      <c r="E5" s="7" t="s">
        <v>60</v>
      </c>
      <c r="F5" s="4"/>
      <c r="G5" s="4">
        <v>430</v>
      </c>
      <c r="H5" s="8">
        <v>1500</v>
      </c>
      <c r="I5" s="9">
        <v>900</v>
      </c>
      <c r="J5" s="22">
        <f t="shared" ref="J5:J9" si="0">H5-I5</f>
        <v>600</v>
      </c>
      <c r="K5" s="20"/>
    </row>
    <row r="6" spans="1:11" ht="19.95" customHeight="1" x14ac:dyDescent="0.3">
      <c r="A6" s="4" t="s">
        <v>55</v>
      </c>
      <c r="B6" s="4">
        <v>304</v>
      </c>
      <c r="C6" s="6">
        <v>0.9</v>
      </c>
      <c r="D6" s="6" t="s">
        <v>22</v>
      </c>
      <c r="E6" s="7" t="s">
        <v>61</v>
      </c>
      <c r="F6" s="4"/>
      <c r="G6" s="4" t="s">
        <v>22</v>
      </c>
      <c r="H6" s="8">
        <v>1500</v>
      </c>
      <c r="I6" s="9"/>
      <c r="J6" s="8">
        <f t="shared" si="0"/>
        <v>1500</v>
      </c>
    </row>
    <row r="7" spans="1:11" ht="19.95" customHeight="1" x14ac:dyDescent="0.3">
      <c r="A7" s="4"/>
      <c r="B7" s="4"/>
      <c r="C7" s="6"/>
      <c r="D7" s="6"/>
      <c r="E7" s="7"/>
      <c r="F7" s="4"/>
      <c r="G7" s="4"/>
      <c r="H7" s="8"/>
      <c r="I7" s="9"/>
      <c r="J7" s="8">
        <f t="shared" si="0"/>
        <v>0</v>
      </c>
    </row>
    <row r="8" spans="1:11" ht="19.95" customHeight="1" x14ac:dyDescent="0.3">
      <c r="A8" s="4"/>
      <c r="B8" s="4"/>
      <c r="C8" s="6"/>
      <c r="D8" s="6"/>
      <c r="E8" s="7"/>
      <c r="F8" s="4"/>
      <c r="G8" s="4"/>
      <c r="H8" s="8"/>
      <c r="I8" s="9"/>
      <c r="J8" s="8">
        <f t="shared" si="0"/>
        <v>0</v>
      </c>
    </row>
    <row r="9" spans="1:11" ht="19.95" customHeight="1" x14ac:dyDescent="0.3">
      <c r="A9" s="4"/>
      <c r="B9" s="4"/>
      <c r="C9" s="6"/>
      <c r="D9" s="6"/>
      <c r="E9" s="7"/>
      <c r="F9" s="4"/>
      <c r="G9" s="4"/>
      <c r="H9" s="8"/>
      <c r="I9" s="9"/>
      <c r="J9" s="8">
        <f t="shared" si="0"/>
        <v>0</v>
      </c>
    </row>
    <row r="10" spans="1:11" ht="19.95" customHeight="1" x14ac:dyDescent="0.3">
      <c r="A10" s="10"/>
      <c r="B10" s="10"/>
      <c r="C10" s="10"/>
      <c r="D10" s="10"/>
      <c r="E10" s="11"/>
      <c r="F10" s="10"/>
      <c r="G10" s="12"/>
      <c r="H10" s="13">
        <f>SUM(H5:H9)</f>
        <v>3000</v>
      </c>
      <c r="I10" s="14">
        <f>SUM(I5:I9)</f>
        <v>900</v>
      </c>
      <c r="J10" s="8">
        <f>SUM(J5:J9)</f>
        <v>2100</v>
      </c>
    </row>
    <row r="12" spans="1:11" ht="30" customHeight="1" x14ac:dyDescent="0.3">
      <c r="A12" s="31" t="s">
        <v>15</v>
      </c>
      <c r="B12" s="31"/>
      <c r="C12" s="31"/>
      <c r="D12" s="31"/>
      <c r="E12" s="31"/>
      <c r="F12" s="31"/>
      <c r="G12" s="31"/>
      <c r="H12" s="31"/>
      <c r="I12" s="31"/>
      <c r="J12" s="31"/>
    </row>
    <row r="13" spans="1:11" ht="30" customHeight="1" x14ac:dyDescent="0.3">
      <c r="A13" s="4" t="s">
        <v>2</v>
      </c>
      <c r="B13" s="4" t="s">
        <v>3</v>
      </c>
      <c r="C13" s="5" t="s">
        <v>4</v>
      </c>
      <c r="D13" s="5" t="s">
        <v>5</v>
      </c>
      <c r="E13" s="4" t="s">
        <v>6</v>
      </c>
      <c r="F13" s="5" t="s">
        <v>17</v>
      </c>
      <c r="G13" s="5" t="s">
        <v>7</v>
      </c>
      <c r="H13" s="4" t="s">
        <v>8</v>
      </c>
      <c r="I13" s="4" t="s">
        <v>9</v>
      </c>
      <c r="J13" s="4" t="s">
        <v>10</v>
      </c>
    </row>
    <row r="14" spans="1:11" ht="19.95" customHeight="1" x14ac:dyDescent="0.3">
      <c r="A14" s="4" t="s">
        <v>55</v>
      </c>
      <c r="B14" s="4">
        <v>304</v>
      </c>
      <c r="C14" s="6">
        <v>0.9</v>
      </c>
      <c r="D14" s="6" t="s">
        <v>22</v>
      </c>
      <c r="E14" s="7" t="s">
        <v>59</v>
      </c>
      <c r="F14" s="4"/>
      <c r="G14" s="4" t="s">
        <v>22</v>
      </c>
      <c r="H14" s="8">
        <v>1500</v>
      </c>
      <c r="I14" s="9">
        <v>1000</v>
      </c>
      <c r="J14" s="8">
        <f t="shared" ref="J14:J19" si="1">H14-I14</f>
        <v>500</v>
      </c>
    </row>
    <row r="15" spans="1:11" ht="19.95" customHeight="1" x14ac:dyDescent="0.3">
      <c r="A15" s="4" t="s">
        <v>55</v>
      </c>
      <c r="B15" s="4">
        <v>304</v>
      </c>
      <c r="C15" s="6">
        <v>0.9</v>
      </c>
      <c r="D15" s="6" t="s">
        <v>26</v>
      </c>
      <c r="E15" s="7" t="s">
        <v>60</v>
      </c>
      <c r="F15" s="4"/>
      <c r="G15" s="4">
        <v>430</v>
      </c>
      <c r="H15" s="8">
        <v>1500</v>
      </c>
      <c r="I15" s="9"/>
      <c r="J15" s="8">
        <f t="shared" si="1"/>
        <v>1500</v>
      </c>
    </row>
    <row r="16" spans="1:11" ht="19.95" customHeight="1" x14ac:dyDescent="0.3">
      <c r="A16" s="4" t="s">
        <v>55</v>
      </c>
      <c r="B16" s="4">
        <v>304</v>
      </c>
      <c r="C16" s="6">
        <v>0.9</v>
      </c>
      <c r="D16" s="6" t="s">
        <v>22</v>
      </c>
      <c r="E16" s="7" t="s">
        <v>61</v>
      </c>
      <c r="F16" s="4"/>
      <c r="G16" s="4" t="s">
        <v>22</v>
      </c>
      <c r="H16" s="8">
        <v>1500</v>
      </c>
      <c r="I16" s="9"/>
      <c r="J16" s="8">
        <f t="shared" si="1"/>
        <v>1500</v>
      </c>
    </row>
    <row r="17" spans="1:10" ht="19.95" customHeight="1" x14ac:dyDescent="0.3">
      <c r="A17" s="4"/>
      <c r="B17" s="4"/>
      <c r="C17" s="6"/>
      <c r="D17" s="6"/>
      <c r="E17" s="7"/>
      <c r="F17" s="4"/>
      <c r="G17" s="4"/>
      <c r="H17" s="8"/>
      <c r="I17" s="9"/>
      <c r="J17" s="8">
        <f t="shared" si="1"/>
        <v>0</v>
      </c>
    </row>
    <row r="18" spans="1:10" ht="19.95" customHeight="1" x14ac:dyDescent="0.3">
      <c r="A18" s="4"/>
      <c r="B18" s="4"/>
      <c r="C18" s="6"/>
      <c r="D18" s="6"/>
      <c r="E18" s="7"/>
      <c r="F18" s="4"/>
      <c r="G18" s="4"/>
      <c r="H18" s="8"/>
      <c r="I18" s="9"/>
      <c r="J18" s="8">
        <f t="shared" si="1"/>
        <v>0</v>
      </c>
    </row>
    <row r="19" spans="1:10" ht="19.95" customHeight="1" x14ac:dyDescent="0.3">
      <c r="A19" s="4"/>
      <c r="B19" s="4"/>
      <c r="C19" s="6"/>
      <c r="D19" s="6"/>
      <c r="E19" s="7"/>
      <c r="F19" s="4"/>
      <c r="G19" s="8"/>
      <c r="H19" s="8"/>
      <c r="I19" s="9"/>
      <c r="J19" s="8">
        <f t="shared" si="1"/>
        <v>0</v>
      </c>
    </row>
    <row r="20" spans="1:10" ht="19.95" customHeight="1" x14ac:dyDescent="0.3">
      <c r="A20" s="10"/>
      <c r="B20" s="10"/>
      <c r="C20" s="10"/>
      <c r="D20" s="10"/>
      <c r="E20" s="11"/>
      <c r="F20" s="10"/>
      <c r="G20" s="12"/>
      <c r="H20" s="8">
        <f>SUM(H14:H19)</f>
        <v>4500</v>
      </c>
      <c r="I20" s="9">
        <f>SUM(I14:I19)</f>
        <v>1000</v>
      </c>
      <c r="J20" s="8">
        <f>SUM(J14:J19)</f>
        <v>3500</v>
      </c>
    </row>
    <row r="21" spans="1:10" ht="19.95" customHeight="1" x14ac:dyDescent="0.3">
      <c r="A21" s="16"/>
      <c r="B21" s="16"/>
      <c r="C21" s="16"/>
      <c r="D21" s="16"/>
      <c r="E21" s="17"/>
      <c r="F21" s="16"/>
      <c r="G21" s="16"/>
      <c r="H21" s="18"/>
      <c r="I21" s="19"/>
      <c r="J21" s="18"/>
    </row>
    <row r="22" spans="1:10" ht="30" customHeight="1" x14ac:dyDescent="0.3">
      <c r="A22" s="31" t="s">
        <v>13</v>
      </c>
      <c r="B22" s="31"/>
      <c r="C22" s="31"/>
      <c r="D22" s="31"/>
      <c r="E22" s="31"/>
      <c r="F22" s="31"/>
      <c r="G22" s="31"/>
      <c r="H22" s="31"/>
      <c r="I22" s="31"/>
      <c r="J22" s="31"/>
    </row>
    <row r="23" spans="1:10" ht="30" customHeight="1" x14ac:dyDescent="0.3">
      <c r="A23" s="4" t="s">
        <v>2</v>
      </c>
      <c r="B23" s="4" t="s">
        <v>3</v>
      </c>
      <c r="C23" s="5" t="s">
        <v>4</v>
      </c>
      <c r="D23" s="5" t="s">
        <v>5</v>
      </c>
      <c r="E23" s="4" t="s">
        <v>6</v>
      </c>
      <c r="F23" s="5" t="s">
        <v>17</v>
      </c>
      <c r="G23" s="5" t="s">
        <v>7</v>
      </c>
      <c r="H23" s="4" t="s">
        <v>8</v>
      </c>
      <c r="I23" s="4" t="s">
        <v>9</v>
      </c>
      <c r="J23" s="4" t="s">
        <v>10</v>
      </c>
    </row>
    <row r="24" spans="1:10" ht="19.95" customHeight="1" x14ac:dyDescent="0.3">
      <c r="A24" s="4" t="s">
        <v>55</v>
      </c>
      <c r="B24" s="4">
        <v>304</v>
      </c>
      <c r="C24" s="6">
        <v>0.9</v>
      </c>
      <c r="D24" s="6" t="s">
        <v>26</v>
      </c>
      <c r="E24" s="7" t="s">
        <v>58</v>
      </c>
      <c r="F24" s="4"/>
      <c r="G24" s="4">
        <v>430</v>
      </c>
      <c r="H24" s="8">
        <v>1500</v>
      </c>
      <c r="I24" s="9">
        <f>565+1085</f>
        <v>1650</v>
      </c>
      <c r="J24" s="8">
        <f t="shared" ref="J24:J30" si="2">H24-I24</f>
        <v>-150</v>
      </c>
    </row>
    <row r="25" spans="1:10" ht="19.95" customHeight="1" x14ac:dyDescent="0.3">
      <c r="A25" s="4" t="s">
        <v>55</v>
      </c>
      <c r="B25" s="4">
        <v>304</v>
      </c>
      <c r="C25" s="6">
        <v>0.9</v>
      </c>
      <c r="D25" s="6" t="s">
        <v>22</v>
      </c>
      <c r="E25" s="7" t="s">
        <v>59</v>
      </c>
      <c r="F25" s="4"/>
      <c r="G25" s="4" t="s">
        <v>22</v>
      </c>
      <c r="H25" s="8">
        <v>1500</v>
      </c>
      <c r="I25" s="9">
        <f>350</f>
        <v>350</v>
      </c>
      <c r="J25" s="8">
        <f t="shared" si="2"/>
        <v>1150</v>
      </c>
    </row>
    <row r="26" spans="1:10" ht="19.95" customHeight="1" x14ac:dyDescent="0.3">
      <c r="A26" s="4" t="s">
        <v>55</v>
      </c>
      <c r="B26" s="4">
        <v>304</v>
      </c>
      <c r="C26" s="6">
        <v>0.9</v>
      </c>
      <c r="D26" s="6" t="s">
        <v>26</v>
      </c>
      <c r="E26" s="7" t="s">
        <v>60</v>
      </c>
      <c r="F26" s="4"/>
      <c r="G26" s="4">
        <v>430</v>
      </c>
      <c r="H26" s="8">
        <v>1500</v>
      </c>
      <c r="I26" s="9"/>
      <c r="J26" s="8">
        <f t="shared" si="2"/>
        <v>1500</v>
      </c>
    </row>
    <row r="27" spans="1:10" ht="19.95" customHeight="1" x14ac:dyDescent="0.3">
      <c r="A27" s="4" t="s">
        <v>55</v>
      </c>
      <c r="B27" s="4">
        <v>304</v>
      </c>
      <c r="C27" s="6">
        <v>0.9</v>
      </c>
      <c r="D27" s="6" t="s">
        <v>22</v>
      </c>
      <c r="E27" s="7" t="s">
        <v>61</v>
      </c>
      <c r="F27" s="4"/>
      <c r="G27" s="4" t="s">
        <v>22</v>
      </c>
      <c r="H27" s="8">
        <v>1500</v>
      </c>
      <c r="I27" s="9"/>
      <c r="J27" s="8">
        <f t="shared" si="2"/>
        <v>1500</v>
      </c>
    </row>
    <row r="28" spans="1:10" ht="19.95" customHeight="1" x14ac:dyDescent="0.3">
      <c r="A28" s="4"/>
      <c r="B28" s="4"/>
      <c r="C28" s="6"/>
      <c r="D28" s="6"/>
      <c r="E28" s="7"/>
      <c r="F28" s="4"/>
      <c r="G28" s="4"/>
      <c r="H28" s="8"/>
      <c r="I28" s="9"/>
      <c r="J28" s="8">
        <f t="shared" si="2"/>
        <v>0</v>
      </c>
    </row>
    <row r="29" spans="1:10" ht="19.95" customHeight="1" x14ac:dyDescent="0.3">
      <c r="A29" s="4"/>
      <c r="B29" s="4"/>
      <c r="C29" s="6"/>
      <c r="D29" s="6"/>
      <c r="E29" s="7"/>
      <c r="F29" s="4"/>
      <c r="G29" s="4"/>
      <c r="H29" s="8"/>
      <c r="I29" s="9"/>
      <c r="J29" s="8">
        <f t="shared" si="2"/>
        <v>0</v>
      </c>
    </row>
    <row r="30" spans="1:10" ht="19.95" customHeight="1" x14ac:dyDescent="0.3">
      <c r="A30" s="4"/>
      <c r="B30" s="4"/>
      <c r="C30" s="6"/>
      <c r="D30" s="6"/>
      <c r="E30" s="7"/>
      <c r="F30" s="4"/>
      <c r="G30" s="8"/>
      <c r="H30" s="8"/>
      <c r="I30" s="9"/>
      <c r="J30" s="8">
        <f t="shared" si="2"/>
        <v>0</v>
      </c>
    </row>
    <row r="31" spans="1:10" ht="19.95" customHeight="1" x14ac:dyDescent="0.3">
      <c r="A31" s="10"/>
      <c r="B31" s="10"/>
      <c r="C31" s="10"/>
      <c r="D31" s="10"/>
      <c r="E31" s="11"/>
      <c r="F31" s="10"/>
      <c r="G31" s="12"/>
      <c r="H31" s="8">
        <f>SUM(H24:H30)</f>
        <v>6000</v>
      </c>
      <c r="I31" s="9">
        <f>SUM(I24:I30)</f>
        <v>2000</v>
      </c>
      <c r="J31" s="8">
        <f>SUM(J24:J30)</f>
        <v>4000</v>
      </c>
    </row>
    <row r="32" spans="1:10" ht="19.95" customHeight="1" x14ac:dyDescent="0.3">
      <c r="A32" s="16"/>
      <c r="B32" s="16"/>
      <c r="C32" s="16"/>
      <c r="D32" s="16"/>
      <c r="E32" s="17"/>
      <c r="F32" s="16"/>
      <c r="G32" s="16"/>
      <c r="H32" s="18"/>
      <c r="I32" s="19"/>
      <c r="J32" s="18"/>
    </row>
    <row r="33" spans="1:10" ht="30" customHeight="1" x14ac:dyDescent="0.3">
      <c r="A33" s="31" t="s">
        <v>14</v>
      </c>
      <c r="B33" s="31"/>
      <c r="C33" s="31"/>
      <c r="D33" s="31"/>
      <c r="E33" s="31"/>
      <c r="F33" s="31"/>
      <c r="G33" s="31"/>
      <c r="H33" s="31"/>
      <c r="I33" s="31"/>
      <c r="J33" s="31"/>
    </row>
    <row r="34" spans="1:10" ht="30" customHeight="1" x14ac:dyDescent="0.3">
      <c r="A34" s="4" t="s">
        <v>2</v>
      </c>
      <c r="B34" s="4" t="s">
        <v>3</v>
      </c>
      <c r="C34" s="5" t="s">
        <v>4</v>
      </c>
      <c r="D34" s="5" t="s">
        <v>5</v>
      </c>
      <c r="E34" s="4" t="s">
        <v>6</v>
      </c>
      <c r="F34" s="5" t="s">
        <v>17</v>
      </c>
      <c r="G34" s="5" t="s">
        <v>7</v>
      </c>
      <c r="H34" s="4" t="s">
        <v>8</v>
      </c>
      <c r="I34" s="4" t="s">
        <v>9</v>
      </c>
      <c r="J34" s="4" t="s">
        <v>10</v>
      </c>
    </row>
    <row r="35" spans="1:10" ht="19.95" customHeight="1" x14ac:dyDescent="0.3">
      <c r="A35" s="4">
        <v>100925</v>
      </c>
      <c r="B35" s="4">
        <v>304</v>
      </c>
      <c r="C35" s="6">
        <v>0.9</v>
      </c>
      <c r="D35" s="6" t="s">
        <v>22</v>
      </c>
      <c r="E35" s="7" t="s">
        <v>54</v>
      </c>
      <c r="F35" s="4"/>
      <c r="G35" s="4" t="s">
        <v>22</v>
      </c>
      <c r="H35" s="8">
        <v>600</v>
      </c>
      <c r="I35" s="9">
        <v>355</v>
      </c>
      <c r="J35" s="8">
        <f t="shared" ref="J35:J42" si="3">H35-I35</f>
        <v>245</v>
      </c>
    </row>
    <row r="36" spans="1:10" ht="19.95" customHeight="1" x14ac:dyDescent="0.3">
      <c r="A36" s="4" t="s">
        <v>55</v>
      </c>
      <c r="B36" s="4">
        <v>304</v>
      </c>
      <c r="C36" s="6">
        <v>0.9</v>
      </c>
      <c r="D36" s="6" t="s">
        <v>26</v>
      </c>
      <c r="E36" s="7" t="s">
        <v>57</v>
      </c>
      <c r="F36" s="4"/>
      <c r="G36" s="4" t="s">
        <v>22</v>
      </c>
      <c r="H36" s="8">
        <v>1200</v>
      </c>
      <c r="I36" s="9">
        <v>955</v>
      </c>
      <c r="J36" s="8">
        <f t="shared" si="3"/>
        <v>245</v>
      </c>
    </row>
    <row r="37" spans="1:10" ht="19.95" customHeight="1" x14ac:dyDescent="0.3">
      <c r="A37" s="4" t="s">
        <v>55</v>
      </c>
      <c r="B37" s="4">
        <v>304</v>
      </c>
      <c r="C37" s="6">
        <v>0.9</v>
      </c>
      <c r="D37" s="6" t="s">
        <v>26</v>
      </c>
      <c r="E37" s="7" t="s">
        <v>58</v>
      </c>
      <c r="F37" s="4"/>
      <c r="G37" s="4">
        <v>430</v>
      </c>
      <c r="H37" s="8">
        <v>1500</v>
      </c>
      <c r="I37" s="9"/>
      <c r="J37" s="8">
        <f t="shared" si="3"/>
        <v>1500</v>
      </c>
    </row>
    <row r="38" spans="1:10" ht="19.95" customHeight="1" x14ac:dyDescent="0.3">
      <c r="A38" s="4" t="s">
        <v>55</v>
      </c>
      <c r="B38" s="4">
        <v>304</v>
      </c>
      <c r="C38" s="6">
        <v>0.9</v>
      </c>
      <c r="D38" s="6" t="s">
        <v>22</v>
      </c>
      <c r="E38" s="7" t="s">
        <v>59</v>
      </c>
      <c r="F38" s="4"/>
      <c r="G38" s="4" t="s">
        <v>22</v>
      </c>
      <c r="H38" s="8">
        <v>1500</v>
      </c>
      <c r="I38" s="9"/>
      <c r="J38" s="8">
        <f t="shared" si="3"/>
        <v>1500</v>
      </c>
    </row>
    <row r="39" spans="1:10" ht="19.95" customHeight="1" x14ac:dyDescent="0.3">
      <c r="A39" s="4" t="s">
        <v>55</v>
      </c>
      <c r="B39" s="4">
        <v>304</v>
      </c>
      <c r="C39" s="6">
        <v>0.9</v>
      </c>
      <c r="D39" s="6" t="s">
        <v>26</v>
      </c>
      <c r="E39" s="7" t="s">
        <v>60</v>
      </c>
      <c r="F39" s="4"/>
      <c r="G39" s="4">
        <v>430</v>
      </c>
      <c r="H39" s="8">
        <v>1500</v>
      </c>
      <c r="I39" s="9"/>
      <c r="J39" s="8">
        <f t="shared" si="3"/>
        <v>1500</v>
      </c>
    </row>
    <row r="40" spans="1:10" ht="19.95" customHeight="1" x14ac:dyDescent="0.3">
      <c r="A40" s="4" t="s">
        <v>55</v>
      </c>
      <c r="B40" s="4">
        <v>304</v>
      </c>
      <c r="C40" s="6">
        <v>0.9</v>
      </c>
      <c r="D40" s="6" t="s">
        <v>22</v>
      </c>
      <c r="E40" s="7" t="s">
        <v>61</v>
      </c>
      <c r="F40" s="4"/>
      <c r="G40" s="4" t="s">
        <v>22</v>
      </c>
      <c r="H40" s="8">
        <v>1500</v>
      </c>
      <c r="I40" s="9"/>
      <c r="J40" s="8">
        <f t="shared" si="3"/>
        <v>1500</v>
      </c>
    </row>
    <row r="41" spans="1:10" ht="19.95" customHeight="1" x14ac:dyDescent="0.3">
      <c r="A41" s="4"/>
      <c r="B41" s="4"/>
      <c r="C41" s="6"/>
      <c r="D41" s="6"/>
      <c r="E41" s="7"/>
      <c r="F41" s="4"/>
      <c r="G41" s="4"/>
      <c r="H41" s="8"/>
      <c r="I41" s="9"/>
      <c r="J41" s="8">
        <f t="shared" si="3"/>
        <v>0</v>
      </c>
    </row>
    <row r="42" spans="1:10" ht="19.95" customHeight="1" x14ac:dyDescent="0.3">
      <c r="A42" s="4"/>
      <c r="B42" s="4"/>
      <c r="C42" s="6"/>
      <c r="D42" s="6"/>
      <c r="E42" s="7"/>
      <c r="F42" s="4"/>
      <c r="G42" s="8"/>
      <c r="H42" s="8"/>
      <c r="I42" s="9"/>
      <c r="J42" s="8">
        <f t="shared" si="3"/>
        <v>0</v>
      </c>
    </row>
    <row r="43" spans="1:10" ht="19.95" customHeight="1" x14ac:dyDescent="0.3">
      <c r="A43" s="10"/>
      <c r="B43" s="10"/>
      <c r="C43" s="10"/>
      <c r="D43" s="10"/>
      <c r="E43" s="11"/>
      <c r="F43" s="10"/>
      <c r="G43" s="12"/>
      <c r="H43" s="8">
        <f>SUM(H35:H42)</f>
        <v>7800</v>
      </c>
      <c r="I43" s="9">
        <f>SUM(I35:I42)</f>
        <v>1310</v>
      </c>
      <c r="J43" s="8">
        <f>SUM(J35:J42)</f>
        <v>6490</v>
      </c>
    </row>
    <row r="44" spans="1:10" ht="19.95" customHeight="1" x14ac:dyDescent="0.3">
      <c r="A44" s="16"/>
      <c r="B44" s="16"/>
      <c r="C44" s="16"/>
      <c r="D44" s="16"/>
      <c r="E44" s="17"/>
      <c r="F44" s="16"/>
      <c r="G44" s="16"/>
      <c r="H44" s="18"/>
      <c r="I44" s="19"/>
      <c r="J44" s="18"/>
    </row>
    <row r="45" spans="1:10" ht="30" customHeight="1" x14ac:dyDescent="0.3">
      <c r="A45" s="31" t="s">
        <v>16</v>
      </c>
      <c r="B45" s="31"/>
      <c r="C45" s="31"/>
      <c r="D45" s="31"/>
      <c r="E45" s="31"/>
      <c r="F45" s="31"/>
      <c r="G45" s="31"/>
      <c r="H45" s="31"/>
      <c r="I45" s="31"/>
      <c r="J45" s="31"/>
    </row>
    <row r="46" spans="1:10" ht="30" customHeight="1" x14ac:dyDescent="0.3">
      <c r="A46" s="4" t="s">
        <v>2</v>
      </c>
      <c r="B46" s="4" t="s">
        <v>3</v>
      </c>
      <c r="C46" s="5" t="s">
        <v>4</v>
      </c>
      <c r="D46" s="5" t="s">
        <v>5</v>
      </c>
      <c r="E46" s="4" t="s">
        <v>6</v>
      </c>
      <c r="F46" s="5" t="s">
        <v>18</v>
      </c>
      <c r="G46" s="5" t="s">
        <v>7</v>
      </c>
      <c r="H46" s="4" t="s">
        <v>8</v>
      </c>
      <c r="I46" s="4" t="s">
        <v>9</v>
      </c>
      <c r="J46" s="4" t="s">
        <v>10</v>
      </c>
    </row>
    <row r="47" spans="1:10" ht="19.95" customHeight="1" x14ac:dyDescent="0.3">
      <c r="A47" s="4"/>
      <c r="B47" s="4"/>
      <c r="C47" s="6"/>
      <c r="D47" s="6"/>
      <c r="E47" s="7"/>
      <c r="F47" s="4"/>
      <c r="G47" s="4"/>
      <c r="H47" s="8"/>
      <c r="I47" s="9"/>
      <c r="J47" s="8">
        <f t="shared" ref="J47:J52" si="4">H47-I47</f>
        <v>0</v>
      </c>
    </row>
    <row r="48" spans="1:10" ht="19.95" customHeight="1" x14ac:dyDescent="0.3">
      <c r="A48" s="4"/>
      <c r="B48" s="4"/>
      <c r="C48" s="6"/>
      <c r="D48" s="6"/>
      <c r="E48" s="7"/>
      <c r="F48" s="4"/>
      <c r="G48" s="4"/>
      <c r="H48" s="8"/>
      <c r="I48" s="9"/>
      <c r="J48" s="8">
        <f t="shared" si="4"/>
        <v>0</v>
      </c>
    </row>
    <row r="49" spans="1:10" ht="19.95" customHeight="1" x14ac:dyDescent="0.3">
      <c r="A49" s="4"/>
      <c r="B49" s="4"/>
      <c r="C49" s="6"/>
      <c r="D49" s="6"/>
      <c r="E49" s="7"/>
      <c r="F49" s="4"/>
      <c r="G49" s="4"/>
      <c r="H49" s="8"/>
      <c r="I49" s="9"/>
      <c r="J49" s="8">
        <f t="shared" si="4"/>
        <v>0</v>
      </c>
    </row>
    <row r="50" spans="1:10" ht="19.95" customHeight="1" x14ac:dyDescent="0.3">
      <c r="A50" s="4"/>
      <c r="B50" s="4"/>
      <c r="C50" s="6"/>
      <c r="D50" s="6"/>
      <c r="E50" s="7"/>
      <c r="F50" s="4"/>
      <c r="G50" s="8"/>
      <c r="H50" s="8"/>
      <c r="I50" s="9"/>
      <c r="J50" s="8">
        <f t="shared" si="4"/>
        <v>0</v>
      </c>
    </row>
    <row r="51" spans="1:10" ht="19.95" customHeight="1" x14ac:dyDescent="0.3">
      <c r="A51" s="4"/>
      <c r="B51" s="4"/>
      <c r="C51" s="6"/>
      <c r="D51" s="6"/>
      <c r="E51" s="7"/>
      <c r="F51" s="4"/>
      <c r="G51" s="4"/>
      <c r="H51" s="8"/>
      <c r="I51" s="9"/>
      <c r="J51" s="8">
        <f t="shared" si="4"/>
        <v>0</v>
      </c>
    </row>
    <row r="52" spans="1:10" ht="19.95" customHeight="1" x14ac:dyDescent="0.3">
      <c r="A52" s="4"/>
      <c r="B52" s="4"/>
      <c r="C52" s="6"/>
      <c r="D52" s="6"/>
      <c r="E52" s="7"/>
      <c r="F52" s="4"/>
      <c r="G52" s="4"/>
      <c r="H52" s="8"/>
      <c r="I52" s="9"/>
      <c r="J52" s="8">
        <f t="shared" si="4"/>
        <v>0</v>
      </c>
    </row>
    <row r="53" spans="1:10" ht="19.95" customHeight="1" x14ac:dyDescent="0.3">
      <c r="A53" s="10"/>
      <c r="B53" s="10"/>
      <c r="C53" s="10"/>
      <c r="D53" s="10"/>
      <c r="E53" s="11"/>
      <c r="F53" s="10"/>
      <c r="G53" s="12"/>
      <c r="H53" s="8">
        <f>SUM(H47:H52)</f>
        <v>0</v>
      </c>
      <c r="I53" s="9">
        <f>SUM(I47:I52)</f>
        <v>0</v>
      </c>
      <c r="J53" s="8">
        <f>SUM(J47:J52)</f>
        <v>0</v>
      </c>
    </row>
    <row r="54" spans="1:10" ht="19.95" customHeight="1" x14ac:dyDescent="0.3">
      <c r="A54" s="16"/>
      <c r="B54" s="16"/>
      <c r="C54" s="16"/>
      <c r="D54" s="16"/>
      <c r="E54" s="17"/>
      <c r="F54" s="16"/>
      <c r="G54" s="16"/>
      <c r="H54" s="18"/>
      <c r="I54" s="19"/>
      <c r="J54" s="18"/>
    </row>
    <row r="56" spans="1:10" ht="23.4" x14ac:dyDescent="0.3">
      <c r="A56" s="31" t="s">
        <v>11</v>
      </c>
      <c r="B56" s="31"/>
      <c r="C56" s="31"/>
      <c r="D56" s="31"/>
      <c r="E56" s="31"/>
      <c r="F56" s="31"/>
      <c r="G56" s="31"/>
      <c r="H56" s="31"/>
      <c r="I56" s="31"/>
      <c r="J56" s="31"/>
    </row>
  </sheetData>
  <mergeCells count="8">
    <mergeCell ref="A45:J45"/>
    <mergeCell ref="A56:J56"/>
    <mergeCell ref="I1:J1"/>
    <mergeCell ref="A2:J2"/>
    <mergeCell ref="A3:J3"/>
    <mergeCell ref="A12:J12"/>
    <mergeCell ref="A22:J22"/>
    <mergeCell ref="A33:J33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45" orientation="portrait" horizontalDpi="1200" verticalDpi="12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topLeftCell="A22" zoomScale="75" zoomScaleNormal="75" workbookViewId="0">
      <selection activeCell="I38" sqref="I38"/>
    </sheetView>
  </sheetViews>
  <sheetFormatPr defaultRowHeight="14.4" x14ac:dyDescent="0.3"/>
  <cols>
    <col min="1" max="1" width="15.6640625" customWidth="1"/>
    <col min="2" max="3" width="12.6640625" customWidth="1"/>
    <col min="4" max="4" width="15.6640625" customWidth="1"/>
    <col min="5" max="5" width="80.6640625" customWidth="1"/>
    <col min="6" max="6" width="22.77734375" style="15" bestFit="1" customWidth="1"/>
    <col min="7" max="7" width="12.33203125" customWidth="1"/>
    <col min="8" max="10" width="15.6640625" customWidth="1"/>
  </cols>
  <sheetData>
    <row r="1" spans="1:11" s="1" customFormat="1" ht="30" customHeight="1" x14ac:dyDescent="0.3">
      <c r="F1" s="2"/>
      <c r="G1" s="2"/>
      <c r="H1" s="3" t="s">
        <v>0</v>
      </c>
      <c r="I1" s="27">
        <v>45943</v>
      </c>
      <c r="J1" s="27"/>
    </row>
    <row r="2" spans="1:11" ht="40.049999999999997" customHeight="1" x14ac:dyDescent="0.3">
      <c r="A2" s="28" t="s">
        <v>30</v>
      </c>
      <c r="B2" s="29"/>
      <c r="C2" s="29"/>
      <c r="D2" s="29"/>
      <c r="E2" s="29"/>
      <c r="F2" s="29"/>
      <c r="G2" s="29"/>
      <c r="H2" s="29"/>
      <c r="I2" s="29"/>
      <c r="J2" s="30"/>
    </row>
    <row r="3" spans="1:11" ht="30" customHeight="1" x14ac:dyDescent="0.3">
      <c r="A3" s="31" t="s">
        <v>12</v>
      </c>
      <c r="B3" s="31"/>
      <c r="C3" s="31"/>
      <c r="D3" s="31"/>
      <c r="E3" s="31"/>
      <c r="F3" s="31"/>
      <c r="G3" s="31"/>
      <c r="H3" s="31"/>
      <c r="I3" s="31"/>
      <c r="J3" s="31"/>
    </row>
    <row r="4" spans="1:11" ht="30" customHeight="1" x14ac:dyDescent="0.3">
      <c r="A4" s="4" t="s">
        <v>2</v>
      </c>
      <c r="B4" s="4" t="s">
        <v>3</v>
      </c>
      <c r="C4" s="5" t="s">
        <v>4</v>
      </c>
      <c r="D4" s="5" t="s">
        <v>5</v>
      </c>
      <c r="E4" s="4" t="s">
        <v>6</v>
      </c>
      <c r="F4" s="5" t="s">
        <v>17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1" ht="19.95" customHeight="1" x14ac:dyDescent="0.3">
      <c r="A5" s="4" t="s">
        <v>55</v>
      </c>
      <c r="B5" s="4">
        <v>304</v>
      </c>
      <c r="C5" s="6">
        <v>0.9</v>
      </c>
      <c r="D5" s="6" t="s">
        <v>26</v>
      </c>
      <c r="E5" s="7" t="s">
        <v>60</v>
      </c>
      <c r="F5" s="4"/>
      <c r="G5" s="4">
        <v>430</v>
      </c>
      <c r="H5" s="8">
        <v>1500</v>
      </c>
      <c r="I5" s="9">
        <f>900+615</f>
        <v>1515</v>
      </c>
      <c r="J5" s="22">
        <f t="shared" ref="J5:J9" si="0">H5-I5</f>
        <v>-15</v>
      </c>
      <c r="K5" s="20"/>
    </row>
    <row r="6" spans="1:11" ht="19.95" customHeight="1" x14ac:dyDescent="0.3">
      <c r="A6" s="4" t="s">
        <v>55</v>
      </c>
      <c r="B6" s="4">
        <v>304</v>
      </c>
      <c r="C6" s="6">
        <v>0.9</v>
      </c>
      <c r="D6" s="6" t="s">
        <v>22</v>
      </c>
      <c r="E6" s="7" t="s">
        <v>61</v>
      </c>
      <c r="F6" s="4"/>
      <c r="G6" s="4" t="s">
        <v>22</v>
      </c>
      <c r="H6" s="8">
        <v>1500</v>
      </c>
      <c r="I6" s="9">
        <v>1300</v>
      </c>
      <c r="J6" s="8">
        <f t="shared" si="0"/>
        <v>200</v>
      </c>
    </row>
    <row r="7" spans="1:11" ht="19.95" customHeight="1" x14ac:dyDescent="0.3">
      <c r="A7" s="4">
        <v>160925</v>
      </c>
      <c r="B7" s="4">
        <v>304</v>
      </c>
      <c r="C7" s="6">
        <v>0.9</v>
      </c>
      <c r="D7" s="6" t="s">
        <v>26</v>
      </c>
      <c r="E7" s="7" t="s">
        <v>62</v>
      </c>
      <c r="F7" s="4"/>
      <c r="G7" s="4">
        <v>430</v>
      </c>
      <c r="H7" s="8">
        <v>1100</v>
      </c>
      <c r="I7" s="9"/>
      <c r="J7" s="8">
        <f t="shared" si="0"/>
        <v>1100</v>
      </c>
    </row>
    <row r="8" spans="1:11" ht="19.95" customHeight="1" x14ac:dyDescent="0.3">
      <c r="A8" s="4">
        <v>160925</v>
      </c>
      <c r="B8" s="4">
        <v>304</v>
      </c>
      <c r="C8" s="6">
        <v>0.9</v>
      </c>
      <c r="D8" s="6" t="s">
        <v>22</v>
      </c>
      <c r="E8" s="7" t="s">
        <v>63</v>
      </c>
      <c r="F8" s="4"/>
      <c r="G8" s="4" t="s">
        <v>22</v>
      </c>
      <c r="H8" s="8">
        <v>1100</v>
      </c>
      <c r="I8" s="9"/>
      <c r="J8" s="8">
        <f t="shared" si="0"/>
        <v>1100</v>
      </c>
    </row>
    <row r="9" spans="1:11" ht="19.95" customHeight="1" x14ac:dyDescent="0.3">
      <c r="A9" s="4"/>
      <c r="B9" s="4"/>
      <c r="C9" s="6"/>
      <c r="D9" s="6"/>
      <c r="E9" s="7"/>
      <c r="F9" s="4"/>
      <c r="G9" s="4"/>
      <c r="H9" s="8"/>
      <c r="I9" s="9"/>
      <c r="J9" s="8">
        <f t="shared" si="0"/>
        <v>0</v>
      </c>
    </row>
    <row r="10" spans="1:11" ht="19.95" customHeight="1" x14ac:dyDescent="0.3">
      <c r="A10" s="10"/>
      <c r="B10" s="10"/>
      <c r="C10" s="10"/>
      <c r="D10" s="10"/>
      <c r="E10" s="11"/>
      <c r="F10" s="10"/>
      <c r="G10" s="12"/>
      <c r="H10" s="13">
        <f>SUM(H5:H9)</f>
        <v>5200</v>
      </c>
      <c r="I10" s="14">
        <f>SUM(I5:I9)</f>
        <v>2815</v>
      </c>
      <c r="J10" s="8">
        <f>SUM(J5:J9)</f>
        <v>2385</v>
      </c>
    </row>
    <row r="12" spans="1:11" ht="30" customHeight="1" x14ac:dyDescent="0.3">
      <c r="A12" s="31" t="s">
        <v>15</v>
      </c>
      <c r="B12" s="31"/>
      <c r="C12" s="31"/>
      <c r="D12" s="31"/>
      <c r="E12" s="31"/>
      <c r="F12" s="31"/>
      <c r="G12" s="31"/>
      <c r="H12" s="31"/>
      <c r="I12" s="31"/>
      <c r="J12" s="31"/>
    </row>
    <row r="13" spans="1:11" ht="30" customHeight="1" x14ac:dyDescent="0.3">
      <c r="A13" s="4" t="s">
        <v>2</v>
      </c>
      <c r="B13" s="4" t="s">
        <v>3</v>
      </c>
      <c r="C13" s="5" t="s">
        <v>4</v>
      </c>
      <c r="D13" s="5" t="s">
        <v>5</v>
      </c>
      <c r="E13" s="4" t="s">
        <v>6</v>
      </c>
      <c r="F13" s="5" t="s">
        <v>17</v>
      </c>
      <c r="G13" s="5" t="s">
        <v>7</v>
      </c>
      <c r="H13" s="4" t="s">
        <v>8</v>
      </c>
      <c r="I13" s="4" t="s">
        <v>9</v>
      </c>
      <c r="J13" s="4" t="s">
        <v>10</v>
      </c>
    </row>
    <row r="14" spans="1:11" ht="19.95" customHeight="1" x14ac:dyDescent="0.3">
      <c r="A14" s="4" t="s">
        <v>55</v>
      </c>
      <c r="B14" s="4">
        <v>304</v>
      </c>
      <c r="C14" s="6">
        <v>0.9</v>
      </c>
      <c r="D14" s="6" t="s">
        <v>22</v>
      </c>
      <c r="E14" s="7" t="s">
        <v>59</v>
      </c>
      <c r="F14" s="4"/>
      <c r="G14" s="4" t="s">
        <v>22</v>
      </c>
      <c r="H14" s="8">
        <v>1500</v>
      </c>
      <c r="I14" s="9">
        <f>1000+600</f>
        <v>1600</v>
      </c>
      <c r="J14" s="8">
        <f t="shared" ref="J14:J19" si="1">H14-I14</f>
        <v>-100</v>
      </c>
    </row>
    <row r="15" spans="1:11" ht="19.95" customHeight="1" x14ac:dyDescent="0.3">
      <c r="A15" s="4" t="s">
        <v>55</v>
      </c>
      <c r="B15" s="4">
        <v>304</v>
      </c>
      <c r="C15" s="6">
        <v>0.9</v>
      </c>
      <c r="D15" s="6" t="s">
        <v>26</v>
      </c>
      <c r="E15" s="7" t="s">
        <v>60</v>
      </c>
      <c r="F15" s="4"/>
      <c r="G15" s="4">
        <v>430</v>
      </c>
      <c r="H15" s="8">
        <v>1500</v>
      </c>
      <c r="I15" s="9">
        <v>1240</v>
      </c>
      <c r="J15" s="8">
        <f t="shared" si="1"/>
        <v>260</v>
      </c>
    </row>
    <row r="16" spans="1:11" ht="19.95" customHeight="1" x14ac:dyDescent="0.3">
      <c r="A16" s="4" t="s">
        <v>55</v>
      </c>
      <c r="B16" s="4">
        <v>304</v>
      </c>
      <c r="C16" s="6">
        <v>0.9</v>
      </c>
      <c r="D16" s="6" t="s">
        <v>22</v>
      </c>
      <c r="E16" s="7" t="s">
        <v>61</v>
      </c>
      <c r="F16" s="4"/>
      <c r="G16" s="4" t="s">
        <v>22</v>
      </c>
      <c r="H16" s="8">
        <v>1500</v>
      </c>
      <c r="I16" s="9"/>
      <c r="J16" s="8">
        <f t="shared" si="1"/>
        <v>1500</v>
      </c>
    </row>
    <row r="17" spans="1:10" ht="19.95" customHeight="1" x14ac:dyDescent="0.3">
      <c r="A17" s="4">
        <v>160925</v>
      </c>
      <c r="B17" s="4">
        <v>304</v>
      </c>
      <c r="C17" s="6">
        <v>0.9</v>
      </c>
      <c r="D17" s="6" t="s">
        <v>26</v>
      </c>
      <c r="E17" s="7" t="s">
        <v>62</v>
      </c>
      <c r="F17" s="4"/>
      <c r="G17" s="4">
        <v>430</v>
      </c>
      <c r="H17" s="8">
        <v>1100</v>
      </c>
      <c r="I17" s="9"/>
      <c r="J17" s="8">
        <f t="shared" si="1"/>
        <v>1100</v>
      </c>
    </row>
    <row r="18" spans="1:10" ht="19.95" customHeight="1" x14ac:dyDescent="0.3">
      <c r="A18" s="4">
        <v>160925</v>
      </c>
      <c r="B18" s="4">
        <v>304</v>
      </c>
      <c r="C18" s="6">
        <v>0.9</v>
      </c>
      <c r="D18" s="6" t="s">
        <v>22</v>
      </c>
      <c r="E18" s="7" t="s">
        <v>63</v>
      </c>
      <c r="F18" s="4"/>
      <c r="G18" s="4" t="s">
        <v>22</v>
      </c>
      <c r="H18" s="8">
        <v>1100</v>
      </c>
      <c r="I18" s="9"/>
      <c r="J18" s="8">
        <f t="shared" si="1"/>
        <v>1100</v>
      </c>
    </row>
    <row r="19" spans="1:10" ht="19.95" customHeight="1" x14ac:dyDescent="0.3">
      <c r="A19" s="4"/>
      <c r="B19" s="4"/>
      <c r="C19" s="6"/>
      <c r="D19" s="6"/>
      <c r="E19" s="7"/>
      <c r="F19" s="4"/>
      <c r="G19" s="8"/>
      <c r="H19" s="8"/>
      <c r="I19" s="9"/>
      <c r="J19" s="8">
        <f t="shared" si="1"/>
        <v>0</v>
      </c>
    </row>
    <row r="20" spans="1:10" ht="19.95" customHeight="1" x14ac:dyDescent="0.3">
      <c r="A20" s="10"/>
      <c r="B20" s="10"/>
      <c r="C20" s="10"/>
      <c r="D20" s="10"/>
      <c r="E20" s="11"/>
      <c r="F20" s="10"/>
      <c r="G20" s="12"/>
      <c r="H20" s="8">
        <f>SUM(H14:H19)</f>
        <v>6700</v>
      </c>
      <c r="I20" s="9">
        <f>SUM(I14:I19)</f>
        <v>2840</v>
      </c>
      <c r="J20" s="8">
        <f>SUM(J14:J19)</f>
        <v>3860</v>
      </c>
    </row>
    <row r="21" spans="1:10" ht="19.95" customHeight="1" x14ac:dyDescent="0.3">
      <c r="A21" s="16"/>
      <c r="B21" s="16"/>
      <c r="C21" s="16"/>
      <c r="D21" s="16"/>
      <c r="E21" s="17"/>
      <c r="F21" s="16"/>
      <c r="G21" s="16"/>
      <c r="H21" s="18"/>
      <c r="I21" s="19"/>
      <c r="J21" s="18"/>
    </row>
    <row r="22" spans="1:10" ht="30" customHeight="1" x14ac:dyDescent="0.3">
      <c r="A22" s="31" t="s">
        <v>13</v>
      </c>
      <c r="B22" s="31"/>
      <c r="C22" s="31"/>
      <c r="D22" s="31"/>
      <c r="E22" s="31"/>
      <c r="F22" s="31"/>
      <c r="G22" s="31"/>
      <c r="H22" s="31"/>
      <c r="I22" s="31"/>
      <c r="J22" s="31"/>
    </row>
    <row r="23" spans="1:10" ht="30" customHeight="1" x14ac:dyDescent="0.3">
      <c r="A23" s="4" t="s">
        <v>2</v>
      </c>
      <c r="B23" s="4" t="s">
        <v>3</v>
      </c>
      <c r="C23" s="5" t="s">
        <v>4</v>
      </c>
      <c r="D23" s="5" t="s">
        <v>5</v>
      </c>
      <c r="E23" s="4" t="s">
        <v>6</v>
      </c>
      <c r="F23" s="5" t="s">
        <v>17</v>
      </c>
      <c r="G23" s="5" t="s">
        <v>7</v>
      </c>
      <c r="H23" s="4" t="s">
        <v>8</v>
      </c>
      <c r="I23" s="4" t="s">
        <v>9</v>
      </c>
      <c r="J23" s="4" t="s">
        <v>10</v>
      </c>
    </row>
    <row r="24" spans="1:10" ht="19.95" customHeight="1" x14ac:dyDescent="0.3">
      <c r="A24" s="4" t="s">
        <v>55</v>
      </c>
      <c r="B24" s="4">
        <v>304</v>
      </c>
      <c r="C24" s="6">
        <v>0.9</v>
      </c>
      <c r="D24" s="6" t="s">
        <v>22</v>
      </c>
      <c r="E24" s="7" t="s">
        <v>59</v>
      </c>
      <c r="F24" s="4"/>
      <c r="G24" s="4" t="s">
        <v>22</v>
      </c>
      <c r="H24" s="8">
        <v>1500</v>
      </c>
      <c r="I24" s="9">
        <f>350+1260</f>
        <v>1610</v>
      </c>
      <c r="J24" s="8">
        <f t="shared" ref="J24:J30" si="2">H24-I24</f>
        <v>-110</v>
      </c>
    </row>
    <row r="25" spans="1:10" ht="19.95" customHeight="1" x14ac:dyDescent="0.3">
      <c r="A25" s="4" t="s">
        <v>55</v>
      </c>
      <c r="B25" s="4">
        <v>304</v>
      </c>
      <c r="C25" s="6">
        <v>0.9</v>
      </c>
      <c r="D25" s="6" t="s">
        <v>26</v>
      </c>
      <c r="E25" s="7" t="s">
        <v>60</v>
      </c>
      <c r="F25" s="4"/>
      <c r="G25" s="4">
        <v>430</v>
      </c>
      <c r="H25" s="8">
        <v>1500</v>
      </c>
      <c r="I25" s="9">
        <v>800</v>
      </c>
      <c r="J25" s="8">
        <f t="shared" si="2"/>
        <v>700</v>
      </c>
    </row>
    <row r="26" spans="1:10" ht="19.95" customHeight="1" x14ac:dyDescent="0.3">
      <c r="A26" s="4" t="s">
        <v>55</v>
      </c>
      <c r="B26" s="4">
        <v>304</v>
      </c>
      <c r="C26" s="6">
        <v>0.9</v>
      </c>
      <c r="D26" s="6" t="s">
        <v>22</v>
      </c>
      <c r="E26" s="7" t="s">
        <v>61</v>
      </c>
      <c r="F26" s="4"/>
      <c r="G26" s="4" t="s">
        <v>22</v>
      </c>
      <c r="H26" s="8">
        <v>1500</v>
      </c>
      <c r="I26" s="9"/>
      <c r="J26" s="8">
        <f t="shared" si="2"/>
        <v>1500</v>
      </c>
    </row>
    <row r="27" spans="1:10" ht="19.95" customHeight="1" x14ac:dyDescent="0.3">
      <c r="A27" s="4">
        <v>160925</v>
      </c>
      <c r="B27" s="4">
        <v>304</v>
      </c>
      <c r="C27" s="6">
        <v>0.9</v>
      </c>
      <c r="D27" s="6" t="s">
        <v>26</v>
      </c>
      <c r="E27" s="7" t="s">
        <v>62</v>
      </c>
      <c r="F27" s="4"/>
      <c r="G27" s="4">
        <v>430</v>
      </c>
      <c r="H27" s="8">
        <v>1100</v>
      </c>
      <c r="I27" s="9"/>
      <c r="J27" s="8">
        <f t="shared" si="2"/>
        <v>1100</v>
      </c>
    </row>
    <row r="28" spans="1:10" ht="19.95" customHeight="1" x14ac:dyDescent="0.3">
      <c r="A28" s="4">
        <v>160925</v>
      </c>
      <c r="B28" s="4">
        <v>304</v>
      </c>
      <c r="C28" s="6">
        <v>0.9</v>
      </c>
      <c r="D28" s="6" t="s">
        <v>22</v>
      </c>
      <c r="E28" s="7" t="s">
        <v>63</v>
      </c>
      <c r="F28" s="4"/>
      <c r="G28" s="4" t="s">
        <v>22</v>
      </c>
      <c r="H28" s="8">
        <v>1100</v>
      </c>
      <c r="I28" s="9"/>
      <c r="J28" s="8">
        <f t="shared" si="2"/>
        <v>1100</v>
      </c>
    </row>
    <row r="29" spans="1:10" ht="19.95" customHeight="1" x14ac:dyDescent="0.3">
      <c r="A29" s="4"/>
      <c r="B29" s="4"/>
      <c r="C29" s="6"/>
      <c r="D29" s="6"/>
      <c r="E29" s="7"/>
      <c r="F29" s="4"/>
      <c r="G29" s="4"/>
      <c r="H29" s="8"/>
      <c r="I29" s="9"/>
      <c r="J29" s="8">
        <f t="shared" si="2"/>
        <v>0</v>
      </c>
    </row>
    <row r="30" spans="1:10" ht="19.95" customHeight="1" x14ac:dyDescent="0.3">
      <c r="A30" s="4"/>
      <c r="B30" s="4"/>
      <c r="C30" s="6"/>
      <c r="D30" s="6"/>
      <c r="E30" s="7"/>
      <c r="F30" s="4"/>
      <c r="G30" s="8"/>
      <c r="H30" s="8"/>
      <c r="I30" s="9"/>
      <c r="J30" s="8">
        <f t="shared" si="2"/>
        <v>0</v>
      </c>
    </row>
    <row r="31" spans="1:10" ht="19.95" customHeight="1" x14ac:dyDescent="0.3">
      <c r="A31" s="10"/>
      <c r="B31" s="10"/>
      <c r="C31" s="10"/>
      <c r="D31" s="10"/>
      <c r="E31" s="11"/>
      <c r="F31" s="10"/>
      <c r="G31" s="12"/>
      <c r="H31" s="8">
        <f>SUM(H24:H30)</f>
        <v>6700</v>
      </c>
      <c r="I31" s="9">
        <f>SUM(I24:I30)</f>
        <v>2410</v>
      </c>
      <c r="J31" s="8">
        <f>SUM(J24:J30)</f>
        <v>4290</v>
      </c>
    </row>
    <row r="32" spans="1:10" ht="19.95" customHeight="1" x14ac:dyDescent="0.3">
      <c r="A32" s="16"/>
      <c r="B32" s="16"/>
      <c r="C32" s="16"/>
      <c r="D32" s="16"/>
      <c r="E32" s="17"/>
      <c r="F32" s="16"/>
      <c r="G32" s="16"/>
      <c r="H32" s="18"/>
      <c r="I32" s="19"/>
      <c r="J32" s="18"/>
    </row>
    <row r="33" spans="1:10" ht="30" customHeight="1" x14ac:dyDescent="0.3">
      <c r="A33" s="31" t="s">
        <v>14</v>
      </c>
      <c r="B33" s="31"/>
      <c r="C33" s="31"/>
      <c r="D33" s="31"/>
      <c r="E33" s="31"/>
      <c r="F33" s="31"/>
      <c r="G33" s="31"/>
      <c r="H33" s="31"/>
      <c r="I33" s="31"/>
      <c r="J33" s="31"/>
    </row>
    <row r="34" spans="1:10" ht="30" customHeight="1" x14ac:dyDescent="0.3">
      <c r="A34" s="4" t="s">
        <v>2</v>
      </c>
      <c r="B34" s="4" t="s">
        <v>3</v>
      </c>
      <c r="C34" s="5" t="s">
        <v>4</v>
      </c>
      <c r="D34" s="5" t="s">
        <v>5</v>
      </c>
      <c r="E34" s="4" t="s">
        <v>6</v>
      </c>
      <c r="F34" s="5" t="s">
        <v>17</v>
      </c>
      <c r="G34" s="5" t="s">
        <v>7</v>
      </c>
      <c r="H34" s="4" t="s">
        <v>8</v>
      </c>
      <c r="I34" s="4" t="s">
        <v>9</v>
      </c>
      <c r="J34" s="4" t="s">
        <v>10</v>
      </c>
    </row>
    <row r="35" spans="1:10" ht="19.95" customHeight="1" x14ac:dyDescent="0.3">
      <c r="A35" s="4">
        <v>100925</v>
      </c>
      <c r="B35" s="4">
        <v>304</v>
      </c>
      <c r="C35" s="6">
        <v>0.9</v>
      </c>
      <c r="D35" s="6" t="s">
        <v>22</v>
      </c>
      <c r="E35" s="7" t="s">
        <v>54</v>
      </c>
      <c r="F35" s="4"/>
      <c r="G35" s="4" t="s">
        <v>22</v>
      </c>
      <c r="H35" s="8">
        <v>600</v>
      </c>
      <c r="I35" s="9">
        <v>355</v>
      </c>
      <c r="J35" s="8">
        <f t="shared" ref="J35:J43" si="3">H35-I35</f>
        <v>245</v>
      </c>
    </row>
    <row r="36" spans="1:10" ht="19.95" customHeight="1" x14ac:dyDescent="0.3">
      <c r="A36" s="4" t="s">
        <v>55</v>
      </c>
      <c r="B36" s="4">
        <v>304</v>
      </c>
      <c r="C36" s="6">
        <v>0.9</v>
      </c>
      <c r="D36" s="6" t="s">
        <v>26</v>
      </c>
      <c r="E36" s="7" t="s">
        <v>57</v>
      </c>
      <c r="F36" s="4"/>
      <c r="G36" s="4" t="s">
        <v>22</v>
      </c>
      <c r="H36" s="8">
        <v>1200</v>
      </c>
      <c r="I36" s="9">
        <v>955</v>
      </c>
      <c r="J36" s="8">
        <f t="shared" si="3"/>
        <v>245</v>
      </c>
    </row>
    <row r="37" spans="1:10" ht="19.95" customHeight="1" x14ac:dyDescent="0.3">
      <c r="A37" s="4" t="s">
        <v>55</v>
      </c>
      <c r="B37" s="4">
        <v>304</v>
      </c>
      <c r="C37" s="6">
        <v>0.9</v>
      </c>
      <c r="D37" s="6" t="s">
        <v>26</v>
      </c>
      <c r="E37" s="7" t="s">
        <v>58</v>
      </c>
      <c r="F37" s="4"/>
      <c r="G37" s="4">
        <v>430</v>
      </c>
      <c r="H37" s="8">
        <v>1500</v>
      </c>
      <c r="I37" s="9">
        <v>1600</v>
      </c>
      <c r="J37" s="8">
        <f t="shared" si="3"/>
        <v>-100</v>
      </c>
    </row>
    <row r="38" spans="1:10" ht="19.95" customHeight="1" x14ac:dyDescent="0.3">
      <c r="A38" s="4" t="s">
        <v>55</v>
      </c>
      <c r="B38" s="4">
        <v>304</v>
      </c>
      <c r="C38" s="6">
        <v>0.9</v>
      </c>
      <c r="D38" s="6" t="s">
        <v>22</v>
      </c>
      <c r="E38" s="7" t="s">
        <v>59</v>
      </c>
      <c r="F38" s="4"/>
      <c r="G38" s="4" t="s">
        <v>22</v>
      </c>
      <c r="H38" s="8">
        <v>1500</v>
      </c>
      <c r="I38" s="9">
        <v>900</v>
      </c>
      <c r="J38" s="8">
        <f t="shared" si="3"/>
        <v>600</v>
      </c>
    </row>
    <row r="39" spans="1:10" ht="19.95" customHeight="1" x14ac:dyDescent="0.3">
      <c r="A39" s="4" t="s">
        <v>55</v>
      </c>
      <c r="B39" s="4">
        <v>304</v>
      </c>
      <c r="C39" s="6">
        <v>0.9</v>
      </c>
      <c r="D39" s="6" t="s">
        <v>26</v>
      </c>
      <c r="E39" s="7" t="s">
        <v>60</v>
      </c>
      <c r="F39" s="4"/>
      <c r="G39" s="4">
        <v>430</v>
      </c>
      <c r="H39" s="8">
        <v>1500</v>
      </c>
      <c r="I39" s="9"/>
      <c r="J39" s="8">
        <f t="shared" si="3"/>
        <v>1500</v>
      </c>
    </row>
    <row r="40" spans="1:10" ht="19.95" customHeight="1" x14ac:dyDescent="0.3">
      <c r="A40" s="4" t="s">
        <v>55</v>
      </c>
      <c r="B40" s="4">
        <v>304</v>
      </c>
      <c r="C40" s="6">
        <v>0.9</v>
      </c>
      <c r="D40" s="6" t="s">
        <v>22</v>
      </c>
      <c r="E40" s="7" t="s">
        <v>61</v>
      </c>
      <c r="F40" s="4"/>
      <c r="G40" s="4" t="s">
        <v>22</v>
      </c>
      <c r="H40" s="8">
        <v>1500</v>
      </c>
      <c r="I40" s="9"/>
      <c r="J40" s="8">
        <f t="shared" si="3"/>
        <v>1500</v>
      </c>
    </row>
    <row r="41" spans="1:10" ht="19.95" customHeight="1" x14ac:dyDescent="0.3">
      <c r="A41" s="4">
        <v>160925</v>
      </c>
      <c r="B41" s="4">
        <v>304</v>
      </c>
      <c r="C41" s="6">
        <v>0.9</v>
      </c>
      <c r="D41" s="6" t="s">
        <v>26</v>
      </c>
      <c r="E41" s="7" t="s">
        <v>62</v>
      </c>
      <c r="F41" s="4"/>
      <c r="G41" s="4">
        <v>430</v>
      </c>
      <c r="H41" s="8">
        <v>1100</v>
      </c>
      <c r="I41" s="9"/>
      <c r="J41" s="8">
        <f t="shared" si="3"/>
        <v>1100</v>
      </c>
    </row>
    <row r="42" spans="1:10" ht="19.95" customHeight="1" x14ac:dyDescent="0.3">
      <c r="A42" s="4">
        <v>160925</v>
      </c>
      <c r="B42" s="4">
        <v>304</v>
      </c>
      <c r="C42" s="6">
        <v>0.9</v>
      </c>
      <c r="D42" s="6" t="s">
        <v>22</v>
      </c>
      <c r="E42" s="7" t="s">
        <v>63</v>
      </c>
      <c r="F42" s="4"/>
      <c r="G42" s="4" t="s">
        <v>22</v>
      </c>
      <c r="H42" s="8">
        <v>1100</v>
      </c>
      <c r="I42" s="9"/>
      <c r="J42" s="8">
        <f t="shared" si="3"/>
        <v>1100</v>
      </c>
    </row>
    <row r="43" spans="1:10" ht="19.95" customHeight="1" x14ac:dyDescent="0.3">
      <c r="A43" s="4"/>
      <c r="B43" s="4"/>
      <c r="C43" s="6"/>
      <c r="D43" s="6"/>
      <c r="E43" s="7"/>
      <c r="F43" s="4"/>
      <c r="G43" s="8"/>
      <c r="H43" s="8"/>
      <c r="I43" s="9"/>
      <c r="J43" s="8">
        <f t="shared" si="3"/>
        <v>0</v>
      </c>
    </row>
    <row r="44" spans="1:10" ht="19.95" customHeight="1" x14ac:dyDescent="0.3">
      <c r="A44" s="10"/>
      <c r="B44" s="10"/>
      <c r="C44" s="10"/>
      <c r="D44" s="10"/>
      <c r="E44" s="11"/>
      <c r="F44" s="10"/>
      <c r="G44" s="12"/>
      <c r="H44" s="8">
        <f>SUM(H35:H43)</f>
        <v>10000</v>
      </c>
      <c r="I44" s="9">
        <f>SUM(I35:I43)</f>
        <v>3810</v>
      </c>
      <c r="J44" s="8">
        <f>SUM(J35:J43)</f>
        <v>6190</v>
      </c>
    </row>
    <row r="45" spans="1:10" ht="19.95" customHeight="1" x14ac:dyDescent="0.3">
      <c r="A45" s="16"/>
      <c r="B45" s="16"/>
      <c r="C45" s="16"/>
      <c r="D45" s="16"/>
      <c r="E45" s="17"/>
      <c r="F45" s="16"/>
      <c r="G45" s="16"/>
      <c r="H45" s="18"/>
      <c r="I45" s="19"/>
      <c r="J45" s="18"/>
    </row>
    <row r="46" spans="1:10" ht="30" customHeight="1" x14ac:dyDescent="0.3">
      <c r="A46" s="31" t="s">
        <v>16</v>
      </c>
      <c r="B46" s="31"/>
      <c r="C46" s="31"/>
      <c r="D46" s="31"/>
      <c r="E46" s="31"/>
      <c r="F46" s="31"/>
      <c r="G46" s="31"/>
      <c r="H46" s="31"/>
      <c r="I46" s="31"/>
      <c r="J46" s="31"/>
    </row>
    <row r="47" spans="1:10" ht="30" customHeight="1" x14ac:dyDescent="0.3">
      <c r="A47" s="4" t="s">
        <v>2</v>
      </c>
      <c r="B47" s="4" t="s">
        <v>3</v>
      </c>
      <c r="C47" s="5" t="s">
        <v>4</v>
      </c>
      <c r="D47" s="5" t="s">
        <v>5</v>
      </c>
      <c r="E47" s="4" t="s">
        <v>6</v>
      </c>
      <c r="F47" s="5" t="s">
        <v>18</v>
      </c>
      <c r="G47" s="5" t="s">
        <v>7</v>
      </c>
      <c r="H47" s="4" t="s">
        <v>8</v>
      </c>
      <c r="I47" s="4" t="s">
        <v>9</v>
      </c>
      <c r="J47" s="4" t="s">
        <v>10</v>
      </c>
    </row>
    <row r="48" spans="1:10" ht="19.95" customHeight="1" x14ac:dyDescent="0.3">
      <c r="A48" s="4"/>
      <c r="B48" s="4"/>
      <c r="C48" s="6"/>
      <c r="D48" s="6"/>
      <c r="E48" s="7"/>
      <c r="F48" s="4"/>
      <c r="G48" s="4"/>
      <c r="H48" s="8"/>
      <c r="I48" s="9"/>
      <c r="J48" s="8">
        <f t="shared" ref="J48:J53" si="4">H48-I48</f>
        <v>0</v>
      </c>
    </row>
    <row r="49" spans="1:10" ht="19.95" customHeight="1" x14ac:dyDescent="0.3">
      <c r="A49" s="4"/>
      <c r="B49" s="4"/>
      <c r="C49" s="6"/>
      <c r="D49" s="6"/>
      <c r="E49" s="7"/>
      <c r="F49" s="4"/>
      <c r="G49" s="4"/>
      <c r="H49" s="8"/>
      <c r="I49" s="9"/>
      <c r="J49" s="8">
        <f t="shared" si="4"/>
        <v>0</v>
      </c>
    </row>
    <row r="50" spans="1:10" ht="19.95" customHeight="1" x14ac:dyDescent="0.3">
      <c r="A50" s="4"/>
      <c r="B50" s="4"/>
      <c r="C50" s="6"/>
      <c r="D50" s="6"/>
      <c r="E50" s="7"/>
      <c r="F50" s="4"/>
      <c r="G50" s="4"/>
      <c r="H50" s="8"/>
      <c r="I50" s="9"/>
      <c r="J50" s="8">
        <f t="shared" si="4"/>
        <v>0</v>
      </c>
    </row>
    <row r="51" spans="1:10" ht="19.95" customHeight="1" x14ac:dyDescent="0.3">
      <c r="A51" s="4"/>
      <c r="B51" s="4"/>
      <c r="C51" s="6"/>
      <c r="D51" s="6"/>
      <c r="E51" s="7"/>
      <c r="F51" s="4"/>
      <c r="G51" s="8"/>
      <c r="H51" s="8"/>
      <c r="I51" s="9"/>
      <c r="J51" s="8">
        <f t="shared" si="4"/>
        <v>0</v>
      </c>
    </row>
    <row r="52" spans="1:10" ht="19.95" customHeight="1" x14ac:dyDescent="0.3">
      <c r="A52" s="4"/>
      <c r="B52" s="4"/>
      <c r="C52" s="6"/>
      <c r="D52" s="6"/>
      <c r="E52" s="7"/>
      <c r="F52" s="4"/>
      <c r="G52" s="4"/>
      <c r="H52" s="8"/>
      <c r="I52" s="9"/>
      <c r="J52" s="8">
        <f t="shared" si="4"/>
        <v>0</v>
      </c>
    </row>
    <row r="53" spans="1:10" ht="19.95" customHeight="1" x14ac:dyDescent="0.3">
      <c r="A53" s="4"/>
      <c r="B53" s="4"/>
      <c r="C53" s="6"/>
      <c r="D53" s="6"/>
      <c r="E53" s="7"/>
      <c r="F53" s="4"/>
      <c r="G53" s="4"/>
      <c r="H53" s="8"/>
      <c r="I53" s="9"/>
      <c r="J53" s="8">
        <f t="shared" si="4"/>
        <v>0</v>
      </c>
    </row>
    <row r="54" spans="1:10" ht="19.95" customHeight="1" x14ac:dyDescent="0.3">
      <c r="A54" s="10"/>
      <c r="B54" s="10"/>
      <c r="C54" s="10"/>
      <c r="D54" s="10"/>
      <c r="E54" s="11"/>
      <c r="F54" s="10"/>
      <c r="G54" s="12"/>
      <c r="H54" s="8">
        <f>SUM(H48:H53)</f>
        <v>0</v>
      </c>
      <c r="I54" s="9">
        <f>SUM(I48:I53)</f>
        <v>0</v>
      </c>
      <c r="J54" s="8">
        <f>SUM(J48:J53)</f>
        <v>0</v>
      </c>
    </row>
    <row r="55" spans="1:10" ht="19.95" customHeight="1" x14ac:dyDescent="0.3">
      <c r="A55" s="16"/>
      <c r="B55" s="16"/>
      <c r="C55" s="16"/>
      <c r="D55" s="16"/>
      <c r="E55" s="17"/>
      <c r="F55" s="16"/>
      <c r="G55" s="16"/>
      <c r="H55" s="18"/>
      <c r="I55" s="19"/>
      <c r="J55" s="18"/>
    </row>
    <row r="57" spans="1:10" ht="23.4" x14ac:dyDescent="0.3">
      <c r="A57" s="31" t="s">
        <v>11</v>
      </c>
      <c r="B57" s="31"/>
      <c r="C57" s="31"/>
      <c r="D57" s="31"/>
      <c r="E57" s="31"/>
      <c r="F57" s="31"/>
      <c r="G57" s="31"/>
      <c r="H57" s="31"/>
      <c r="I57" s="31"/>
      <c r="J57" s="31"/>
    </row>
  </sheetData>
  <mergeCells count="8">
    <mergeCell ref="A46:J46"/>
    <mergeCell ref="A57:J57"/>
    <mergeCell ref="I1:J1"/>
    <mergeCell ref="A2:J2"/>
    <mergeCell ref="A3:J3"/>
    <mergeCell ref="A12:J12"/>
    <mergeCell ref="A22:J22"/>
    <mergeCell ref="A33:J33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45" orientation="portrait" horizontalDpi="1200" verticalDpi="12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topLeftCell="A28" zoomScale="75" zoomScaleNormal="75" workbookViewId="0">
      <selection activeCell="H40" sqref="H40"/>
    </sheetView>
  </sheetViews>
  <sheetFormatPr defaultRowHeight="14.4" x14ac:dyDescent="0.3"/>
  <cols>
    <col min="1" max="1" width="15.6640625" customWidth="1"/>
    <col min="2" max="3" width="12.6640625" customWidth="1"/>
    <col min="4" max="4" width="15.6640625" customWidth="1"/>
    <col min="5" max="5" width="80.6640625" customWidth="1"/>
    <col min="6" max="6" width="22.77734375" style="15" bestFit="1" customWidth="1"/>
    <col min="7" max="7" width="12.33203125" customWidth="1"/>
    <col min="8" max="10" width="15.6640625" customWidth="1"/>
  </cols>
  <sheetData>
    <row r="1" spans="1:11" s="1" customFormat="1" ht="30" customHeight="1" x14ac:dyDescent="0.3">
      <c r="F1" s="2"/>
      <c r="G1" s="2"/>
      <c r="H1" s="3" t="s">
        <v>0</v>
      </c>
      <c r="I1" s="27">
        <v>45944</v>
      </c>
      <c r="J1" s="27"/>
    </row>
    <row r="2" spans="1:11" ht="40.049999999999997" customHeight="1" x14ac:dyDescent="0.3">
      <c r="A2" s="28" t="s">
        <v>35</v>
      </c>
      <c r="B2" s="29"/>
      <c r="C2" s="29"/>
      <c r="D2" s="29"/>
      <c r="E2" s="29"/>
      <c r="F2" s="29"/>
      <c r="G2" s="29"/>
      <c r="H2" s="29"/>
      <c r="I2" s="29"/>
      <c r="J2" s="30"/>
    </row>
    <row r="3" spans="1:11" ht="30" customHeight="1" x14ac:dyDescent="0.3">
      <c r="A3" s="31" t="s">
        <v>12</v>
      </c>
      <c r="B3" s="31"/>
      <c r="C3" s="31"/>
      <c r="D3" s="31"/>
      <c r="E3" s="31"/>
      <c r="F3" s="31"/>
      <c r="G3" s="31"/>
      <c r="H3" s="31"/>
      <c r="I3" s="31"/>
      <c r="J3" s="31"/>
    </row>
    <row r="4" spans="1:11" ht="30" customHeight="1" x14ac:dyDescent="0.3">
      <c r="A4" s="4" t="s">
        <v>2</v>
      </c>
      <c r="B4" s="4" t="s">
        <v>3</v>
      </c>
      <c r="C4" s="5" t="s">
        <v>4</v>
      </c>
      <c r="D4" s="5" t="s">
        <v>5</v>
      </c>
      <c r="E4" s="4" t="s">
        <v>6</v>
      </c>
      <c r="F4" s="5" t="s">
        <v>17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1" ht="19.95" customHeight="1" x14ac:dyDescent="0.3">
      <c r="A5" s="4" t="s">
        <v>55</v>
      </c>
      <c r="B5" s="4">
        <v>304</v>
      </c>
      <c r="C5" s="6">
        <v>0.9</v>
      </c>
      <c r="D5" s="6" t="s">
        <v>22</v>
      </c>
      <c r="E5" s="7" t="s">
        <v>61</v>
      </c>
      <c r="F5" s="4"/>
      <c r="G5" s="4" t="s">
        <v>22</v>
      </c>
      <c r="H5" s="8">
        <v>1500</v>
      </c>
      <c r="I5" s="9">
        <f>1300+100</f>
        <v>1400</v>
      </c>
      <c r="J5" s="22">
        <f t="shared" ref="J5:J10" si="0">H5-I5</f>
        <v>100</v>
      </c>
      <c r="K5" s="20"/>
    </row>
    <row r="6" spans="1:11" ht="19.95" customHeight="1" x14ac:dyDescent="0.3">
      <c r="A6" s="4">
        <v>160925</v>
      </c>
      <c r="B6" s="4">
        <v>304</v>
      </c>
      <c r="C6" s="6">
        <v>0.9</v>
      </c>
      <c r="D6" s="6" t="s">
        <v>26</v>
      </c>
      <c r="E6" s="7" t="s">
        <v>62</v>
      </c>
      <c r="F6" s="4"/>
      <c r="G6" s="4">
        <v>430</v>
      </c>
      <c r="H6" s="8">
        <v>1100</v>
      </c>
      <c r="I6" s="9">
        <v>1140</v>
      </c>
      <c r="J6" s="8">
        <f t="shared" si="0"/>
        <v>-40</v>
      </c>
    </row>
    <row r="7" spans="1:11" ht="19.95" customHeight="1" x14ac:dyDescent="0.3">
      <c r="A7" s="4">
        <v>160925</v>
      </c>
      <c r="B7" s="4">
        <v>304</v>
      </c>
      <c r="C7" s="6">
        <v>0.9</v>
      </c>
      <c r="D7" s="6" t="s">
        <v>22</v>
      </c>
      <c r="E7" s="7" t="s">
        <v>63</v>
      </c>
      <c r="F7" s="4"/>
      <c r="G7" s="4" t="s">
        <v>22</v>
      </c>
      <c r="H7" s="8">
        <v>1100</v>
      </c>
      <c r="I7" s="9">
        <v>1145</v>
      </c>
      <c r="J7" s="8">
        <f t="shared" si="0"/>
        <v>-45</v>
      </c>
    </row>
    <row r="8" spans="1:11" ht="19.95" customHeight="1" x14ac:dyDescent="0.3">
      <c r="A8" s="4">
        <v>290925</v>
      </c>
      <c r="B8" s="4">
        <v>304</v>
      </c>
      <c r="C8" s="6">
        <v>0.9</v>
      </c>
      <c r="D8" s="6" t="s">
        <v>26</v>
      </c>
      <c r="E8" s="7" t="s">
        <v>64</v>
      </c>
      <c r="F8" s="4"/>
      <c r="G8" s="4">
        <v>430</v>
      </c>
      <c r="H8" s="8">
        <v>4000</v>
      </c>
      <c r="I8" s="9"/>
      <c r="J8" s="8">
        <f t="shared" si="0"/>
        <v>4000</v>
      </c>
    </row>
    <row r="9" spans="1:11" ht="19.95" customHeight="1" x14ac:dyDescent="0.3">
      <c r="A9" s="4">
        <v>290925</v>
      </c>
      <c r="B9" s="4">
        <v>304</v>
      </c>
      <c r="C9" s="6">
        <v>0.9</v>
      </c>
      <c r="D9" s="6" t="s">
        <v>22</v>
      </c>
      <c r="E9" s="7" t="s">
        <v>65</v>
      </c>
      <c r="F9" s="4"/>
      <c r="G9" s="4" t="s">
        <v>22</v>
      </c>
      <c r="H9" s="8">
        <v>4000</v>
      </c>
      <c r="I9" s="9"/>
      <c r="J9" s="8">
        <f t="shared" si="0"/>
        <v>4000</v>
      </c>
    </row>
    <row r="10" spans="1:11" ht="19.95" customHeight="1" x14ac:dyDescent="0.3">
      <c r="A10" s="4"/>
      <c r="B10" s="4"/>
      <c r="C10" s="6"/>
      <c r="D10" s="6"/>
      <c r="E10" s="7"/>
      <c r="F10" s="4"/>
      <c r="G10" s="4"/>
      <c r="H10" s="8"/>
      <c r="I10" s="9"/>
      <c r="J10" s="8">
        <f t="shared" si="0"/>
        <v>0</v>
      </c>
    </row>
    <row r="11" spans="1:11" ht="19.95" customHeight="1" x14ac:dyDescent="0.3">
      <c r="A11" s="10"/>
      <c r="B11" s="10"/>
      <c r="C11" s="10"/>
      <c r="D11" s="10"/>
      <c r="E11" s="11"/>
      <c r="F11" s="10"/>
      <c r="G11" s="12"/>
      <c r="H11" s="13">
        <f>SUM(H5:H10)</f>
        <v>11700</v>
      </c>
      <c r="I11" s="14">
        <f>SUM(I5:I10)</f>
        <v>3685</v>
      </c>
      <c r="J11" s="8">
        <f>SUM(J5:J10)</f>
        <v>8015</v>
      </c>
    </row>
    <row r="13" spans="1:11" ht="30" customHeight="1" x14ac:dyDescent="0.3">
      <c r="A13" s="31" t="s">
        <v>15</v>
      </c>
      <c r="B13" s="31"/>
      <c r="C13" s="31"/>
      <c r="D13" s="31"/>
      <c r="E13" s="31"/>
      <c r="F13" s="31"/>
      <c r="G13" s="31"/>
      <c r="H13" s="31"/>
      <c r="I13" s="31"/>
      <c r="J13" s="31"/>
    </row>
    <row r="14" spans="1:11" ht="30" customHeight="1" x14ac:dyDescent="0.3">
      <c r="A14" s="4" t="s">
        <v>2</v>
      </c>
      <c r="B14" s="4" t="s">
        <v>3</v>
      </c>
      <c r="C14" s="5" t="s">
        <v>4</v>
      </c>
      <c r="D14" s="5" t="s">
        <v>5</v>
      </c>
      <c r="E14" s="4" t="s">
        <v>6</v>
      </c>
      <c r="F14" s="5" t="s">
        <v>17</v>
      </c>
      <c r="G14" s="5" t="s">
        <v>7</v>
      </c>
      <c r="H14" s="4" t="s">
        <v>8</v>
      </c>
      <c r="I14" s="4" t="s">
        <v>9</v>
      </c>
      <c r="J14" s="4" t="s">
        <v>10</v>
      </c>
    </row>
    <row r="15" spans="1:11" ht="19.95" customHeight="1" x14ac:dyDescent="0.3">
      <c r="A15" s="4" t="s">
        <v>55</v>
      </c>
      <c r="B15" s="4">
        <v>304</v>
      </c>
      <c r="C15" s="6">
        <v>0.9</v>
      </c>
      <c r="D15" s="6" t="s">
        <v>26</v>
      </c>
      <c r="E15" s="7" t="s">
        <v>60</v>
      </c>
      <c r="F15" s="4"/>
      <c r="G15" s="4">
        <v>430</v>
      </c>
      <c r="H15" s="8">
        <v>1500</v>
      </c>
      <c r="I15" s="9">
        <f>1240+260</f>
        <v>1500</v>
      </c>
      <c r="J15" s="8">
        <f t="shared" ref="J15:J20" si="1">H15-I15</f>
        <v>0</v>
      </c>
    </row>
    <row r="16" spans="1:11" ht="19.95" customHeight="1" x14ac:dyDescent="0.3">
      <c r="A16" s="4" t="s">
        <v>55</v>
      </c>
      <c r="B16" s="4">
        <v>304</v>
      </c>
      <c r="C16" s="6">
        <v>0.9</v>
      </c>
      <c r="D16" s="6" t="s">
        <v>22</v>
      </c>
      <c r="E16" s="7" t="s">
        <v>61</v>
      </c>
      <c r="F16" s="4"/>
      <c r="G16" s="4" t="s">
        <v>22</v>
      </c>
      <c r="H16" s="8">
        <v>1500</v>
      </c>
      <c r="I16" s="9">
        <v>1460</v>
      </c>
      <c r="J16" s="8">
        <f t="shared" si="1"/>
        <v>40</v>
      </c>
    </row>
    <row r="17" spans="1:10" ht="19.95" customHeight="1" x14ac:dyDescent="0.3">
      <c r="A17" s="4">
        <v>160925</v>
      </c>
      <c r="B17" s="4">
        <v>304</v>
      </c>
      <c r="C17" s="6">
        <v>0.9</v>
      </c>
      <c r="D17" s="6" t="s">
        <v>26</v>
      </c>
      <c r="E17" s="7" t="s">
        <v>62</v>
      </c>
      <c r="F17" s="4"/>
      <c r="G17" s="4">
        <v>430</v>
      </c>
      <c r="H17" s="8">
        <v>1100</v>
      </c>
      <c r="I17" s="9">
        <v>200</v>
      </c>
      <c r="J17" s="8">
        <f t="shared" si="1"/>
        <v>900</v>
      </c>
    </row>
    <row r="18" spans="1:10" ht="19.95" customHeight="1" x14ac:dyDescent="0.3">
      <c r="A18" s="4">
        <v>160925</v>
      </c>
      <c r="B18" s="4">
        <v>304</v>
      </c>
      <c r="C18" s="6">
        <v>0.9</v>
      </c>
      <c r="D18" s="6" t="s">
        <v>22</v>
      </c>
      <c r="E18" s="7" t="s">
        <v>63</v>
      </c>
      <c r="F18" s="4"/>
      <c r="G18" s="4" t="s">
        <v>22</v>
      </c>
      <c r="H18" s="8">
        <v>1100</v>
      </c>
      <c r="I18" s="9"/>
      <c r="J18" s="8">
        <f t="shared" si="1"/>
        <v>1100</v>
      </c>
    </row>
    <row r="19" spans="1:10" ht="19.95" customHeight="1" x14ac:dyDescent="0.3">
      <c r="A19" s="4"/>
      <c r="B19" s="4"/>
      <c r="C19" s="6"/>
      <c r="D19" s="6"/>
      <c r="E19" s="7"/>
      <c r="F19" s="4"/>
      <c r="G19" s="4"/>
      <c r="H19" s="8"/>
      <c r="I19" s="9"/>
      <c r="J19" s="8">
        <f t="shared" si="1"/>
        <v>0</v>
      </c>
    </row>
    <row r="20" spans="1:10" ht="19.95" customHeight="1" x14ac:dyDescent="0.3">
      <c r="A20" s="4"/>
      <c r="B20" s="4"/>
      <c r="C20" s="6"/>
      <c r="D20" s="6"/>
      <c r="E20" s="7"/>
      <c r="F20" s="4"/>
      <c r="G20" s="8"/>
      <c r="H20" s="8"/>
      <c r="I20" s="9"/>
      <c r="J20" s="8">
        <f t="shared" si="1"/>
        <v>0</v>
      </c>
    </row>
    <row r="21" spans="1:10" ht="19.95" customHeight="1" x14ac:dyDescent="0.3">
      <c r="A21" s="10"/>
      <c r="B21" s="10"/>
      <c r="C21" s="10"/>
      <c r="D21" s="10"/>
      <c r="E21" s="11"/>
      <c r="F21" s="10"/>
      <c r="G21" s="12"/>
      <c r="H21" s="8">
        <f>SUM(H15:H20)</f>
        <v>5200</v>
      </c>
      <c r="I21" s="9">
        <f>SUM(I15:I20)</f>
        <v>3160</v>
      </c>
      <c r="J21" s="8">
        <f>SUM(J15:J20)</f>
        <v>2040</v>
      </c>
    </row>
    <row r="22" spans="1:10" ht="19.95" customHeight="1" x14ac:dyDescent="0.3">
      <c r="A22" s="16"/>
      <c r="B22" s="16"/>
      <c r="C22" s="16"/>
      <c r="D22" s="16"/>
      <c r="E22" s="17"/>
      <c r="F22" s="16"/>
      <c r="G22" s="16"/>
      <c r="H22" s="18"/>
      <c r="I22" s="19"/>
      <c r="J22" s="18"/>
    </row>
    <row r="23" spans="1:10" ht="30" customHeight="1" x14ac:dyDescent="0.3">
      <c r="A23" s="31" t="s">
        <v>13</v>
      </c>
      <c r="B23" s="31"/>
      <c r="C23" s="31"/>
      <c r="D23" s="31"/>
      <c r="E23" s="31"/>
      <c r="F23" s="31"/>
      <c r="G23" s="31"/>
      <c r="H23" s="31"/>
      <c r="I23" s="31"/>
      <c r="J23" s="31"/>
    </row>
    <row r="24" spans="1:10" ht="30" customHeight="1" x14ac:dyDescent="0.3">
      <c r="A24" s="4" t="s">
        <v>2</v>
      </c>
      <c r="B24" s="4" t="s">
        <v>3</v>
      </c>
      <c r="C24" s="5" t="s">
        <v>4</v>
      </c>
      <c r="D24" s="5" t="s">
        <v>5</v>
      </c>
      <c r="E24" s="4" t="s">
        <v>6</v>
      </c>
      <c r="F24" s="5" t="s">
        <v>17</v>
      </c>
      <c r="G24" s="5" t="s">
        <v>7</v>
      </c>
      <c r="H24" s="4" t="s">
        <v>8</v>
      </c>
      <c r="I24" s="4" t="s">
        <v>9</v>
      </c>
      <c r="J24" s="4" t="s">
        <v>10</v>
      </c>
    </row>
    <row r="25" spans="1:10" ht="19.95" customHeight="1" x14ac:dyDescent="0.3">
      <c r="A25" s="4" t="s">
        <v>55</v>
      </c>
      <c r="B25" s="4">
        <v>304</v>
      </c>
      <c r="C25" s="6">
        <v>0.9</v>
      </c>
      <c r="D25" s="6" t="s">
        <v>26</v>
      </c>
      <c r="E25" s="7" t="s">
        <v>60</v>
      </c>
      <c r="F25" s="4"/>
      <c r="G25" s="4">
        <v>430</v>
      </c>
      <c r="H25" s="8">
        <v>1500</v>
      </c>
      <c r="I25" s="9">
        <f>800+750</f>
        <v>1550</v>
      </c>
      <c r="J25" s="8">
        <f t="shared" ref="J25:J31" si="2">H25-I25</f>
        <v>-50</v>
      </c>
    </row>
    <row r="26" spans="1:10" ht="19.95" customHeight="1" x14ac:dyDescent="0.3">
      <c r="A26" s="4" t="s">
        <v>55</v>
      </c>
      <c r="B26" s="4">
        <v>304</v>
      </c>
      <c r="C26" s="6">
        <v>0.9</v>
      </c>
      <c r="D26" s="6" t="s">
        <v>22</v>
      </c>
      <c r="E26" s="7" t="s">
        <v>61</v>
      </c>
      <c r="F26" s="4"/>
      <c r="G26" s="4" t="s">
        <v>22</v>
      </c>
      <c r="H26" s="8">
        <v>1500</v>
      </c>
      <c r="I26" s="9">
        <f>900</f>
        <v>900</v>
      </c>
      <c r="J26" s="8">
        <f t="shared" si="2"/>
        <v>600</v>
      </c>
    </row>
    <row r="27" spans="1:10" ht="19.95" customHeight="1" x14ac:dyDescent="0.3">
      <c r="A27" s="4">
        <v>160925</v>
      </c>
      <c r="B27" s="4">
        <v>304</v>
      </c>
      <c r="C27" s="6">
        <v>0.9</v>
      </c>
      <c r="D27" s="6" t="s">
        <v>26</v>
      </c>
      <c r="E27" s="7" t="s">
        <v>62</v>
      </c>
      <c r="F27" s="4"/>
      <c r="G27" s="4">
        <v>430</v>
      </c>
      <c r="H27" s="8">
        <v>1100</v>
      </c>
      <c r="I27" s="9"/>
      <c r="J27" s="8">
        <f t="shared" si="2"/>
        <v>1100</v>
      </c>
    </row>
    <row r="28" spans="1:10" ht="19.95" customHeight="1" x14ac:dyDescent="0.3">
      <c r="A28" s="4">
        <v>160925</v>
      </c>
      <c r="B28" s="4">
        <v>304</v>
      </c>
      <c r="C28" s="6">
        <v>0.9</v>
      </c>
      <c r="D28" s="6" t="s">
        <v>22</v>
      </c>
      <c r="E28" s="7" t="s">
        <v>63</v>
      </c>
      <c r="F28" s="4"/>
      <c r="G28" s="4" t="s">
        <v>22</v>
      </c>
      <c r="H28" s="8">
        <v>1100</v>
      </c>
      <c r="I28" s="9"/>
      <c r="J28" s="8">
        <f t="shared" si="2"/>
        <v>1100</v>
      </c>
    </row>
    <row r="29" spans="1:10" ht="19.95" customHeight="1" x14ac:dyDescent="0.3">
      <c r="A29" s="4"/>
      <c r="B29" s="4"/>
      <c r="C29" s="6"/>
      <c r="D29" s="6"/>
      <c r="E29" s="7"/>
      <c r="F29" s="4"/>
      <c r="G29" s="4"/>
      <c r="H29" s="8"/>
      <c r="I29" s="9"/>
      <c r="J29" s="8">
        <f t="shared" si="2"/>
        <v>0</v>
      </c>
    </row>
    <row r="30" spans="1:10" ht="19.95" customHeight="1" x14ac:dyDescent="0.3">
      <c r="A30" s="4"/>
      <c r="B30" s="4"/>
      <c r="C30" s="6"/>
      <c r="D30" s="6"/>
      <c r="E30" s="7"/>
      <c r="F30" s="4"/>
      <c r="G30" s="4"/>
      <c r="H30" s="8"/>
      <c r="I30" s="9"/>
      <c r="J30" s="8">
        <f t="shared" si="2"/>
        <v>0</v>
      </c>
    </row>
    <row r="31" spans="1:10" ht="19.95" customHeight="1" x14ac:dyDescent="0.3">
      <c r="A31" s="4"/>
      <c r="B31" s="4"/>
      <c r="C31" s="6"/>
      <c r="D31" s="6"/>
      <c r="E31" s="7"/>
      <c r="F31" s="4"/>
      <c r="G31" s="8"/>
      <c r="H31" s="8"/>
      <c r="I31" s="9"/>
      <c r="J31" s="8">
        <f t="shared" si="2"/>
        <v>0</v>
      </c>
    </row>
    <row r="32" spans="1:10" ht="19.95" customHeight="1" x14ac:dyDescent="0.3">
      <c r="A32" s="10"/>
      <c r="B32" s="10"/>
      <c r="C32" s="10"/>
      <c r="D32" s="10"/>
      <c r="E32" s="11"/>
      <c r="F32" s="10"/>
      <c r="G32" s="12"/>
      <c r="H32" s="8">
        <f>SUM(H25:H31)</f>
        <v>5200</v>
      </c>
      <c r="I32" s="9">
        <f>SUM(I25:I31)</f>
        <v>2450</v>
      </c>
      <c r="J32" s="8">
        <f>SUM(J25:J31)</f>
        <v>2750</v>
      </c>
    </row>
    <row r="33" spans="1:10" ht="19.95" customHeight="1" x14ac:dyDescent="0.3">
      <c r="A33" s="16"/>
      <c r="B33" s="16"/>
      <c r="C33" s="16"/>
      <c r="D33" s="16"/>
      <c r="E33" s="17"/>
      <c r="F33" s="16"/>
      <c r="G33" s="16"/>
      <c r="H33" s="18"/>
      <c r="I33" s="19"/>
      <c r="J33" s="18"/>
    </row>
    <row r="34" spans="1:10" ht="30" customHeight="1" x14ac:dyDescent="0.3">
      <c r="A34" s="31" t="s">
        <v>14</v>
      </c>
      <c r="B34" s="31"/>
      <c r="C34" s="31"/>
      <c r="D34" s="31"/>
      <c r="E34" s="31"/>
      <c r="F34" s="31"/>
      <c r="G34" s="31"/>
      <c r="H34" s="31"/>
      <c r="I34" s="31"/>
      <c r="J34" s="31"/>
    </row>
    <row r="35" spans="1:10" ht="30" customHeight="1" x14ac:dyDescent="0.3">
      <c r="A35" s="4" t="s">
        <v>2</v>
      </c>
      <c r="B35" s="4" t="s">
        <v>3</v>
      </c>
      <c r="C35" s="5" t="s">
        <v>4</v>
      </c>
      <c r="D35" s="5" t="s">
        <v>5</v>
      </c>
      <c r="E35" s="4" t="s">
        <v>6</v>
      </c>
      <c r="F35" s="5" t="s">
        <v>17</v>
      </c>
      <c r="G35" s="5" t="s">
        <v>7</v>
      </c>
      <c r="H35" s="4" t="s">
        <v>8</v>
      </c>
      <c r="I35" s="4" t="s">
        <v>9</v>
      </c>
      <c r="J35" s="4" t="s">
        <v>10</v>
      </c>
    </row>
    <row r="36" spans="1:10" ht="19.95" customHeight="1" x14ac:dyDescent="0.3">
      <c r="A36" s="4">
        <v>100925</v>
      </c>
      <c r="B36" s="4">
        <v>304</v>
      </c>
      <c r="C36" s="6">
        <v>0.9</v>
      </c>
      <c r="D36" s="6" t="s">
        <v>22</v>
      </c>
      <c r="E36" s="7" t="s">
        <v>54</v>
      </c>
      <c r="F36" s="4"/>
      <c r="G36" s="4" t="s">
        <v>22</v>
      </c>
      <c r="H36" s="8">
        <v>600</v>
      </c>
      <c r="I36" s="9">
        <v>355</v>
      </c>
      <c r="J36" s="8">
        <f t="shared" ref="J36:J44" si="3">H36-I36</f>
        <v>245</v>
      </c>
    </row>
    <row r="37" spans="1:10" ht="19.95" customHeight="1" x14ac:dyDescent="0.3">
      <c r="A37" s="4" t="s">
        <v>55</v>
      </c>
      <c r="B37" s="4">
        <v>304</v>
      </c>
      <c r="C37" s="6">
        <v>0.9</v>
      </c>
      <c r="D37" s="6" t="s">
        <v>26</v>
      </c>
      <c r="E37" s="7" t="s">
        <v>57</v>
      </c>
      <c r="F37" s="4"/>
      <c r="G37" s="4" t="s">
        <v>22</v>
      </c>
      <c r="H37" s="8">
        <v>1200</v>
      </c>
      <c r="I37" s="9">
        <v>955</v>
      </c>
      <c r="J37" s="8">
        <f t="shared" si="3"/>
        <v>245</v>
      </c>
    </row>
    <row r="38" spans="1:10" ht="19.95" customHeight="1" x14ac:dyDescent="0.3">
      <c r="A38" s="4" t="s">
        <v>55</v>
      </c>
      <c r="B38" s="4">
        <v>304</v>
      </c>
      <c r="C38" s="6">
        <v>0.9</v>
      </c>
      <c r="D38" s="6" t="s">
        <v>22</v>
      </c>
      <c r="E38" s="7" t="s">
        <v>59</v>
      </c>
      <c r="F38" s="4"/>
      <c r="G38" s="4" t="s">
        <v>22</v>
      </c>
      <c r="H38" s="8">
        <v>1500</v>
      </c>
      <c r="I38" s="9">
        <f>900+1310</f>
        <v>2210</v>
      </c>
      <c r="J38" s="8">
        <f t="shared" si="3"/>
        <v>-710</v>
      </c>
    </row>
    <row r="39" spans="1:10" ht="19.95" customHeight="1" x14ac:dyDescent="0.3">
      <c r="A39" s="4" t="s">
        <v>55</v>
      </c>
      <c r="B39" s="4">
        <v>304</v>
      </c>
      <c r="C39" s="6">
        <v>0.9</v>
      </c>
      <c r="D39" s="6" t="s">
        <v>26</v>
      </c>
      <c r="E39" s="7" t="s">
        <v>60</v>
      </c>
      <c r="F39" s="4"/>
      <c r="G39" s="4">
        <v>430</v>
      </c>
      <c r="H39" s="8">
        <v>1500</v>
      </c>
      <c r="I39" s="9">
        <v>940</v>
      </c>
      <c r="J39" s="8">
        <f t="shared" si="3"/>
        <v>560</v>
      </c>
    </row>
    <row r="40" spans="1:10" ht="19.95" customHeight="1" x14ac:dyDescent="0.3">
      <c r="A40" s="4" t="s">
        <v>55</v>
      </c>
      <c r="B40" s="4">
        <v>304</v>
      </c>
      <c r="C40" s="6">
        <v>0.9</v>
      </c>
      <c r="D40" s="6" t="s">
        <v>22</v>
      </c>
      <c r="E40" s="7" t="s">
        <v>61</v>
      </c>
      <c r="F40" s="4"/>
      <c r="G40" s="4" t="s">
        <v>22</v>
      </c>
      <c r="H40" s="8">
        <v>1500</v>
      </c>
      <c r="I40" s="9"/>
      <c r="J40" s="8">
        <f t="shared" si="3"/>
        <v>1500</v>
      </c>
    </row>
    <row r="41" spans="1:10" ht="19.95" customHeight="1" x14ac:dyDescent="0.3">
      <c r="A41" s="4">
        <v>160925</v>
      </c>
      <c r="B41" s="4">
        <v>304</v>
      </c>
      <c r="C41" s="6">
        <v>0.9</v>
      </c>
      <c r="D41" s="6" t="s">
        <v>26</v>
      </c>
      <c r="E41" s="7" t="s">
        <v>62</v>
      </c>
      <c r="F41" s="4"/>
      <c r="G41" s="4">
        <v>430</v>
      </c>
      <c r="H41" s="8">
        <v>1100</v>
      </c>
      <c r="I41" s="9"/>
      <c r="J41" s="8">
        <f t="shared" si="3"/>
        <v>1100</v>
      </c>
    </row>
    <row r="42" spans="1:10" ht="19.95" customHeight="1" x14ac:dyDescent="0.3">
      <c r="A42" s="4">
        <v>160925</v>
      </c>
      <c r="B42" s="4">
        <v>304</v>
      </c>
      <c r="C42" s="6">
        <v>0.9</v>
      </c>
      <c r="D42" s="6" t="s">
        <v>22</v>
      </c>
      <c r="E42" s="7" t="s">
        <v>63</v>
      </c>
      <c r="F42" s="4"/>
      <c r="G42" s="4" t="s">
        <v>22</v>
      </c>
      <c r="H42" s="8">
        <v>1100</v>
      </c>
      <c r="I42" s="9"/>
      <c r="J42" s="8">
        <f t="shared" si="3"/>
        <v>1100</v>
      </c>
    </row>
    <row r="43" spans="1:10" ht="19.95" customHeight="1" x14ac:dyDescent="0.3">
      <c r="A43" s="4"/>
      <c r="B43" s="4"/>
      <c r="C43" s="6"/>
      <c r="D43" s="6"/>
      <c r="E43" s="7"/>
      <c r="F43" s="4"/>
      <c r="G43" s="4"/>
      <c r="H43" s="8"/>
      <c r="I43" s="9"/>
      <c r="J43" s="8">
        <f t="shared" si="3"/>
        <v>0</v>
      </c>
    </row>
    <row r="44" spans="1:10" ht="19.95" customHeight="1" x14ac:dyDescent="0.3">
      <c r="A44" s="4"/>
      <c r="B44" s="4"/>
      <c r="C44" s="6"/>
      <c r="D44" s="6"/>
      <c r="E44" s="7"/>
      <c r="F44" s="4"/>
      <c r="G44" s="8"/>
      <c r="H44" s="8"/>
      <c r="I44" s="9"/>
      <c r="J44" s="8">
        <f t="shared" si="3"/>
        <v>0</v>
      </c>
    </row>
    <row r="45" spans="1:10" ht="19.95" customHeight="1" x14ac:dyDescent="0.3">
      <c r="A45" s="10"/>
      <c r="B45" s="10"/>
      <c r="C45" s="10"/>
      <c r="D45" s="10"/>
      <c r="E45" s="11"/>
      <c r="F45" s="10"/>
      <c r="G45" s="12"/>
      <c r="H45" s="8">
        <f>SUM(H36:H44)</f>
        <v>8500</v>
      </c>
      <c r="I45" s="9">
        <f>SUM(I36:I44)</f>
        <v>4460</v>
      </c>
      <c r="J45" s="8">
        <f>SUM(J36:J44)</f>
        <v>4040</v>
      </c>
    </row>
    <row r="46" spans="1:10" ht="19.95" customHeight="1" x14ac:dyDescent="0.3">
      <c r="A46" s="16"/>
      <c r="B46" s="16"/>
      <c r="C46" s="16"/>
      <c r="D46" s="16"/>
      <c r="E46" s="17"/>
      <c r="F46" s="16"/>
      <c r="G46" s="16"/>
      <c r="H46" s="18"/>
      <c r="I46" s="19"/>
      <c r="J46" s="18"/>
    </row>
    <row r="47" spans="1:10" ht="30" customHeight="1" x14ac:dyDescent="0.3">
      <c r="A47" s="31" t="s">
        <v>16</v>
      </c>
      <c r="B47" s="31"/>
      <c r="C47" s="31"/>
      <c r="D47" s="31"/>
      <c r="E47" s="31"/>
      <c r="F47" s="31"/>
      <c r="G47" s="31"/>
      <c r="H47" s="31"/>
      <c r="I47" s="31"/>
      <c r="J47" s="31"/>
    </row>
    <row r="48" spans="1:10" ht="30" customHeight="1" x14ac:dyDescent="0.3">
      <c r="A48" s="4" t="s">
        <v>2</v>
      </c>
      <c r="B48" s="4" t="s">
        <v>3</v>
      </c>
      <c r="C48" s="5" t="s">
        <v>4</v>
      </c>
      <c r="D48" s="5" t="s">
        <v>5</v>
      </c>
      <c r="E48" s="4" t="s">
        <v>6</v>
      </c>
      <c r="F48" s="5" t="s">
        <v>18</v>
      </c>
      <c r="G48" s="5" t="s">
        <v>7</v>
      </c>
      <c r="H48" s="4" t="s">
        <v>8</v>
      </c>
      <c r="I48" s="4" t="s">
        <v>9</v>
      </c>
      <c r="J48" s="4" t="s">
        <v>10</v>
      </c>
    </row>
    <row r="49" spans="1:10" ht="19.95" customHeight="1" x14ac:dyDescent="0.3">
      <c r="A49" s="4"/>
      <c r="B49" s="4"/>
      <c r="C49" s="6"/>
      <c r="D49" s="6"/>
      <c r="E49" s="7"/>
      <c r="F49" s="4"/>
      <c r="G49" s="4"/>
      <c r="H49" s="8"/>
      <c r="I49" s="9"/>
      <c r="J49" s="8">
        <f t="shared" ref="J49:J54" si="4">H49-I49</f>
        <v>0</v>
      </c>
    </row>
    <row r="50" spans="1:10" ht="19.95" customHeight="1" x14ac:dyDescent="0.3">
      <c r="A50" s="4"/>
      <c r="B50" s="4"/>
      <c r="C50" s="6"/>
      <c r="D50" s="6"/>
      <c r="E50" s="7"/>
      <c r="F50" s="4"/>
      <c r="G50" s="4"/>
      <c r="H50" s="8"/>
      <c r="I50" s="9"/>
      <c r="J50" s="8">
        <f t="shared" si="4"/>
        <v>0</v>
      </c>
    </row>
    <row r="51" spans="1:10" ht="19.95" customHeight="1" x14ac:dyDescent="0.3">
      <c r="A51" s="4"/>
      <c r="B51" s="4"/>
      <c r="C51" s="6"/>
      <c r="D51" s="6"/>
      <c r="E51" s="7"/>
      <c r="F51" s="4"/>
      <c r="G51" s="4"/>
      <c r="H51" s="8"/>
      <c r="I51" s="9"/>
      <c r="J51" s="8">
        <f t="shared" si="4"/>
        <v>0</v>
      </c>
    </row>
    <row r="52" spans="1:10" ht="19.95" customHeight="1" x14ac:dyDescent="0.3">
      <c r="A52" s="4"/>
      <c r="B52" s="4"/>
      <c r="C52" s="6"/>
      <c r="D52" s="6"/>
      <c r="E52" s="7"/>
      <c r="F52" s="4"/>
      <c r="G52" s="8"/>
      <c r="H52" s="8"/>
      <c r="I52" s="9"/>
      <c r="J52" s="8">
        <f t="shared" si="4"/>
        <v>0</v>
      </c>
    </row>
    <row r="53" spans="1:10" ht="19.95" customHeight="1" x14ac:dyDescent="0.3">
      <c r="A53" s="4"/>
      <c r="B53" s="4"/>
      <c r="C53" s="6"/>
      <c r="D53" s="6"/>
      <c r="E53" s="7"/>
      <c r="F53" s="4"/>
      <c r="G53" s="4"/>
      <c r="H53" s="8"/>
      <c r="I53" s="9"/>
      <c r="J53" s="8">
        <f t="shared" si="4"/>
        <v>0</v>
      </c>
    </row>
    <row r="54" spans="1:10" ht="19.95" customHeight="1" x14ac:dyDescent="0.3">
      <c r="A54" s="4"/>
      <c r="B54" s="4"/>
      <c r="C54" s="6"/>
      <c r="D54" s="6"/>
      <c r="E54" s="7"/>
      <c r="F54" s="4"/>
      <c r="G54" s="4"/>
      <c r="H54" s="8"/>
      <c r="I54" s="9"/>
      <c r="J54" s="8">
        <f t="shared" si="4"/>
        <v>0</v>
      </c>
    </row>
    <row r="55" spans="1:10" ht="19.95" customHeight="1" x14ac:dyDescent="0.3">
      <c r="A55" s="10"/>
      <c r="B55" s="10"/>
      <c r="C55" s="10"/>
      <c r="D55" s="10"/>
      <c r="E55" s="11"/>
      <c r="F55" s="10"/>
      <c r="G55" s="12"/>
      <c r="H55" s="8">
        <f>SUM(H49:H54)</f>
        <v>0</v>
      </c>
      <c r="I55" s="9">
        <f>SUM(I49:I54)</f>
        <v>0</v>
      </c>
      <c r="J55" s="8">
        <f>SUM(J49:J54)</f>
        <v>0</v>
      </c>
    </row>
    <row r="56" spans="1:10" ht="19.95" customHeight="1" x14ac:dyDescent="0.3">
      <c r="A56" s="16"/>
      <c r="B56" s="16"/>
      <c r="C56" s="16"/>
      <c r="D56" s="16"/>
      <c r="E56" s="17"/>
      <c r="F56" s="16"/>
      <c r="G56" s="16"/>
      <c r="H56" s="18"/>
      <c r="I56" s="19"/>
      <c r="J56" s="18"/>
    </row>
    <row r="58" spans="1:10" ht="23.4" x14ac:dyDescent="0.3">
      <c r="A58" s="31" t="s">
        <v>11</v>
      </c>
      <c r="B58" s="31"/>
      <c r="C58" s="31"/>
      <c r="D58" s="31"/>
      <c r="E58" s="31"/>
      <c r="F58" s="31"/>
      <c r="G58" s="31"/>
      <c r="H58" s="31"/>
      <c r="I58" s="31"/>
      <c r="J58" s="31"/>
    </row>
  </sheetData>
  <mergeCells count="8">
    <mergeCell ref="A47:J47"/>
    <mergeCell ref="A58:J58"/>
    <mergeCell ref="I1:J1"/>
    <mergeCell ref="A2:J2"/>
    <mergeCell ref="A3:J3"/>
    <mergeCell ref="A13:J13"/>
    <mergeCell ref="A23:J23"/>
    <mergeCell ref="A34:J34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45" orientation="portrait" horizontalDpi="1200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topLeftCell="A22" zoomScale="75" zoomScaleNormal="75" workbookViewId="0">
      <selection activeCell="I40" sqref="I40"/>
    </sheetView>
  </sheetViews>
  <sheetFormatPr defaultRowHeight="14.4" x14ac:dyDescent="0.3"/>
  <cols>
    <col min="1" max="1" width="15.6640625" customWidth="1"/>
    <col min="2" max="3" width="12.6640625" customWidth="1"/>
    <col min="4" max="4" width="15.6640625" customWidth="1"/>
    <col min="5" max="5" width="80.6640625" customWidth="1"/>
    <col min="6" max="6" width="22.77734375" style="15" bestFit="1" customWidth="1"/>
    <col min="7" max="7" width="12.33203125" customWidth="1"/>
    <col min="8" max="10" width="15.6640625" customWidth="1"/>
  </cols>
  <sheetData>
    <row r="1" spans="1:11" s="1" customFormat="1" ht="30" customHeight="1" x14ac:dyDescent="0.3">
      <c r="F1" s="2"/>
      <c r="G1" s="2"/>
      <c r="H1" s="3" t="s">
        <v>0</v>
      </c>
      <c r="I1" s="27">
        <v>45945</v>
      </c>
      <c r="J1" s="27"/>
    </row>
    <row r="2" spans="1:11" ht="40.049999999999997" customHeight="1" x14ac:dyDescent="0.3">
      <c r="A2" s="28" t="s">
        <v>36</v>
      </c>
      <c r="B2" s="29"/>
      <c r="C2" s="29"/>
      <c r="D2" s="29"/>
      <c r="E2" s="29"/>
      <c r="F2" s="29"/>
      <c r="G2" s="29"/>
      <c r="H2" s="29"/>
      <c r="I2" s="29"/>
      <c r="J2" s="30"/>
    </row>
    <row r="3" spans="1:11" ht="30" customHeight="1" x14ac:dyDescent="0.3">
      <c r="A3" s="31" t="s">
        <v>12</v>
      </c>
      <c r="B3" s="31"/>
      <c r="C3" s="31"/>
      <c r="D3" s="31"/>
      <c r="E3" s="31"/>
      <c r="F3" s="31"/>
      <c r="G3" s="31"/>
      <c r="H3" s="31"/>
      <c r="I3" s="31"/>
      <c r="J3" s="31"/>
    </row>
    <row r="4" spans="1:11" ht="30" customHeight="1" x14ac:dyDescent="0.3">
      <c r="A4" s="4" t="s">
        <v>2</v>
      </c>
      <c r="B4" s="4" t="s">
        <v>3</v>
      </c>
      <c r="C4" s="5" t="s">
        <v>4</v>
      </c>
      <c r="D4" s="5" t="s">
        <v>5</v>
      </c>
      <c r="E4" s="4" t="s">
        <v>6</v>
      </c>
      <c r="F4" s="5" t="s">
        <v>17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1" ht="19.95" customHeight="1" x14ac:dyDescent="0.3">
      <c r="A5" s="4">
        <v>290925</v>
      </c>
      <c r="B5" s="4">
        <v>304</v>
      </c>
      <c r="C5" s="6">
        <v>0.9</v>
      </c>
      <c r="D5" s="6" t="s">
        <v>26</v>
      </c>
      <c r="E5" s="7" t="s">
        <v>64</v>
      </c>
      <c r="F5" s="4"/>
      <c r="G5" s="4">
        <v>430</v>
      </c>
      <c r="H5" s="8">
        <v>4000</v>
      </c>
      <c r="I5" s="9">
        <v>1870</v>
      </c>
      <c r="J5" s="22">
        <f t="shared" ref="J5:J10" si="0">H5-I5</f>
        <v>2130</v>
      </c>
      <c r="K5" s="20"/>
    </row>
    <row r="6" spans="1:11" ht="19.95" customHeight="1" x14ac:dyDescent="0.3">
      <c r="A6" s="4">
        <v>290925</v>
      </c>
      <c r="B6" s="4">
        <v>304</v>
      </c>
      <c r="C6" s="6">
        <v>0.9</v>
      </c>
      <c r="D6" s="6" t="s">
        <v>22</v>
      </c>
      <c r="E6" s="7" t="s">
        <v>65</v>
      </c>
      <c r="F6" s="4"/>
      <c r="G6" s="4" t="s">
        <v>22</v>
      </c>
      <c r="H6" s="8">
        <v>4000</v>
      </c>
      <c r="I6" s="9"/>
      <c r="J6" s="8">
        <f t="shared" si="0"/>
        <v>4000</v>
      </c>
    </row>
    <row r="7" spans="1:11" ht="19.95" customHeight="1" x14ac:dyDescent="0.3">
      <c r="A7" s="4"/>
      <c r="B7" s="4"/>
      <c r="C7" s="6"/>
      <c r="D7" s="6"/>
      <c r="E7" s="7"/>
      <c r="F7" s="4"/>
      <c r="G7" s="4"/>
      <c r="H7" s="8"/>
      <c r="I7" s="9"/>
      <c r="J7" s="8">
        <f t="shared" si="0"/>
        <v>0</v>
      </c>
    </row>
    <row r="8" spans="1:11" ht="19.95" customHeight="1" x14ac:dyDescent="0.3">
      <c r="A8" s="4"/>
      <c r="B8" s="4"/>
      <c r="C8" s="6"/>
      <c r="D8" s="6"/>
      <c r="E8" s="7"/>
      <c r="F8" s="4"/>
      <c r="G8" s="4"/>
      <c r="H8" s="8"/>
      <c r="I8" s="9"/>
      <c r="J8" s="8">
        <f t="shared" si="0"/>
        <v>0</v>
      </c>
    </row>
    <row r="9" spans="1:11" ht="19.95" customHeight="1" x14ac:dyDescent="0.3">
      <c r="A9" s="4"/>
      <c r="B9" s="4"/>
      <c r="C9" s="6"/>
      <c r="D9" s="6"/>
      <c r="E9" s="7"/>
      <c r="F9" s="4"/>
      <c r="G9" s="4"/>
      <c r="H9" s="8"/>
      <c r="I9" s="9"/>
      <c r="J9" s="8">
        <f t="shared" si="0"/>
        <v>0</v>
      </c>
    </row>
    <row r="10" spans="1:11" ht="19.95" customHeight="1" x14ac:dyDescent="0.3">
      <c r="A10" s="4"/>
      <c r="B10" s="4"/>
      <c r="C10" s="6"/>
      <c r="D10" s="6"/>
      <c r="E10" s="7"/>
      <c r="F10" s="4"/>
      <c r="G10" s="4"/>
      <c r="H10" s="8"/>
      <c r="I10" s="9"/>
      <c r="J10" s="8">
        <f t="shared" si="0"/>
        <v>0</v>
      </c>
    </row>
    <row r="11" spans="1:11" ht="19.95" customHeight="1" x14ac:dyDescent="0.3">
      <c r="A11" s="10"/>
      <c r="B11" s="10"/>
      <c r="C11" s="10"/>
      <c r="D11" s="10"/>
      <c r="E11" s="11"/>
      <c r="F11" s="10"/>
      <c r="G11" s="12"/>
      <c r="H11" s="13">
        <f>SUM(H5:H10)</f>
        <v>8000</v>
      </c>
      <c r="I11" s="14">
        <f>SUM(I5:I10)</f>
        <v>1870</v>
      </c>
      <c r="J11" s="8">
        <f>SUM(J5:J10)</f>
        <v>6130</v>
      </c>
    </row>
    <row r="13" spans="1:11" ht="30" customHeight="1" x14ac:dyDescent="0.3">
      <c r="A13" s="31" t="s">
        <v>15</v>
      </c>
      <c r="B13" s="31"/>
      <c r="C13" s="31"/>
      <c r="D13" s="31"/>
      <c r="E13" s="31"/>
      <c r="F13" s="31"/>
      <c r="G13" s="31"/>
      <c r="H13" s="31"/>
      <c r="I13" s="31"/>
      <c r="J13" s="31"/>
    </row>
    <row r="14" spans="1:11" ht="30" customHeight="1" x14ac:dyDescent="0.3">
      <c r="A14" s="4" t="s">
        <v>2</v>
      </c>
      <c r="B14" s="4" t="s">
        <v>3</v>
      </c>
      <c r="C14" s="5" t="s">
        <v>4</v>
      </c>
      <c r="D14" s="5" t="s">
        <v>5</v>
      </c>
      <c r="E14" s="4" t="s">
        <v>6</v>
      </c>
      <c r="F14" s="5" t="s">
        <v>17</v>
      </c>
      <c r="G14" s="5" t="s">
        <v>7</v>
      </c>
      <c r="H14" s="4" t="s">
        <v>8</v>
      </c>
      <c r="I14" s="4" t="s">
        <v>9</v>
      </c>
      <c r="J14" s="4" t="s">
        <v>10</v>
      </c>
    </row>
    <row r="15" spans="1:11" ht="19.95" customHeight="1" x14ac:dyDescent="0.3">
      <c r="A15" s="4">
        <v>160925</v>
      </c>
      <c r="B15" s="4">
        <v>304</v>
      </c>
      <c r="C15" s="6">
        <v>0.9</v>
      </c>
      <c r="D15" s="6" t="s">
        <v>26</v>
      </c>
      <c r="E15" s="7" t="s">
        <v>62</v>
      </c>
      <c r="F15" s="4"/>
      <c r="G15" s="4">
        <v>430</v>
      </c>
      <c r="H15" s="8">
        <v>1100</v>
      </c>
      <c r="I15" s="9">
        <f>200+960</f>
        <v>1160</v>
      </c>
      <c r="J15" s="8">
        <f t="shared" ref="J15:J20" si="1">H15-I15</f>
        <v>-60</v>
      </c>
    </row>
    <row r="16" spans="1:11" ht="19.95" customHeight="1" x14ac:dyDescent="0.3">
      <c r="A16" s="4">
        <v>160925</v>
      </c>
      <c r="B16" s="4">
        <v>304</v>
      </c>
      <c r="C16" s="6">
        <v>0.9</v>
      </c>
      <c r="D16" s="6" t="s">
        <v>22</v>
      </c>
      <c r="E16" s="7" t="s">
        <v>63</v>
      </c>
      <c r="F16" s="4"/>
      <c r="G16" s="4" t="s">
        <v>22</v>
      </c>
      <c r="H16" s="8">
        <v>1100</v>
      </c>
      <c r="I16" s="9">
        <v>1130</v>
      </c>
      <c r="J16" s="8">
        <f t="shared" si="1"/>
        <v>-30</v>
      </c>
    </row>
    <row r="17" spans="1:10" ht="19.95" customHeight="1" x14ac:dyDescent="0.3">
      <c r="A17" s="4">
        <v>290925</v>
      </c>
      <c r="B17" s="4">
        <v>304</v>
      </c>
      <c r="C17" s="6">
        <v>0.9</v>
      </c>
      <c r="D17" s="6" t="s">
        <v>26</v>
      </c>
      <c r="E17" s="7" t="s">
        <v>64</v>
      </c>
      <c r="F17" s="4"/>
      <c r="G17" s="4">
        <v>430</v>
      </c>
      <c r="H17" s="8">
        <v>4000</v>
      </c>
      <c r="I17" s="9">
        <v>10</v>
      </c>
      <c r="J17" s="8">
        <f t="shared" si="1"/>
        <v>3990</v>
      </c>
    </row>
    <row r="18" spans="1:10" ht="19.95" customHeight="1" x14ac:dyDescent="0.3">
      <c r="A18" s="4">
        <v>290925</v>
      </c>
      <c r="B18" s="4">
        <v>304</v>
      </c>
      <c r="C18" s="6">
        <v>0.9</v>
      </c>
      <c r="D18" s="6" t="s">
        <v>22</v>
      </c>
      <c r="E18" s="7" t="s">
        <v>65</v>
      </c>
      <c r="F18" s="4"/>
      <c r="G18" s="4" t="s">
        <v>22</v>
      </c>
      <c r="H18" s="8">
        <v>4000</v>
      </c>
      <c r="I18" s="9"/>
      <c r="J18" s="8">
        <f t="shared" si="1"/>
        <v>4000</v>
      </c>
    </row>
    <row r="19" spans="1:10" ht="19.95" customHeight="1" x14ac:dyDescent="0.3">
      <c r="A19" s="4"/>
      <c r="B19" s="4"/>
      <c r="C19" s="6"/>
      <c r="D19" s="6"/>
      <c r="E19" s="7"/>
      <c r="F19" s="4"/>
      <c r="G19" s="4"/>
      <c r="H19" s="8"/>
      <c r="I19" s="9"/>
      <c r="J19" s="8">
        <f t="shared" si="1"/>
        <v>0</v>
      </c>
    </row>
    <row r="20" spans="1:10" ht="19.95" customHeight="1" x14ac:dyDescent="0.3">
      <c r="A20" s="4"/>
      <c r="B20" s="4"/>
      <c r="C20" s="6"/>
      <c r="D20" s="6"/>
      <c r="E20" s="7"/>
      <c r="F20" s="4"/>
      <c r="G20" s="8"/>
      <c r="H20" s="8"/>
      <c r="I20" s="9"/>
      <c r="J20" s="8">
        <f t="shared" si="1"/>
        <v>0</v>
      </c>
    </row>
    <row r="21" spans="1:10" ht="19.95" customHeight="1" x14ac:dyDescent="0.3">
      <c r="A21" s="10"/>
      <c r="B21" s="10"/>
      <c r="C21" s="10"/>
      <c r="D21" s="10"/>
      <c r="E21" s="11"/>
      <c r="F21" s="10"/>
      <c r="G21" s="12"/>
      <c r="H21" s="8">
        <f>SUM(H15:H20)</f>
        <v>10200</v>
      </c>
      <c r="I21" s="9">
        <f>SUM(I15:I20)</f>
        <v>2300</v>
      </c>
      <c r="J21" s="8">
        <f>SUM(J15:J20)</f>
        <v>7900</v>
      </c>
    </row>
    <row r="22" spans="1:10" ht="19.95" customHeight="1" x14ac:dyDescent="0.3">
      <c r="A22" s="16"/>
      <c r="B22" s="16"/>
      <c r="C22" s="16"/>
      <c r="D22" s="16"/>
      <c r="E22" s="17"/>
      <c r="F22" s="16"/>
      <c r="G22" s="16"/>
      <c r="H22" s="18"/>
      <c r="I22" s="19"/>
      <c r="J22" s="18"/>
    </row>
    <row r="23" spans="1:10" ht="30" customHeight="1" x14ac:dyDescent="0.3">
      <c r="A23" s="31" t="s">
        <v>13</v>
      </c>
      <c r="B23" s="31"/>
      <c r="C23" s="31"/>
      <c r="D23" s="31"/>
      <c r="E23" s="31"/>
      <c r="F23" s="31"/>
      <c r="G23" s="31"/>
      <c r="H23" s="31"/>
      <c r="I23" s="31"/>
      <c r="J23" s="31"/>
    </row>
    <row r="24" spans="1:10" ht="30" customHeight="1" x14ac:dyDescent="0.3">
      <c r="A24" s="4" t="s">
        <v>2</v>
      </c>
      <c r="B24" s="4" t="s">
        <v>3</v>
      </c>
      <c r="C24" s="5" t="s">
        <v>4</v>
      </c>
      <c r="D24" s="5" t="s">
        <v>5</v>
      </c>
      <c r="E24" s="4" t="s">
        <v>6</v>
      </c>
      <c r="F24" s="5" t="s">
        <v>17</v>
      </c>
      <c r="G24" s="5" t="s">
        <v>7</v>
      </c>
      <c r="H24" s="4" t="s">
        <v>8</v>
      </c>
      <c r="I24" s="4" t="s">
        <v>9</v>
      </c>
      <c r="J24" s="4" t="s">
        <v>10</v>
      </c>
    </row>
    <row r="25" spans="1:10" ht="19.95" customHeight="1" x14ac:dyDescent="0.3">
      <c r="A25" s="4" t="s">
        <v>55</v>
      </c>
      <c r="B25" s="4">
        <v>304</v>
      </c>
      <c r="C25" s="6">
        <v>0.9</v>
      </c>
      <c r="D25" s="6" t="s">
        <v>22</v>
      </c>
      <c r="E25" s="7" t="s">
        <v>61</v>
      </c>
      <c r="F25" s="4"/>
      <c r="G25" s="4" t="s">
        <v>22</v>
      </c>
      <c r="H25" s="8">
        <v>1500</v>
      </c>
      <c r="I25" s="9">
        <f>900+600</f>
        <v>1500</v>
      </c>
      <c r="J25" s="8">
        <f t="shared" ref="J25:J31" si="2">H25-I25</f>
        <v>0</v>
      </c>
    </row>
    <row r="26" spans="1:10" ht="19.95" customHeight="1" x14ac:dyDescent="0.3">
      <c r="A26" s="4">
        <v>160925</v>
      </c>
      <c r="B26" s="4">
        <v>304</v>
      </c>
      <c r="C26" s="6">
        <v>0.9</v>
      </c>
      <c r="D26" s="6" t="s">
        <v>26</v>
      </c>
      <c r="E26" s="7" t="s">
        <v>62</v>
      </c>
      <c r="F26" s="4"/>
      <c r="G26" s="4">
        <v>430</v>
      </c>
      <c r="H26" s="8">
        <v>1100</v>
      </c>
      <c r="I26" s="9"/>
      <c r="J26" s="8">
        <f t="shared" si="2"/>
        <v>1100</v>
      </c>
    </row>
    <row r="27" spans="1:10" ht="19.95" customHeight="1" x14ac:dyDescent="0.3">
      <c r="A27" s="4">
        <v>160925</v>
      </c>
      <c r="B27" s="4">
        <v>304</v>
      </c>
      <c r="C27" s="6">
        <v>0.9</v>
      </c>
      <c r="D27" s="6" t="s">
        <v>22</v>
      </c>
      <c r="E27" s="7" t="s">
        <v>63</v>
      </c>
      <c r="F27" s="4"/>
      <c r="G27" s="4" t="s">
        <v>22</v>
      </c>
      <c r="H27" s="8">
        <v>1100</v>
      </c>
      <c r="I27" s="9"/>
      <c r="J27" s="8">
        <f t="shared" si="2"/>
        <v>1100</v>
      </c>
    </row>
    <row r="28" spans="1:10" ht="19.95" customHeight="1" x14ac:dyDescent="0.3">
      <c r="A28" s="4">
        <v>290925</v>
      </c>
      <c r="B28" s="4">
        <v>304</v>
      </c>
      <c r="C28" s="6">
        <v>0.9</v>
      </c>
      <c r="D28" s="6" t="s">
        <v>26</v>
      </c>
      <c r="E28" s="7" t="s">
        <v>64</v>
      </c>
      <c r="F28" s="4"/>
      <c r="G28" s="4">
        <v>430</v>
      </c>
      <c r="H28" s="8">
        <v>4000</v>
      </c>
      <c r="I28" s="9"/>
      <c r="J28" s="8">
        <f t="shared" si="2"/>
        <v>4000</v>
      </c>
    </row>
    <row r="29" spans="1:10" ht="19.95" customHeight="1" x14ac:dyDescent="0.3">
      <c r="A29" s="4">
        <v>290925</v>
      </c>
      <c r="B29" s="4">
        <v>304</v>
      </c>
      <c r="C29" s="6">
        <v>0.9</v>
      </c>
      <c r="D29" s="6" t="s">
        <v>22</v>
      </c>
      <c r="E29" s="7" t="s">
        <v>65</v>
      </c>
      <c r="F29" s="4"/>
      <c r="G29" s="4" t="s">
        <v>22</v>
      </c>
      <c r="H29" s="8">
        <v>4000</v>
      </c>
      <c r="I29" s="9"/>
      <c r="J29" s="8">
        <f t="shared" si="2"/>
        <v>4000</v>
      </c>
    </row>
    <row r="30" spans="1:10" ht="19.95" customHeight="1" x14ac:dyDescent="0.3">
      <c r="A30" s="4"/>
      <c r="B30" s="4"/>
      <c r="C30" s="6"/>
      <c r="D30" s="6"/>
      <c r="E30" s="7"/>
      <c r="F30" s="4"/>
      <c r="G30" s="4"/>
      <c r="H30" s="8"/>
      <c r="I30" s="9"/>
      <c r="J30" s="8">
        <f t="shared" si="2"/>
        <v>0</v>
      </c>
    </row>
    <row r="31" spans="1:10" ht="19.95" customHeight="1" x14ac:dyDescent="0.3">
      <c r="A31" s="4"/>
      <c r="B31" s="4"/>
      <c r="C31" s="6"/>
      <c r="D31" s="6"/>
      <c r="E31" s="7"/>
      <c r="F31" s="4"/>
      <c r="G31" s="8"/>
      <c r="H31" s="8"/>
      <c r="I31" s="9"/>
      <c r="J31" s="8">
        <f t="shared" si="2"/>
        <v>0</v>
      </c>
    </row>
    <row r="32" spans="1:10" ht="19.95" customHeight="1" x14ac:dyDescent="0.3">
      <c r="A32" s="10"/>
      <c r="B32" s="10"/>
      <c r="C32" s="10"/>
      <c r="D32" s="10"/>
      <c r="E32" s="11"/>
      <c r="F32" s="10"/>
      <c r="G32" s="12"/>
      <c r="H32" s="8">
        <f>SUM(H25:H31)</f>
        <v>11700</v>
      </c>
      <c r="I32" s="9">
        <f>SUM(I25:I31)</f>
        <v>1500</v>
      </c>
      <c r="J32" s="8">
        <f>SUM(J25:J31)</f>
        <v>10200</v>
      </c>
    </row>
    <row r="33" spans="1:10" ht="19.95" customHeight="1" x14ac:dyDescent="0.3">
      <c r="A33" s="16"/>
      <c r="B33" s="16"/>
      <c r="C33" s="16"/>
      <c r="D33" s="16"/>
      <c r="E33" s="17"/>
      <c r="F33" s="16"/>
      <c r="G33" s="16"/>
      <c r="H33" s="18"/>
      <c r="I33" s="19"/>
      <c r="J33" s="18"/>
    </row>
    <row r="34" spans="1:10" ht="30" customHeight="1" x14ac:dyDescent="0.3">
      <c r="A34" s="31" t="s">
        <v>14</v>
      </c>
      <c r="B34" s="31"/>
      <c r="C34" s="31"/>
      <c r="D34" s="31"/>
      <c r="E34" s="31"/>
      <c r="F34" s="31"/>
      <c r="G34" s="31"/>
      <c r="H34" s="31"/>
      <c r="I34" s="31"/>
      <c r="J34" s="31"/>
    </row>
    <row r="35" spans="1:10" ht="30" customHeight="1" x14ac:dyDescent="0.3">
      <c r="A35" s="4" t="s">
        <v>2</v>
      </c>
      <c r="B35" s="4" t="s">
        <v>3</v>
      </c>
      <c r="C35" s="5" t="s">
        <v>4</v>
      </c>
      <c r="D35" s="5" t="s">
        <v>5</v>
      </c>
      <c r="E35" s="4" t="s">
        <v>6</v>
      </c>
      <c r="F35" s="5" t="s">
        <v>17</v>
      </c>
      <c r="G35" s="5" t="s">
        <v>7</v>
      </c>
      <c r="H35" s="4" t="s">
        <v>8</v>
      </c>
      <c r="I35" s="4" t="s">
        <v>9</v>
      </c>
      <c r="J35" s="4" t="s">
        <v>10</v>
      </c>
    </row>
    <row r="36" spans="1:10" ht="19.95" customHeight="1" x14ac:dyDescent="0.3">
      <c r="A36" s="4">
        <v>100925</v>
      </c>
      <c r="B36" s="4">
        <v>304</v>
      </c>
      <c r="C36" s="6">
        <v>0.9</v>
      </c>
      <c r="D36" s="6" t="s">
        <v>22</v>
      </c>
      <c r="E36" s="7" t="s">
        <v>54</v>
      </c>
      <c r="F36" s="4"/>
      <c r="G36" s="4" t="s">
        <v>22</v>
      </c>
      <c r="H36" s="8">
        <v>600</v>
      </c>
      <c r="I36" s="9">
        <v>355</v>
      </c>
      <c r="J36" s="23">
        <f t="shared" ref="J36:J44" si="3">H36-I36</f>
        <v>245</v>
      </c>
    </row>
    <row r="37" spans="1:10" ht="19.95" customHeight="1" x14ac:dyDescent="0.3">
      <c r="A37" s="4" t="s">
        <v>55</v>
      </c>
      <c r="B37" s="4">
        <v>304</v>
      </c>
      <c r="C37" s="6">
        <v>0.9</v>
      </c>
      <c r="D37" s="6" t="s">
        <v>26</v>
      </c>
      <c r="E37" s="7" t="s">
        <v>57</v>
      </c>
      <c r="F37" s="4"/>
      <c r="G37" s="4" t="s">
        <v>22</v>
      </c>
      <c r="H37" s="8">
        <v>1200</v>
      </c>
      <c r="I37" s="9">
        <v>955</v>
      </c>
      <c r="J37" s="23">
        <f t="shared" si="3"/>
        <v>245</v>
      </c>
    </row>
    <row r="38" spans="1:10" ht="19.95" customHeight="1" x14ac:dyDescent="0.3">
      <c r="A38" s="4" t="s">
        <v>55</v>
      </c>
      <c r="B38" s="4">
        <v>304</v>
      </c>
      <c r="C38" s="6">
        <v>0.9</v>
      </c>
      <c r="D38" s="6" t="s">
        <v>22</v>
      </c>
      <c r="E38" s="7" t="s">
        <v>59</v>
      </c>
      <c r="F38" s="4"/>
      <c r="G38" s="4" t="s">
        <v>22</v>
      </c>
      <c r="H38" s="8">
        <v>1500</v>
      </c>
      <c r="I38" s="9">
        <f>900+1310</f>
        <v>2210</v>
      </c>
      <c r="J38" s="23">
        <f t="shared" si="3"/>
        <v>-710</v>
      </c>
    </row>
    <row r="39" spans="1:10" ht="19.95" customHeight="1" x14ac:dyDescent="0.3">
      <c r="A39" s="4" t="s">
        <v>55</v>
      </c>
      <c r="B39" s="4">
        <v>304</v>
      </c>
      <c r="C39" s="6">
        <v>0.9</v>
      </c>
      <c r="D39" s="6" t="s">
        <v>26</v>
      </c>
      <c r="E39" s="7" t="s">
        <v>60</v>
      </c>
      <c r="F39" s="4"/>
      <c r="G39" s="4">
        <v>430</v>
      </c>
      <c r="H39" s="8">
        <v>1500</v>
      </c>
      <c r="I39" s="9">
        <f>940+560</f>
        <v>1500</v>
      </c>
      <c r="J39" s="8">
        <f t="shared" si="3"/>
        <v>0</v>
      </c>
    </row>
    <row r="40" spans="1:10" ht="19.95" customHeight="1" x14ac:dyDescent="0.3">
      <c r="A40" s="4" t="s">
        <v>55</v>
      </c>
      <c r="B40" s="4">
        <v>304</v>
      </c>
      <c r="C40" s="6">
        <v>0.9</v>
      </c>
      <c r="D40" s="6" t="s">
        <v>22</v>
      </c>
      <c r="E40" s="7" t="s">
        <v>61</v>
      </c>
      <c r="F40" s="4"/>
      <c r="G40" s="4" t="s">
        <v>22</v>
      </c>
      <c r="H40" s="8">
        <v>1500</v>
      </c>
      <c r="I40" s="9">
        <v>1040</v>
      </c>
      <c r="J40" s="8">
        <f t="shared" si="3"/>
        <v>460</v>
      </c>
    </row>
    <row r="41" spans="1:10" ht="19.95" customHeight="1" x14ac:dyDescent="0.3">
      <c r="A41" s="4">
        <v>160925</v>
      </c>
      <c r="B41" s="4">
        <v>304</v>
      </c>
      <c r="C41" s="6">
        <v>0.9</v>
      </c>
      <c r="D41" s="6" t="s">
        <v>26</v>
      </c>
      <c r="E41" s="7" t="s">
        <v>62</v>
      </c>
      <c r="F41" s="4"/>
      <c r="G41" s="4">
        <v>430</v>
      </c>
      <c r="H41" s="8">
        <v>1100</v>
      </c>
      <c r="I41" s="9"/>
      <c r="J41" s="8">
        <f t="shared" si="3"/>
        <v>1100</v>
      </c>
    </row>
    <row r="42" spans="1:10" ht="19.95" customHeight="1" x14ac:dyDescent="0.3">
      <c r="A42" s="4">
        <v>160925</v>
      </c>
      <c r="B42" s="4">
        <v>304</v>
      </c>
      <c r="C42" s="6">
        <v>0.9</v>
      </c>
      <c r="D42" s="6" t="s">
        <v>22</v>
      </c>
      <c r="E42" s="7" t="s">
        <v>63</v>
      </c>
      <c r="F42" s="4"/>
      <c r="G42" s="4" t="s">
        <v>22</v>
      </c>
      <c r="H42" s="8">
        <v>1100</v>
      </c>
      <c r="I42" s="9"/>
      <c r="J42" s="8">
        <f t="shared" si="3"/>
        <v>1100</v>
      </c>
    </row>
    <row r="43" spans="1:10" ht="19.95" customHeight="1" x14ac:dyDescent="0.3">
      <c r="A43" s="4"/>
      <c r="B43" s="4"/>
      <c r="C43" s="6"/>
      <c r="D43" s="6"/>
      <c r="E43" s="7"/>
      <c r="F43" s="4"/>
      <c r="G43" s="4"/>
      <c r="H43" s="8"/>
      <c r="I43" s="9"/>
      <c r="J43" s="8">
        <f t="shared" si="3"/>
        <v>0</v>
      </c>
    </row>
    <row r="44" spans="1:10" ht="19.95" customHeight="1" x14ac:dyDescent="0.3">
      <c r="A44" s="4"/>
      <c r="B44" s="4"/>
      <c r="C44" s="6"/>
      <c r="D44" s="6"/>
      <c r="E44" s="7"/>
      <c r="F44" s="4"/>
      <c r="G44" s="8"/>
      <c r="H44" s="8"/>
      <c r="I44" s="9"/>
      <c r="J44" s="8">
        <f t="shared" si="3"/>
        <v>0</v>
      </c>
    </row>
    <row r="45" spans="1:10" ht="19.95" customHeight="1" x14ac:dyDescent="0.3">
      <c r="A45" s="10"/>
      <c r="B45" s="10"/>
      <c r="C45" s="10"/>
      <c r="D45" s="10"/>
      <c r="E45" s="11"/>
      <c r="F45" s="10"/>
      <c r="G45" s="12"/>
      <c r="H45" s="8">
        <f>SUM(H36:H44)</f>
        <v>8500</v>
      </c>
      <c r="I45" s="9">
        <f>SUM(I36:I44)</f>
        <v>6060</v>
      </c>
      <c r="J45" s="8">
        <f>SUM(J36:J44)</f>
        <v>2440</v>
      </c>
    </row>
    <row r="46" spans="1:10" ht="19.95" customHeight="1" x14ac:dyDescent="0.3">
      <c r="A46" s="16"/>
      <c r="B46" s="16"/>
      <c r="C46" s="16"/>
      <c r="D46" s="16"/>
      <c r="E46" s="17"/>
      <c r="F46" s="16"/>
      <c r="G46" s="16"/>
      <c r="H46" s="18"/>
      <c r="I46" s="19"/>
      <c r="J46" s="18"/>
    </row>
    <row r="47" spans="1:10" ht="30" customHeight="1" x14ac:dyDescent="0.3">
      <c r="A47" s="31" t="s">
        <v>16</v>
      </c>
      <c r="B47" s="31"/>
      <c r="C47" s="31"/>
      <c r="D47" s="31"/>
      <c r="E47" s="31"/>
      <c r="F47" s="31"/>
      <c r="G47" s="31"/>
      <c r="H47" s="31"/>
      <c r="I47" s="31"/>
      <c r="J47" s="31"/>
    </row>
    <row r="48" spans="1:10" ht="30" customHeight="1" x14ac:dyDescent="0.3">
      <c r="A48" s="4" t="s">
        <v>2</v>
      </c>
      <c r="B48" s="4" t="s">
        <v>3</v>
      </c>
      <c r="C48" s="5" t="s">
        <v>4</v>
      </c>
      <c r="D48" s="5" t="s">
        <v>5</v>
      </c>
      <c r="E48" s="4" t="s">
        <v>6</v>
      </c>
      <c r="F48" s="5" t="s">
        <v>18</v>
      </c>
      <c r="G48" s="5" t="s">
        <v>7</v>
      </c>
      <c r="H48" s="4" t="s">
        <v>8</v>
      </c>
      <c r="I48" s="4" t="s">
        <v>9</v>
      </c>
      <c r="J48" s="4" t="s">
        <v>10</v>
      </c>
    </row>
    <row r="49" spans="1:10" ht="19.95" customHeight="1" x14ac:dyDescent="0.3">
      <c r="A49" s="4"/>
      <c r="B49" s="4"/>
      <c r="C49" s="6"/>
      <c r="D49" s="6"/>
      <c r="E49" s="7"/>
      <c r="F49" s="4"/>
      <c r="G49" s="4"/>
      <c r="H49" s="8"/>
      <c r="I49" s="9"/>
      <c r="J49" s="8">
        <f t="shared" ref="J49:J54" si="4">H49-I49</f>
        <v>0</v>
      </c>
    </row>
    <row r="50" spans="1:10" ht="19.95" customHeight="1" x14ac:dyDescent="0.3">
      <c r="A50" s="4"/>
      <c r="B50" s="4"/>
      <c r="C50" s="6"/>
      <c r="D50" s="6"/>
      <c r="E50" s="7"/>
      <c r="F50" s="4"/>
      <c r="G50" s="4"/>
      <c r="H50" s="8"/>
      <c r="I50" s="9"/>
      <c r="J50" s="8">
        <f t="shared" si="4"/>
        <v>0</v>
      </c>
    </row>
    <row r="51" spans="1:10" ht="19.95" customHeight="1" x14ac:dyDescent="0.3">
      <c r="A51" s="4"/>
      <c r="B51" s="4"/>
      <c r="C51" s="6"/>
      <c r="D51" s="6"/>
      <c r="E51" s="7"/>
      <c r="F51" s="4"/>
      <c r="G51" s="4"/>
      <c r="H51" s="8"/>
      <c r="I51" s="9"/>
      <c r="J51" s="8">
        <f t="shared" si="4"/>
        <v>0</v>
      </c>
    </row>
    <row r="52" spans="1:10" ht="19.95" customHeight="1" x14ac:dyDescent="0.3">
      <c r="A52" s="4"/>
      <c r="B52" s="4"/>
      <c r="C52" s="6"/>
      <c r="D52" s="6"/>
      <c r="E52" s="7"/>
      <c r="F52" s="4"/>
      <c r="G52" s="8"/>
      <c r="H52" s="8"/>
      <c r="I52" s="9"/>
      <c r="J52" s="8">
        <f t="shared" si="4"/>
        <v>0</v>
      </c>
    </row>
    <row r="53" spans="1:10" ht="19.95" customHeight="1" x14ac:dyDescent="0.3">
      <c r="A53" s="4"/>
      <c r="B53" s="4"/>
      <c r="C53" s="6"/>
      <c r="D53" s="6"/>
      <c r="E53" s="7"/>
      <c r="F53" s="4"/>
      <c r="G53" s="4"/>
      <c r="H53" s="8"/>
      <c r="I53" s="9"/>
      <c r="J53" s="8">
        <f t="shared" si="4"/>
        <v>0</v>
      </c>
    </row>
    <row r="54" spans="1:10" ht="19.95" customHeight="1" x14ac:dyDescent="0.3">
      <c r="A54" s="4"/>
      <c r="B54" s="4"/>
      <c r="C54" s="6"/>
      <c r="D54" s="6"/>
      <c r="E54" s="7"/>
      <c r="F54" s="4"/>
      <c r="G54" s="4"/>
      <c r="H54" s="8"/>
      <c r="I54" s="9"/>
      <c r="J54" s="8">
        <f t="shared" si="4"/>
        <v>0</v>
      </c>
    </row>
    <row r="55" spans="1:10" ht="19.95" customHeight="1" x14ac:dyDescent="0.3">
      <c r="A55" s="10"/>
      <c r="B55" s="10"/>
      <c r="C55" s="10"/>
      <c r="D55" s="10"/>
      <c r="E55" s="11"/>
      <c r="F55" s="10"/>
      <c r="G55" s="12"/>
      <c r="H55" s="8">
        <f>SUM(H49:H54)</f>
        <v>0</v>
      </c>
      <c r="I55" s="9">
        <f>SUM(I49:I54)</f>
        <v>0</v>
      </c>
      <c r="J55" s="8">
        <f>SUM(J49:J54)</f>
        <v>0</v>
      </c>
    </row>
    <row r="56" spans="1:10" ht="19.95" customHeight="1" x14ac:dyDescent="0.3">
      <c r="A56" s="16"/>
      <c r="B56" s="16"/>
      <c r="C56" s="16"/>
      <c r="D56" s="16"/>
      <c r="E56" s="17"/>
      <c r="F56" s="16"/>
      <c r="G56" s="16"/>
      <c r="H56" s="18"/>
      <c r="I56" s="19"/>
      <c r="J56" s="18"/>
    </row>
    <row r="58" spans="1:10" ht="23.4" x14ac:dyDescent="0.3">
      <c r="A58" s="31" t="s">
        <v>11</v>
      </c>
      <c r="B58" s="31"/>
      <c r="C58" s="31"/>
      <c r="D58" s="31"/>
      <c r="E58" s="31"/>
      <c r="F58" s="31"/>
      <c r="G58" s="31"/>
      <c r="H58" s="31"/>
      <c r="I58" s="31"/>
      <c r="J58" s="31"/>
    </row>
  </sheetData>
  <mergeCells count="8">
    <mergeCell ref="A47:J47"/>
    <mergeCell ref="A58:J58"/>
    <mergeCell ref="I1:J1"/>
    <mergeCell ref="A2:J2"/>
    <mergeCell ref="A3:J3"/>
    <mergeCell ref="A13:J13"/>
    <mergeCell ref="A23:J23"/>
    <mergeCell ref="A34:J34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45" orientation="portrait" horizontalDpi="1200" verticalDpi="12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topLeftCell="A34" zoomScale="75" zoomScaleNormal="75" workbookViewId="0">
      <selection activeCell="L42" sqref="L42"/>
    </sheetView>
  </sheetViews>
  <sheetFormatPr defaultRowHeight="14.4" x14ac:dyDescent="0.3"/>
  <cols>
    <col min="1" max="1" width="15.6640625" customWidth="1"/>
    <col min="2" max="3" width="12.6640625" customWidth="1"/>
    <col min="4" max="4" width="15.6640625" customWidth="1"/>
    <col min="5" max="5" width="80.6640625" customWidth="1"/>
    <col min="6" max="6" width="22.77734375" style="15" bestFit="1" customWidth="1"/>
    <col min="7" max="7" width="12.33203125" customWidth="1"/>
    <col min="8" max="10" width="15.6640625" customWidth="1"/>
  </cols>
  <sheetData>
    <row r="1" spans="1:11" s="1" customFormat="1" ht="30" customHeight="1" x14ac:dyDescent="0.3">
      <c r="F1" s="2"/>
      <c r="G1" s="2"/>
      <c r="H1" s="3" t="s">
        <v>0</v>
      </c>
      <c r="I1" s="27">
        <v>45946</v>
      </c>
      <c r="J1" s="27"/>
    </row>
    <row r="2" spans="1:11" ht="40.049999999999997" customHeight="1" x14ac:dyDescent="0.3">
      <c r="A2" s="28" t="s">
        <v>44</v>
      </c>
      <c r="B2" s="29"/>
      <c r="C2" s="29"/>
      <c r="D2" s="29"/>
      <c r="E2" s="29"/>
      <c r="F2" s="29"/>
      <c r="G2" s="29"/>
      <c r="H2" s="29"/>
      <c r="I2" s="29"/>
      <c r="J2" s="30"/>
    </row>
    <row r="3" spans="1:11" ht="30" customHeight="1" x14ac:dyDescent="0.3">
      <c r="A3" s="31" t="s">
        <v>12</v>
      </c>
      <c r="B3" s="31"/>
      <c r="C3" s="31"/>
      <c r="D3" s="31"/>
      <c r="E3" s="31"/>
      <c r="F3" s="31"/>
      <c r="G3" s="31"/>
      <c r="H3" s="31"/>
      <c r="I3" s="31"/>
      <c r="J3" s="31"/>
    </row>
    <row r="4" spans="1:11" ht="30" customHeight="1" x14ac:dyDescent="0.3">
      <c r="A4" s="4" t="s">
        <v>2</v>
      </c>
      <c r="B4" s="4" t="s">
        <v>3</v>
      </c>
      <c r="C4" s="5" t="s">
        <v>4</v>
      </c>
      <c r="D4" s="5" t="s">
        <v>5</v>
      </c>
      <c r="E4" s="4" t="s">
        <v>6</v>
      </c>
      <c r="F4" s="5" t="s">
        <v>17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1" ht="19.95" customHeight="1" x14ac:dyDescent="0.3">
      <c r="A5" s="4">
        <v>290925</v>
      </c>
      <c r="B5" s="4">
        <v>304</v>
      </c>
      <c r="C5" s="6">
        <v>0.9</v>
      </c>
      <c r="D5" s="6" t="s">
        <v>26</v>
      </c>
      <c r="E5" s="7" t="s">
        <v>64</v>
      </c>
      <c r="F5" s="4"/>
      <c r="G5" s="4">
        <v>430</v>
      </c>
      <c r="H5" s="8">
        <v>4000</v>
      </c>
      <c r="I5" s="9">
        <f>1870+2174</f>
        <v>4044</v>
      </c>
      <c r="J5" s="22">
        <f t="shared" ref="J5:J10" si="0">H5-I5</f>
        <v>-44</v>
      </c>
      <c r="K5" s="20"/>
    </row>
    <row r="6" spans="1:11" ht="19.95" customHeight="1" x14ac:dyDescent="0.3">
      <c r="A6" s="4">
        <v>290925</v>
      </c>
      <c r="B6" s="4">
        <v>304</v>
      </c>
      <c r="C6" s="6">
        <v>0.9</v>
      </c>
      <c r="D6" s="6" t="s">
        <v>22</v>
      </c>
      <c r="E6" s="7" t="s">
        <v>65</v>
      </c>
      <c r="F6" s="4"/>
      <c r="G6" s="4" t="s">
        <v>22</v>
      </c>
      <c r="H6" s="8">
        <v>4000</v>
      </c>
      <c r="I6" s="9"/>
      <c r="J6" s="8">
        <f t="shared" si="0"/>
        <v>4000</v>
      </c>
    </row>
    <row r="7" spans="1:11" ht="19.95" customHeight="1" x14ac:dyDescent="0.3">
      <c r="A7" s="4">
        <v>290925</v>
      </c>
      <c r="B7" s="4">
        <v>304</v>
      </c>
      <c r="C7" s="6">
        <v>0.8</v>
      </c>
      <c r="D7" s="6" t="s">
        <v>26</v>
      </c>
      <c r="E7" s="7" t="s">
        <v>66</v>
      </c>
      <c r="F7" s="4"/>
      <c r="G7" s="4">
        <v>430</v>
      </c>
      <c r="H7" s="8">
        <v>3000</v>
      </c>
      <c r="I7" s="9"/>
      <c r="J7" s="8">
        <f t="shared" si="0"/>
        <v>3000</v>
      </c>
    </row>
    <row r="8" spans="1:11" ht="19.95" customHeight="1" x14ac:dyDescent="0.3">
      <c r="A8" s="4">
        <v>290925</v>
      </c>
      <c r="B8" s="4">
        <v>304</v>
      </c>
      <c r="C8" s="6">
        <v>0.8</v>
      </c>
      <c r="D8" s="6" t="s">
        <v>22</v>
      </c>
      <c r="E8" s="7" t="s">
        <v>67</v>
      </c>
      <c r="F8" s="4"/>
      <c r="G8" s="4" t="s">
        <v>22</v>
      </c>
      <c r="H8" s="8">
        <v>3000</v>
      </c>
      <c r="I8" s="9"/>
      <c r="J8" s="8">
        <f t="shared" si="0"/>
        <v>3000</v>
      </c>
    </row>
    <row r="9" spans="1:11" ht="19.95" customHeight="1" x14ac:dyDescent="0.3">
      <c r="A9" s="4"/>
      <c r="B9" s="4"/>
      <c r="C9" s="6"/>
      <c r="D9" s="6"/>
      <c r="E9" s="7"/>
      <c r="F9" s="4"/>
      <c r="G9" s="4"/>
      <c r="H9" s="8"/>
      <c r="I9" s="9"/>
      <c r="J9" s="8">
        <f t="shared" si="0"/>
        <v>0</v>
      </c>
    </row>
    <row r="10" spans="1:11" ht="19.95" customHeight="1" x14ac:dyDescent="0.3">
      <c r="A10" s="4"/>
      <c r="B10" s="4"/>
      <c r="C10" s="6"/>
      <c r="D10" s="6"/>
      <c r="E10" s="7"/>
      <c r="F10" s="4"/>
      <c r="G10" s="4"/>
      <c r="H10" s="8"/>
      <c r="I10" s="9"/>
      <c r="J10" s="8">
        <f t="shared" si="0"/>
        <v>0</v>
      </c>
    </row>
    <row r="11" spans="1:11" ht="19.95" customHeight="1" x14ac:dyDescent="0.3">
      <c r="A11" s="10"/>
      <c r="B11" s="10"/>
      <c r="C11" s="10"/>
      <c r="D11" s="10"/>
      <c r="E11" s="11"/>
      <c r="F11" s="10"/>
      <c r="G11" s="12"/>
      <c r="H11" s="13">
        <f>SUM(H5:H10)</f>
        <v>14000</v>
      </c>
      <c r="I11" s="14">
        <f>SUM(I5:I10)</f>
        <v>4044</v>
      </c>
      <c r="J11" s="8">
        <f>SUM(J5:J10)</f>
        <v>9956</v>
      </c>
    </row>
    <row r="13" spans="1:11" ht="30" customHeight="1" x14ac:dyDescent="0.3">
      <c r="A13" s="31" t="s">
        <v>15</v>
      </c>
      <c r="B13" s="31"/>
      <c r="C13" s="31"/>
      <c r="D13" s="31"/>
      <c r="E13" s="31"/>
      <c r="F13" s="31"/>
      <c r="G13" s="31"/>
      <c r="H13" s="31"/>
      <c r="I13" s="31"/>
      <c r="J13" s="31"/>
    </row>
    <row r="14" spans="1:11" ht="30" customHeight="1" x14ac:dyDescent="0.3">
      <c r="A14" s="4" t="s">
        <v>2</v>
      </c>
      <c r="B14" s="4" t="s">
        <v>3</v>
      </c>
      <c r="C14" s="5" t="s">
        <v>4</v>
      </c>
      <c r="D14" s="5" t="s">
        <v>5</v>
      </c>
      <c r="E14" s="4" t="s">
        <v>6</v>
      </c>
      <c r="F14" s="5" t="s">
        <v>17</v>
      </c>
      <c r="G14" s="5" t="s">
        <v>7</v>
      </c>
      <c r="H14" s="4" t="s">
        <v>8</v>
      </c>
      <c r="I14" s="4" t="s">
        <v>9</v>
      </c>
      <c r="J14" s="4" t="s">
        <v>10</v>
      </c>
    </row>
    <row r="15" spans="1:11" ht="19.95" customHeight="1" x14ac:dyDescent="0.3">
      <c r="A15" s="4">
        <v>290925</v>
      </c>
      <c r="B15" s="4">
        <v>304</v>
      </c>
      <c r="C15" s="6">
        <v>0.9</v>
      </c>
      <c r="D15" s="6" t="s">
        <v>26</v>
      </c>
      <c r="E15" s="7" t="s">
        <v>64</v>
      </c>
      <c r="F15" s="4"/>
      <c r="G15" s="4">
        <v>430</v>
      </c>
      <c r="H15" s="8">
        <v>4000</v>
      </c>
      <c r="I15" s="9">
        <f>10+1860</f>
        <v>1870</v>
      </c>
      <c r="J15" s="8">
        <f t="shared" ref="J15:J21" si="1">H15-I15</f>
        <v>2130</v>
      </c>
    </row>
    <row r="16" spans="1:11" ht="19.95" customHeight="1" x14ac:dyDescent="0.3">
      <c r="A16" s="4">
        <v>290925</v>
      </c>
      <c r="B16" s="4">
        <v>304</v>
      </c>
      <c r="C16" s="6">
        <v>0.9</v>
      </c>
      <c r="D16" s="6" t="s">
        <v>22</v>
      </c>
      <c r="E16" s="7" t="s">
        <v>65</v>
      </c>
      <c r="F16" s="4"/>
      <c r="G16" s="4" t="s">
        <v>22</v>
      </c>
      <c r="H16" s="8">
        <v>4000</v>
      </c>
      <c r="I16" s="9"/>
      <c r="J16" s="8">
        <f t="shared" si="1"/>
        <v>4000</v>
      </c>
    </row>
    <row r="17" spans="1:10" ht="19.95" customHeight="1" x14ac:dyDescent="0.3">
      <c r="A17" s="4">
        <v>290925</v>
      </c>
      <c r="B17" s="4">
        <v>304</v>
      </c>
      <c r="C17" s="6">
        <v>0.8</v>
      </c>
      <c r="D17" s="6" t="s">
        <v>26</v>
      </c>
      <c r="E17" s="7" t="s">
        <v>66</v>
      </c>
      <c r="F17" s="4"/>
      <c r="G17" s="4">
        <v>430</v>
      </c>
      <c r="H17" s="8">
        <v>3000</v>
      </c>
      <c r="I17" s="9"/>
      <c r="J17" s="8">
        <f t="shared" si="1"/>
        <v>3000</v>
      </c>
    </row>
    <row r="18" spans="1:10" ht="19.95" customHeight="1" x14ac:dyDescent="0.3">
      <c r="A18" s="4">
        <v>290925</v>
      </c>
      <c r="B18" s="4">
        <v>304</v>
      </c>
      <c r="C18" s="6">
        <v>0.8</v>
      </c>
      <c r="D18" s="6" t="s">
        <v>22</v>
      </c>
      <c r="E18" s="7" t="s">
        <v>67</v>
      </c>
      <c r="F18" s="4"/>
      <c r="G18" s="4" t="s">
        <v>22</v>
      </c>
      <c r="H18" s="8">
        <v>3000</v>
      </c>
      <c r="I18" s="9"/>
      <c r="J18" s="8">
        <f t="shared" si="1"/>
        <v>3000</v>
      </c>
    </row>
    <row r="19" spans="1:10" s="24" customFormat="1" ht="19.95" customHeight="1" x14ac:dyDescent="0.3">
      <c r="A19" s="4"/>
      <c r="B19" s="4"/>
      <c r="C19" s="6"/>
      <c r="D19" s="6"/>
      <c r="E19" s="7"/>
      <c r="F19" s="4"/>
      <c r="G19" s="4"/>
      <c r="H19" s="8"/>
      <c r="I19" s="9"/>
      <c r="J19" s="8">
        <f t="shared" si="1"/>
        <v>0</v>
      </c>
    </row>
    <row r="20" spans="1:10" ht="19.95" customHeight="1" x14ac:dyDescent="0.3">
      <c r="A20" s="4"/>
      <c r="B20" s="4"/>
      <c r="C20" s="6"/>
      <c r="D20" s="6"/>
      <c r="E20" s="7"/>
      <c r="F20" s="4"/>
      <c r="G20" s="4"/>
      <c r="H20" s="8"/>
      <c r="I20" s="9"/>
      <c r="J20" s="8">
        <f t="shared" si="1"/>
        <v>0</v>
      </c>
    </row>
    <row r="21" spans="1:10" ht="19.95" customHeight="1" x14ac:dyDescent="0.3">
      <c r="A21" s="4"/>
      <c r="B21" s="4"/>
      <c r="C21" s="6"/>
      <c r="D21" s="6"/>
      <c r="E21" s="7"/>
      <c r="F21" s="4"/>
      <c r="G21" s="8"/>
      <c r="H21" s="8"/>
      <c r="I21" s="9"/>
      <c r="J21" s="8">
        <f t="shared" si="1"/>
        <v>0</v>
      </c>
    </row>
    <row r="22" spans="1:10" ht="19.95" customHeight="1" x14ac:dyDescent="0.3">
      <c r="A22" s="10"/>
      <c r="B22" s="10"/>
      <c r="C22" s="10"/>
      <c r="D22" s="10"/>
      <c r="E22" s="11"/>
      <c r="F22" s="10"/>
      <c r="G22" s="12"/>
      <c r="H22" s="8">
        <f>SUM(H15:H21)</f>
        <v>14000</v>
      </c>
      <c r="I22" s="9">
        <f>SUM(I15:I21)</f>
        <v>1870</v>
      </c>
      <c r="J22" s="8">
        <f>SUM(J15:J21)</f>
        <v>12130</v>
      </c>
    </row>
    <row r="23" spans="1:10" ht="19.95" customHeight="1" x14ac:dyDescent="0.3">
      <c r="A23" s="16"/>
      <c r="B23" s="16"/>
      <c r="C23" s="16"/>
      <c r="D23" s="16"/>
      <c r="E23" s="17"/>
      <c r="F23" s="16"/>
      <c r="G23" s="16"/>
      <c r="H23" s="18"/>
      <c r="I23" s="19"/>
      <c r="J23" s="18"/>
    </row>
    <row r="24" spans="1:10" ht="30" customHeight="1" x14ac:dyDescent="0.3">
      <c r="A24" s="31" t="s">
        <v>13</v>
      </c>
      <c r="B24" s="31"/>
      <c r="C24" s="31"/>
      <c r="D24" s="31"/>
      <c r="E24" s="31"/>
      <c r="F24" s="31"/>
      <c r="G24" s="31"/>
      <c r="H24" s="31"/>
      <c r="I24" s="31"/>
      <c r="J24" s="31"/>
    </row>
    <row r="25" spans="1:10" ht="30" customHeight="1" x14ac:dyDescent="0.3">
      <c r="A25" s="4" t="s">
        <v>2</v>
      </c>
      <c r="B25" s="4" t="s">
        <v>3</v>
      </c>
      <c r="C25" s="5" t="s">
        <v>4</v>
      </c>
      <c r="D25" s="5" t="s">
        <v>5</v>
      </c>
      <c r="E25" s="4" t="s">
        <v>6</v>
      </c>
      <c r="F25" s="5" t="s">
        <v>17</v>
      </c>
      <c r="G25" s="5" t="s">
        <v>7</v>
      </c>
      <c r="H25" s="4" t="s">
        <v>8</v>
      </c>
      <c r="I25" s="4" t="s">
        <v>9</v>
      </c>
      <c r="J25" s="4" t="s">
        <v>10</v>
      </c>
    </row>
    <row r="26" spans="1:10" ht="19.95" customHeight="1" x14ac:dyDescent="0.3">
      <c r="A26" s="4">
        <v>160925</v>
      </c>
      <c r="B26" s="4">
        <v>304</v>
      </c>
      <c r="C26" s="6">
        <v>0.9</v>
      </c>
      <c r="D26" s="6" t="s">
        <v>26</v>
      </c>
      <c r="E26" s="7" t="s">
        <v>62</v>
      </c>
      <c r="F26" s="4"/>
      <c r="G26" s="4">
        <v>430</v>
      </c>
      <c r="H26" s="8">
        <v>1100</v>
      </c>
      <c r="I26" s="9">
        <v>1150</v>
      </c>
      <c r="J26" s="8">
        <f t="shared" ref="J26:J33" si="2">H26-I26</f>
        <v>-50</v>
      </c>
    </row>
    <row r="27" spans="1:10" ht="19.95" customHeight="1" x14ac:dyDescent="0.3">
      <c r="A27" s="4">
        <v>160925</v>
      </c>
      <c r="B27" s="4">
        <v>304</v>
      </c>
      <c r="C27" s="6">
        <v>0.9</v>
      </c>
      <c r="D27" s="6" t="s">
        <v>22</v>
      </c>
      <c r="E27" s="7" t="s">
        <v>63</v>
      </c>
      <c r="F27" s="4"/>
      <c r="G27" s="4" t="s">
        <v>22</v>
      </c>
      <c r="H27" s="8">
        <v>1100</v>
      </c>
      <c r="I27" s="9">
        <v>750</v>
      </c>
      <c r="J27" s="8">
        <f t="shared" si="2"/>
        <v>350</v>
      </c>
    </row>
    <row r="28" spans="1:10" ht="19.95" customHeight="1" x14ac:dyDescent="0.3">
      <c r="A28" s="4">
        <v>290925</v>
      </c>
      <c r="B28" s="4">
        <v>304</v>
      </c>
      <c r="C28" s="6">
        <v>0.9</v>
      </c>
      <c r="D28" s="6" t="s">
        <v>26</v>
      </c>
      <c r="E28" s="7" t="s">
        <v>64</v>
      </c>
      <c r="F28" s="4"/>
      <c r="G28" s="4">
        <v>430</v>
      </c>
      <c r="H28" s="8">
        <v>4000</v>
      </c>
      <c r="I28" s="9"/>
      <c r="J28" s="8">
        <f t="shared" si="2"/>
        <v>4000</v>
      </c>
    </row>
    <row r="29" spans="1:10" ht="19.95" customHeight="1" x14ac:dyDescent="0.3">
      <c r="A29" s="4">
        <v>290925</v>
      </c>
      <c r="B29" s="4">
        <v>304</v>
      </c>
      <c r="C29" s="6">
        <v>0.9</v>
      </c>
      <c r="D29" s="6" t="s">
        <v>22</v>
      </c>
      <c r="E29" s="7" t="s">
        <v>65</v>
      </c>
      <c r="F29" s="4"/>
      <c r="G29" s="4" t="s">
        <v>22</v>
      </c>
      <c r="H29" s="8">
        <v>4000</v>
      </c>
      <c r="I29" s="9"/>
      <c r="J29" s="8">
        <f t="shared" si="2"/>
        <v>4000</v>
      </c>
    </row>
    <row r="30" spans="1:10" ht="19.95" customHeight="1" x14ac:dyDescent="0.3">
      <c r="A30" s="4">
        <v>290925</v>
      </c>
      <c r="B30" s="4">
        <v>304</v>
      </c>
      <c r="C30" s="6">
        <v>0.8</v>
      </c>
      <c r="D30" s="6" t="s">
        <v>26</v>
      </c>
      <c r="E30" s="7" t="s">
        <v>66</v>
      </c>
      <c r="F30" s="4"/>
      <c r="G30" s="4">
        <v>430</v>
      </c>
      <c r="H30" s="8">
        <v>3000</v>
      </c>
      <c r="I30" s="9"/>
      <c r="J30" s="8">
        <f t="shared" si="2"/>
        <v>3000</v>
      </c>
    </row>
    <row r="31" spans="1:10" s="24" customFormat="1" ht="19.95" customHeight="1" x14ac:dyDescent="0.3">
      <c r="A31" s="4">
        <v>290925</v>
      </c>
      <c r="B31" s="4">
        <v>304</v>
      </c>
      <c r="C31" s="6">
        <v>0.8</v>
      </c>
      <c r="D31" s="6" t="s">
        <v>22</v>
      </c>
      <c r="E31" s="7" t="s">
        <v>67</v>
      </c>
      <c r="F31" s="4"/>
      <c r="G31" s="4" t="s">
        <v>22</v>
      </c>
      <c r="H31" s="8">
        <v>3000</v>
      </c>
      <c r="I31" s="9"/>
      <c r="J31" s="8">
        <f t="shared" si="2"/>
        <v>3000</v>
      </c>
    </row>
    <row r="32" spans="1:10" ht="19.95" customHeight="1" x14ac:dyDescent="0.3">
      <c r="A32" s="4"/>
      <c r="B32" s="4"/>
      <c r="C32" s="6"/>
      <c r="D32" s="6"/>
      <c r="E32" s="7"/>
      <c r="F32" s="4"/>
      <c r="G32" s="4"/>
      <c r="H32" s="8"/>
      <c r="I32" s="9"/>
      <c r="J32" s="8">
        <f t="shared" si="2"/>
        <v>0</v>
      </c>
    </row>
    <row r="33" spans="1:13" ht="19.95" customHeight="1" x14ac:dyDescent="0.3">
      <c r="A33" s="4"/>
      <c r="B33" s="4"/>
      <c r="C33" s="6"/>
      <c r="D33" s="6"/>
      <c r="E33" s="7"/>
      <c r="F33" s="4"/>
      <c r="G33" s="8"/>
      <c r="H33" s="8"/>
      <c r="I33" s="9"/>
      <c r="J33" s="8">
        <f t="shared" si="2"/>
        <v>0</v>
      </c>
    </row>
    <row r="34" spans="1:13" ht="19.95" customHeight="1" x14ac:dyDescent="0.3">
      <c r="A34" s="10"/>
      <c r="B34" s="10"/>
      <c r="C34" s="10"/>
      <c r="D34" s="10"/>
      <c r="E34" s="11"/>
      <c r="F34" s="10"/>
      <c r="G34" s="12"/>
      <c r="H34" s="8">
        <f>SUM(H26:H33)</f>
        <v>16200</v>
      </c>
      <c r="I34" s="9">
        <f>SUM(I26:I33)</f>
        <v>1900</v>
      </c>
      <c r="J34" s="8">
        <f>SUM(J26:J33)</f>
        <v>14300</v>
      </c>
    </row>
    <row r="35" spans="1:13" ht="19.95" customHeight="1" x14ac:dyDescent="0.3">
      <c r="A35" s="16"/>
      <c r="B35" s="16"/>
      <c r="C35" s="16"/>
      <c r="D35" s="16"/>
      <c r="E35" s="17"/>
      <c r="F35" s="16"/>
      <c r="G35" s="16"/>
      <c r="H35" s="18"/>
      <c r="I35" s="19"/>
      <c r="J35" s="18"/>
    </row>
    <row r="36" spans="1:13" ht="30" customHeight="1" x14ac:dyDescent="0.3">
      <c r="A36" s="31" t="s">
        <v>14</v>
      </c>
      <c r="B36" s="31"/>
      <c r="C36" s="31"/>
      <c r="D36" s="31"/>
      <c r="E36" s="31"/>
      <c r="F36" s="31"/>
      <c r="G36" s="31"/>
      <c r="H36" s="31"/>
      <c r="I36" s="31"/>
      <c r="J36" s="31"/>
    </row>
    <row r="37" spans="1:13" ht="30" customHeight="1" x14ac:dyDescent="0.3">
      <c r="A37" s="4" t="s">
        <v>2</v>
      </c>
      <c r="B37" s="4" t="s">
        <v>3</v>
      </c>
      <c r="C37" s="5" t="s">
        <v>4</v>
      </c>
      <c r="D37" s="5" t="s">
        <v>5</v>
      </c>
      <c r="E37" s="4" t="s">
        <v>6</v>
      </c>
      <c r="F37" s="5" t="s">
        <v>17</v>
      </c>
      <c r="G37" s="5" t="s">
        <v>7</v>
      </c>
      <c r="H37" s="4" t="s">
        <v>8</v>
      </c>
      <c r="I37" s="4" t="s">
        <v>9</v>
      </c>
      <c r="J37" s="4" t="s">
        <v>10</v>
      </c>
    </row>
    <row r="38" spans="1:13" ht="19.95" customHeight="1" x14ac:dyDescent="0.3">
      <c r="A38" s="4">
        <v>100925</v>
      </c>
      <c r="B38" s="4">
        <v>304</v>
      </c>
      <c r="C38" s="6">
        <v>0.9</v>
      </c>
      <c r="D38" s="6" t="s">
        <v>22</v>
      </c>
      <c r="E38" s="7" t="s">
        <v>54</v>
      </c>
      <c r="F38" s="4"/>
      <c r="G38" s="4" t="s">
        <v>22</v>
      </c>
      <c r="H38" s="8">
        <v>600</v>
      </c>
      <c r="I38" s="9">
        <v>355</v>
      </c>
      <c r="J38" s="23">
        <f t="shared" ref="J38:J49" si="3">H38-I38</f>
        <v>245</v>
      </c>
    </row>
    <row r="39" spans="1:13" ht="19.95" customHeight="1" x14ac:dyDescent="0.3">
      <c r="A39" s="4" t="s">
        <v>55</v>
      </c>
      <c r="B39" s="4">
        <v>304</v>
      </c>
      <c r="C39" s="6">
        <v>0.9</v>
      </c>
      <c r="D39" s="6" t="s">
        <v>26</v>
      </c>
      <c r="E39" s="7" t="s">
        <v>57</v>
      </c>
      <c r="F39" s="4"/>
      <c r="G39" s="4" t="s">
        <v>22</v>
      </c>
      <c r="H39" s="8">
        <v>1200</v>
      </c>
      <c r="I39" s="9">
        <v>955</v>
      </c>
      <c r="J39" s="23">
        <f t="shared" si="3"/>
        <v>245</v>
      </c>
    </row>
    <row r="40" spans="1:13" ht="19.95" customHeight="1" x14ac:dyDescent="0.3">
      <c r="A40" s="4" t="s">
        <v>55</v>
      </c>
      <c r="B40" s="4">
        <v>304</v>
      </c>
      <c r="C40" s="6">
        <v>0.9</v>
      </c>
      <c r="D40" s="6" t="s">
        <v>22</v>
      </c>
      <c r="E40" s="7" t="s">
        <v>59</v>
      </c>
      <c r="F40" s="4"/>
      <c r="G40" s="4" t="s">
        <v>22</v>
      </c>
      <c r="H40" s="8">
        <v>1500</v>
      </c>
      <c r="I40" s="9">
        <f>900+1310</f>
        <v>2210</v>
      </c>
      <c r="J40" s="23">
        <f t="shared" si="3"/>
        <v>-710</v>
      </c>
    </row>
    <row r="41" spans="1:13" ht="19.95" customHeight="1" x14ac:dyDescent="0.3">
      <c r="A41" s="4" t="s">
        <v>55</v>
      </c>
      <c r="B41" s="4">
        <v>304</v>
      </c>
      <c r="C41" s="6">
        <v>0.9</v>
      </c>
      <c r="D41" s="6" t="s">
        <v>26</v>
      </c>
      <c r="E41" s="7" t="s">
        <v>60</v>
      </c>
      <c r="F41" s="4"/>
      <c r="G41" s="4">
        <v>430</v>
      </c>
      <c r="H41" s="8">
        <v>1500</v>
      </c>
      <c r="I41" s="9">
        <f>940+560</f>
        <v>1500</v>
      </c>
      <c r="J41" s="8">
        <f t="shared" si="3"/>
        <v>0</v>
      </c>
    </row>
    <row r="42" spans="1:13" ht="19.95" customHeight="1" x14ac:dyDescent="0.3">
      <c r="A42" s="4" t="s">
        <v>55</v>
      </c>
      <c r="B42" s="4">
        <v>304</v>
      </c>
      <c r="C42" s="6">
        <v>0.9</v>
      </c>
      <c r="D42" s="6" t="s">
        <v>22</v>
      </c>
      <c r="E42" s="7" t="s">
        <v>61</v>
      </c>
      <c r="F42" s="4"/>
      <c r="G42" s="4" t="s">
        <v>22</v>
      </c>
      <c r="H42" s="8">
        <v>1500</v>
      </c>
      <c r="I42" s="9">
        <f>1040+340</f>
        <v>1380</v>
      </c>
      <c r="J42" s="8">
        <f t="shared" si="3"/>
        <v>120</v>
      </c>
    </row>
    <row r="43" spans="1:13" ht="19.95" customHeight="1" x14ac:dyDescent="0.3">
      <c r="A43" s="4">
        <v>160925</v>
      </c>
      <c r="B43" s="4">
        <v>304</v>
      </c>
      <c r="C43" s="6">
        <v>0.9</v>
      </c>
      <c r="D43" s="6" t="s">
        <v>26</v>
      </c>
      <c r="E43" s="7" t="s">
        <v>62</v>
      </c>
      <c r="F43" s="4"/>
      <c r="G43" s="4">
        <v>430</v>
      </c>
      <c r="H43" s="8">
        <v>1100</v>
      </c>
      <c r="I43" s="9">
        <v>1150</v>
      </c>
      <c r="J43" s="8">
        <f t="shared" si="3"/>
        <v>-50</v>
      </c>
      <c r="M43" s="24"/>
    </row>
    <row r="44" spans="1:13" ht="19.95" customHeight="1" x14ac:dyDescent="0.3">
      <c r="A44" s="4">
        <v>160925</v>
      </c>
      <c r="B44" s="4">
        <v>304</v>
      </c>
      <c r="C44" s="6">
        <v>0.9</v>
      </c>
      <c r="D44" s="6" t="s">
        <v>22</v>
      </c>
      <c r="E44" s="7" t="s">
        <v>63</v>
      </c>
      <c r="F44" s="4"/>
      <c r="G44" s="4" t="s">
        <v>22</v>
      </c>
      <c r="H44" s="8">
        <v>1100</v>
      </c>
      <c r="I44" s="9"/>
      <c r="J44" s="8">
        <f>H44-I44</f>
        <v>1100</v>
      </c>
    </row>
    <row r="45" spans="1:13" s="24" customFormat="1" ht="19.95" customHeight="1" x14ac:dyDescent="0.3">
      <c r="A45" s="4">
        <v>290925</v>
      </c>
      <c r="B45" s="4">
        <v>304</v>
      </c>
      <c r="C45" s="6">
        <v>0.9</v>
      </c>
      <c r="D45" s="6" t="s">
        <v>26</v>
      </c>
      <c r="E45" s="7" t="s">
        <v>64</v>
      </c>
      <c r="F45" s="4"/>
      <c r="G45" s="4">
        <v>430</v>
      </c>
      <c r="H45" s="8">
        <v>4000</v>
      </c>
      <c r="I45" s="9"/>
      <c r="J45" s="8">
        <f>H45-I45</f>
        <v>4000</v>
      </c>
    </row>
    <row r="46" spans="1:13" s="24" customFormat="1" ht="19.95" customHeight="1" x14ac:dyDescent="0.3">
      <c r="A46" s="4">
        <v>290925</v>
      </c>
      <c r="B46" s="4">
        <v>304</v>
      </c>
      <c r="C46" s="6">
        <v>0.9</v>
      </c>
      <c r="D46" s="6" t="s">
        <v>22</v>
      </c>
      <c r="E46" s="7" t="s">
        <v>65</v>
      </c>
      <c r="F46" s="4"/>
      <c r="G46" s="4" t="s">
        <v>22</v>
      </c>
      <c r="H46" s="8">
        <v>4000</v>
      </c>
      <c r="I46" s="9"/>
      <c r="J46" s="8">
        <f>H46-I46</f>
        <v>4000</v>
      </c>
    </row>
    <row r="47" spans="1:13" s="24" customFormat="1" ht="19.95" customHeight="1" x14ac:dyDescent="0.3">
      <c r="A47" s="4">
        <v>290925</v>
      </c>
      <c r="B47" s="4">
        <v>304</v>
      </c>
      <c r="C47" s="6">
        <v>0.8</v>
      </c>
      <c r="D47" s="6" t="s">
        <v>26</v>
      </c>
      <c r="E47" s="7" t="s">
        <v>66</v>
      </c>
      <c r="F47" s="4"/>
      <c r="G47" s="4">
        <v>430</v>
      </c>
      <c r="H47" s="8">
        <v>3000</v>
      </c>
      <c r="I47" s="9"/>
      <c r="J47" s="8">
        <f>H47-I47</f>
        <v>3000</v>
      </c>
    </row>
    <row r="48" spans="1:13" ht="19.95" customHeight="1" x14ac:dyDescent="0.3">
      <c r="A48" s="4">
        <v>290925</v>
      </c>
      <c r="B48" s="4">
        <v>304</v>
      </c>
      <c r="C48" s="6">
        <v>0.8</v>
      </c>
      <c r="D48" s="6" t="s">
        <v>22</v>
      </c>
      <c r="E48" s="7" t="s">
        <v>67</v>
      </c>
      <c r="F48" s="4"/>
      <c r="G48" s="4" t="s">
        <v>22</v>
      </c>
      <c r="H48" s="8">
        <v>3000</v>
      </c>
      <c r="I48" s="9"/>
      <c r="J48" s="8">
        <f t="shared" si="3"/>
        <v>3000</v>
      </c>
    </row>
    <row r="49" spans="1:10" ht="19.95" customHeight="1" x14ac:dyDescent="0.3">
      <c r="A49" s="4"/>
      <c r="B49" s="4"/>
      <c r="C49" s="6"/>
      <c r="D49" s="6"/>
      <c r="E49" s="7"/>
      <c r="F49" s="4"/>
      <c r="G49" s="8"/>
      <c r="H49" s="8"/>
      <c r="I49" s="9"/>
      <c r="J49" s="8">
        <f t="shared" si="3"/>
        <v>0</v>
      </c>
    </row>
    <row r="50" spans="1:10" ht="19.95" customHeight="1" x14ac:dyDescent="0.3">
      <c r="A50" s="10"/>
      <c r="B50" s="10"/>
      <c r="C50" s="10"/>
      <c r="D50" s="10"/>
      <c r="E50" s="11"/>
      <c r="F50" s="10"/>
      <c r="G50" s="12"/>
      <c r="H50" s="8">
        <f>SUM(H38:H49)</f>
        <v>22500</v>
      </c>
      <c r="I50" s="9">
        <f>SUM(I38:I49)</f>
        <v>7550</v>
      </c>
      <c r="J50" s="8">
        <f>SUM(J38:J49)</f>
        <v>14950</v>
      </c>
    </row>
    <row r="51" spans="1:10" ht="19.95" customHeight="1" x14ac:dyDescent="0.3">
      <c r="A51" s="16"/>
      <c r="B51" s="16"/>
      <c r="C51" s="16"/>
      <c r="D51" s="16"/>
      <c r="E51" s="17"/>
      <c r="F51" s="16"/>
      <c r="G51" s="16"/>
      <c r="H51" s="18"/>
      <c r="I51" s="19"/>
      <c r="J51" s="18"/>
    </row>
    <row r="52" spans="1:10" ht="30" customHeight="1" x14ac:dyDescent="0.3">
      <c r="A52" s="31" t="s">
        <v>16</v>
      </c>
      <c r="B52" s="31"/>
      <c r="C52" s="31"/>
      <c r="D52" s="31"/>
      <c r="E52" s="31"/>
      <c r="F52" s="31"/>
      <c r="G52" s="31"/>
      <c r="H52" s="31"/>
      <c r="I52" s="31"/>
      <c r="J52" s="31"/>
    </row>
    <row r="53" spans="1:10" ht="30" customHeight="1" x14ac:dyDescent="0.3">
      <c r="A53" s="4" t="s">
        <v>2</v>
      </c>
      <c r="B53" s="4" t="s">
        <v>3</v>
      </c>
      <c r="C53" s="5" t="s">
        <v>4</v>
      </c>
      <c r="D53" s="5" t="s">
        <v>5</v>
      </c>
      <c r="E53" s="4" t="s">
        <v>6</v>
      </c>
      <c r="F53" s="5" t="s">
        <v>18</v>
      </c>
      <c r="G53" s="5" t="s">
        <v>7</v>
      </c>
      <c r="H53" s="4" t="s">
        <v>8</v>
      </c>
      <c r="I53" s="4" t="s">
        <v>9</v>
      </c>
      <c r="J53" s="4" t="s">
        <v>10</v>
      </c>
    </row>
    <row r="54" spans="1:10" ht="19.95" customHeight="1" x14ac:dyDescent="0.3">
      <c r="A54" s="4"/>
      <c r="B54" s="4"/>
      <c r="C54" s="6"/>
      <c r="D54" s="6"/>
      <c r="E54" s="7"/>
      <c r="F54" s="4"/>
      <c r="G54" s="4"/>
      <c r="H54" s="8"/>
      <c r="I54" s="9"/>
      <c r="J54" s="8">
        <f t="shared" ref="J54:J59" si="4">H54-I54</f>
        <v>0</v>
      </c>
    </row>
    <row r="55" spans="1:10" ht="19.95" customHeight="1" x14ac:dyDescent="0.3">
      <c r="A55" s="4"/>
      <c r="B55" s="4"/>
      <c r="C55" s="6"/>
      <c r="D55" s="6"/>
      <c r="E55" s="7"/>
      <c r="F55" s="4"/>
      <c r="G55" s="4"/>
      <c r="H55" s="8"/>
      <c r="I55" s="9"/>
      <c r="J55" s="8">
        <f t="shared" si="4"/>
        <v>0</v>
      </c>
    </row>
    <row r="56" spans="1:10" ht="19.95" customHeight="1" x14ac:dyDescent="0.3">
      <c r="A56" s="4"/>
      <c r="B56" s="4"/>
      <c r="C56" s="6"/>
      <c r="D56" s="6"/>
      <c r="E56" s="7"/>
      <c r="F56" s="4"/>
      <c r="G56" s="4"/>
      <c r="H56" s="8"/>
      <c r="I56" s="9"/>
      <c r="J56" s="8">
        <f t="shared" si="4"/>
        <v>0</v>
      </c>
    </row>
    <row r="57" spans="1:10" ht="19.95" customHeight="1" x14ac:dyDescent="0.3">
      <c r="A57" s="4"/>
      <c r="B57" s="4"/>
      <c r="C57" s="6"/>
      <c r="D57" s="6"/>
      <c r="E57" s="7"/>
      <c r="F57" s="4"/>
      <c r="G57" s="8"/>
      <c r="H57" s="8"/>
      <c r="I57" s="9"/>
      <c r="J57" s="8">
        <f t="shared" si="4"/>
        <v>0</v>
      </c>
    </row>
    <row r="58" spans="1:10" ht="19.95" customHeight="1" x14ac:dyDescent="0.3">
      <c r="A58" s="4"/>
      <c r="B58" s="4"/>
      <c r="C58" s="6"/>
      <c r="D58" s="6"/>
      <c r="E58" s="7"/>
      <c r="F58" s="4"/>
      <c r="G58" s="4"/>
      <c r="H58" s="8"/>
      <c r="I58" s="9"/>
      <c r="J58" s="8">
        <f t="shared" si="4"/>
        <v>0</v>
      </c>
    </row>
    <row r="59" spans="1:10" ht="19.95" customHeight="1" x14ac:dyDescent="0.3">
      <c r="A59" s="4"/>
      <c r="B59" s="4"/>
      <c r="C59" s="6"/>
      <c r="D59" s="6"/>
      <c r="E59" s="7"/>
      <c r="F59" s="4"/>
      <c r="G59" s="4"/>
      <c r="H59" s="8"/>
      <c r="I59" s="9"/>
      <c r="J59" s="8">
        <f t="shared" si="4"/>
        <v>0</v>
      </c>
    </row>
    <row r="60" spans="1:10" ht="19.95" customHeight="1" x14ac:dyDescent="0.3">
      <c r="A60" s="10"/>
      <c r="B60" s="10"/>
      <c r="C60" s="10"/>
      <c r="D60" s="10"/>
      <c r="E60" s="11"/>
      <c r="F60" s="10"/>
      <c r="G60" s="12"/>
      <c r="H60" s="8">
        <f>SUM(H54:H59)</f>
        <v>0</v>
      </c>
      <c r="I60" s="9">
        <f>SUM(I54:I59)</f>
        <v>0</v>
      </c>
      <c r="J60" s="8">
        <f>SUM(J54:J59)</f>
        <v>0</v>
      </c>
    </row>
    <row r="61" spans="1:10" ht="19.95" customHeight="1" x14ac:dyDescent="0.3">
      <c r="A61" s="16"/>
      <c r="B61" s="16"/>
      <c r="C61" s="16"/>
      <c r="D61" s="16"/>
      <c r="E61" s="17"/>
      <c r="F61" s="16"/>
      <c r="G61" s="16"/>
      <c r="H61" s="18"/>
      <c r="I61" s="19"/>
      <c r="J61" s="18"/>
    </row>
    <row r="63" spans="1:10" ht="23.4" x14ac:dyDescent="0.3">
      <c r="A63" s="31" t="s">
        <v>11</v>
      </c>
      <c r="B63" s="31"/>
      <c r="C63" s="31"/>
      <c r="D63" s="31"/>
      <c r="E63" s="31"/>
      <c r="F63" s="31"/>
      <c r="G63" s="31"/>
      <c r="H63" s="31"/>
      <c r="I63" s="31"/>
      <c r="J63" s="31"/>
    </row>
  </sheetData>
  <mergeCells count="8">
    <mergeCell ref="A52:J52"/>
    <mergeCell ref="A63:J63"/>
    <mergeCell ref="I1:J1"/>
    <mergeCell ref="A2:J2"/>
    <mergeCell ref="A3:J3"/>
    <mergeCell ref="A13:J13"/>
    <mergeCell ref="A24:J24"/>
    <mergeCell ref="A36:J36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45" orientation="portrait" horizontalDpi="1200" verticalDpi="12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zoomScale="75" zoomScaleNormal="75" workbookViewId="0">
      <selection activeCell="I41" sqref="I41"/>
    </sheetView>
  </sheetViews>
  <sheetFormatPr defaultRowHeight="14.4" x14ac:dyDescent="0.3"/>
  <cols>
    <col min="1" max="1" width="15.6640625" style="24" customWidth="1"/>
    <col min="2" max="3" width="12.6640625" style="24" customWidth="1"/>
    <col min="4" max="4" width="15.6640625" style="24" customWidth="1"/>
    <col min="5" max="5" width="80.6640625" style="24" customWidth="1"/>
    <col min="6" max="6" width="22.77734375" style="15" bestFit="1" customWidth="1"/>
    <col min="7" max="7" width="12.33203125" style="24" customWidth="1"/>
    <col min="8" max="10" width="15.6640625" style="24" customWidth="1"/>
    <col min="11" max="16384" width="8.88671875" style="24"/>
  </cols>
  <sheetData>
    <row r="1" spans="1:11" s="1" customFormat="1" ht="30" customHeight="1" x14ac:dyDescent="0.3">
      <c r="F1" s="2"/>
      <c r="G1" s="2"/>
      <c r="H1" s="3" t="s">
        <v>0</v>
      </c>
      <c r="I1" s="27">
        <v>45947</v>
      </c>
      <c r="J1" s="27"/>
    </row>
    <row r="2" spans="1:11" ht="40.049999999999997" customHeight="1" x14ac:dyDescent="0.3">
      <c r="A2" s="28" t="s">
        <v>24</v>
      </c>
      <c r="B2" s="29"/>
      <c r="C2" s="29"/>
      <c r="D2" s="29"/>
      <c r="E2" s="29"/>
      <c r="F2" s="29"/>
      <c r="G2" s="29"/>
      <c r="H2" s="29"/>
      <c r="I2" s="29"/>
      <c r="J2" s="30"/>
    </row>
    <row r="3" spans="1:11" ht="30" customHeight="1" x14ac:dyDescent="0.3">
      <c r="A3" s="31" t="s">
        <v>12</v>
      </c>
      <c r="B3" s="31"/>
      <c r="C3" s="31"/>
      <c r="D3" s="31"/>
      <c r="E3" s="31"/>
      <c r="F3" s="31"/>
      <c r="G3" s="31"/>
      <c r="H3" s="31"/>
      <c r="I3" s="31"/>
      <c r="J3" s="31"/>
    </row>
    <row r="4" spans="1:11" ht="30" customHeight="1" x14ac:dyDescent="0.3">
      <c r="A4" s="4" t="s">
        <v>2</v>
      </c>
      <c r="B4" s="4" t="s">
        <v>3</v>
      </c>
      <c r="C4" s="5" t="s">
        <v>4</v>
      </c>
      <c r="D4" s="5" t="s">
        <v>5</v>
      </c>
      <c r="E4" s="4" t="s">
        <v>6</v>
      </c>
      <c r="F4" s="5" t="s">
        <v>17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1" ht="19.95" customHeight="1" x14ac:dyDescent="0.3">
      <c r="A5" s="4">
        <v>290925</v>
      </c>
      <c r="B5" s="4">
        <v>304</v>
      </c>
      <c r="C5" s="6">
        <v>0.9</v>
      </c>
      <c r="D5" s="6" t="s">
        <v>22</v>
      </c>
      <c r="E5" s="7" t="s">
        <v>65</v>
      </c>
      <c r="F5" s="4"/>
      <c r="G5" s="4" t="s">
        <v>22</v>
      </c>
      <c r="H5" s="8">
        <v>4000</v>
      </c>
      <c r="I5" s="9">
        <f>1718</f>
        <v>1718</v>
      </c>
      <c r="J5" s="22">
        <f t="shared" ref="J5:J9" si="0">H5-I5</f>
        <v>2282</v>
      </c>
      <c r="K5" s="20"/>
    </row>
    <row r="6" spans="1:11" ht="19.95" customHeight="1" x14ac:dyDescent="0.3">
      <c r="A6" s="4">
        <v>131025</v>
      </c>
      <c r="B6" s="4">
        <v>304</v>
      </c>
      <c r="C6" s="6">
        <v>0.9</v>
      </c>
      <c r="D6" s="6" t="s">
        <v>22</v>
      </c>
      <c r="E6" s="7" t="s">
        <v>68</v>
      </c>
      <c r="F6" s="4"/>
      <c r="G6" s="4" t="s">
        <v>22</v>
      </c>
      <c r="H6" s="8">
        <v>2550</v>
      </c>
      <c r="I6" s="9"/>
      <c r="J6" s="22">
        <f t="shared" si="0"/>
        <v>2550</v>
      </c>
      <c r="K6" s="20"/>
    </row>
    <row r="7" spans="1:11" ht="19.95" customHeight="1" x14ac:dyDescent="0.3">
      <c r="A7" s="4">
        <v>290925</v>
      </c>
      <c r="B7" s="4">
        <v>304</v>
      </c>
      <c r="C7" s="6">
        <v>0.8</v>
      </c>
      <c r="D7" s="6" t="s">
        <v>26</v>
      </c>
      <c r="E7" s="7" t="s">
        <v>66</v>
      </c>
      <c r="F7" s="4"/>
      <c r="G7" s="4">
        <v>430</v>
      </c>
      <c r="H7" s="8">
        <v>3000</v>
      </c>
      <c r="I7" s="9"/>
      <c r="J7" s="8">
        <f t="shared" si="0"/>
        <v>3000</v>
      </c>
    </row>
    <row r="8" spans="1:11" ht="19.95" customHeight="1" x14ac:dyDescent="0.3">
      <c r="A8" s="4">
        <v>290925</v>
      </c>
      <c r="B8" s="4">
        <v>304</v>
      </c>
      <c r="C8" s="6">
        <v>0.8</v>
      </c>
      <c r="D8" s="6" t="s">
        <v>22</v>
      </c>
      <c r="E8" s="7" t="s">
        <v>67</v>
      </c>
      <c r="F8" s="4"/>
      <c r="G8" s="4" t="s">
        <v>22</v>
      </c>
      <c r="H8" s="8">
        <v>3000</v>
      </c>
      <c r="I8" s="9"/>
      <c r="J8" s="8">
        <f t="shared" si="0"/>
        <v>3000</v>
      </c>
    </row>
    <row r="9" spans="1:11" ht="19.95" customHeight="1" x14ac:dyDescent="0.3">
      <c r="A9" s="4"/>
      <c r="B9" s="4"/>
      <c r="C9" s="6"/>
      <c r="D9" s="6"/>
      <c r="E9" s="7"/>
      <c r="F9" s="4"/>
      <c r="G9" s="4"/>
      <c r="H9" s="8"/>
      <c r="I9" s="9"/>
      <c r="J9" s="8">
        <f t="shared" si="0"/>
        <v>0</v>
      </c>
    </row>
    <row r="10" spans="1:11" ht="19.95" customHeight="1" x14ac:dyDescent="0.3">
      <c r="A10" s="10"/>
      <c r="B10" s="10"/>
      <c r="C10" s="10"/>
      <c r="D10" s="10"/>
      <c r="E10" s="11"/>
      <c r="F10" s="10"/>
      <c r="G10" s="12"/>
      <c r="H10" s="13">
        <f>SUM(H5:H9)</f>
        <v>12550</v>
      </c>
      <c r="I10" s="14">
        <f>SUM(I5:I9)</f>
        <v>1718</v>
      </c>
      <c r="J10" s="8">
        <f>SUM(J5:J9)</f>
        <v>10832</v>
      </c>
    </row>
    <row r="12" spans="1:11" ht="30" customHeight="1" x14ac:dyDescent="0.3">
      <c r="A12" s="31" t="s">
        <v>15</v>
      </c>
      <c r="B12" s="31"/>
      <c r="C12" s="31"/>
      <c r="D12" s="31"/>
      <c r="E12" s="31"/>
      <c r="F12" s="31"/>
      <c r="G12" s="31"/>
      <c r="H12" s="31"/>
      <c r="I12" s="31"/>
      <c r="J12" s="31"/>
    </row>
    <row r="13" spans="1:11" ht="30" customHeight="1" x14ac:dyDescent="0.3">
      <c r="A13" s="4" t="s">
        <v>2</v>
      </c>
      <c r="B13" s="4" t="s">
        <v>3</v>
      </c>
      <c r="C13" s="5" t="s">
        <v>4</v>
      </c>
      <c r="D13" s="5" t="s">
        <v>5</v>
      </c>
      <c r="E13" s="4" t="s">
        <v>6</v>
      </c>
      <c r="F13" s="5" t="s">
        <v>17</v>
      </c>
      <c r="G13" s="5" t="s">
        <v>7</v>
      </c>
      <c r="H13" s="4" t="s">
        <v>8</v>
      </c>
      <c r="I13" s="4" t="s">
        <v>9</v>
      </c>
      <c r="J13" s="4" t="s">
        <v>10</v>
      </c>
    </row>
    <row r="14" spans="1:11" ht="19.95" customHeight="1" x14ac:dyDescent="0.3">
      <c r="A14" s="4">
        <v>290925</v>
      </c>
      <c r="B14" s="4">
        <v>304</v>
      </c>
      <c r="C14" s="6">
        <v>0.9</v>
      </c>
      <c r="D14" s="6" t="s">
        <v>26</v>
      </c>
      <c r="E14" s="7" t="s">
        <v>64</v>
      </c>
      <c r="F14" s="4"/>
      <c r="G14" s="4">
        <v>430</v>
      </c>
      <c r="H14" s="8">
        <v>4000</v>
      </c>
      <c r="I14" s="9">
        <f>10+1860+1750</f>
        <v>3620</v>
      </c>
      <c r="J14" s="8">
        <f t="shared" ref="J14:J19" si="1">H14-I14</f>
        <v>380</v>
      </c>
    </row>
    <row r="15" spans="1:11" ht="19.95" customHeight="1" x14ac:dyDescent="0.3">
      <c r="A15" s="4">
        <v>290925</v>
      </c>
      <c r="B15" s="4">
        <v>304</v>
      </c>
      <c r="C15" s="6">
        <v>0.9</v>
      </c>
      <c r="D15" s="6" t="s">
        <v>22</v>
      </c>
      <c r="E15" s="7" t="s">
        <v>65</v>
      </c>
      <c r="F15" s="4"/>
      <c r="G15" s="4" t="s">
        <v>22</v>
      </c>
      <c r="H15" s="8">
        <v>4000</v>
      </c>
      <c r="I15" s="9"/>
      <c r="J15" s="8">
        <f t="shared" si="1"/>
        <v>4000</v>
      </c>
    </row>
    <row r="16" spans="1:11" ht="19.95" customHeight="1" x14ac:dyDescent="0.3">
      <c r="A16" s="4">
        <v>131025</v>
      </c>
      <c r="B16" s="4">
        <v>304</v>
      </c>
      <c r="C16" s="6">
        <v>0.9</v>
      </c>
      <c r="D16" s="6" t="s">
        <v>22</v>
      </c>
      <c r="E16" s="7" t="s">
        <v>68</v>
      </c>
      <c r="F16" s="4"/>
      <c r="G16" s="4" t="s">
        <v>22</v>
      </c>
      <c r="H16" s="8">
        <v>2550</v>
      </c>
      <c r="I16" s="9"/>
      <c r="J16" s="8">
        <f t="shared" si="1"/>
        <v>2550</v>
      </c>
    </row>
    <row r="17" spans="1:10" ht="19.95" customHeight="1" x14ac:dyDescent="0.3">
      <c r="A17" s="4">
        <v>290925</v>
      </c>
      <c r="B17" s="4">
        <v>304</v>
      </c>
      <c r="C17" s="6">
        <v>0.8</v>
      </c>
      <c r="D17" s="6" t="s">
        <v>26</v>
      </c>
      <c r="E17" s="7" t="s">
        <v>66</v>
      </c>
      <c r="F17" s="4"/>
      <c r="G17" s="4">
        <v>430</v>
      </c>
      <c r="H17" s="8">
        <v>3000</v>
      </c>
      <c r="I17" s="9"/>
      <c r="J17" s="8">
        <f t="shared" si="1"/>
        <v>3000</v>
      </c>
    </row>
    <row r="18" spans="1:10" ht="19.95" customHeight="1" x14ac:dyDescent="0.3">
      <c r="A18" s="4">
        <v>290925</v>
      </c>
      <c r="B18" s="4">
        <v>304</v>
      </c>
      <c r="C18" s="6">
        <v>0.8</v>
      </c>
      <c r="D18" s="6" t="s">
        <v>22</v>
      </c>
      <c r="E18" s="7" t="s">
        <v>67</v>
      </c>
      <c r="F18" s="4"/>
      <c r="G18" s="4" t="s">
        <v>22</v>
      </c>
      <c r="H18" s="8">
        <v>3000</v>
      </c>
      <c r="I18" s="9"/>
      <c r="J18" s="8">
        <f t="shared" si="1"/>
        <v>3000</v>
      </c>
    </row>
    <row r="19" spans="1:10" ht="19.95" customHeight="1" x14ac:dyDescent="0.3">
      <c r="A19" s="4"/>
      <c r="B19" s="4"/>
      <c r="C19" s="6"/>
      <c r="D19" s="6"/>
      <c r="E19" s="7"/>
      <c r="F19" s="4"/>
      <c r="G19" s="8"/>
      <c r="H19" s="8"/>
      <c r="I19" s="9"/>
      <c r="J19" s="8">
        <f t="shared" si="1"/>
        <v>0</v>
      </c>
    </row>
    <row r="20" spans="1:10" ht="19.95" customHeight="1" x14ac:dyDescent="0.3">
      <c r="A20" s="10"/>
      <c r="B20" s="10"/>
      <c r="C20" s="10"/>
      <c r="D20" s="10"/>
      <c r="E20" s="11"/>
      <c r="F20" s="10"/>
      <c r="G20" s="12"/>
      <c r="H20" s="8">
        <f>SUM(H14:H19)</f>
        <v>16550</v>
      </c>
      <c r="I20" s="9">
        <f>SUM(I14:I19)</f>
        <v>3620</v>
      </c>
      <c r="J20" s="8">
        <f>SUM(J14:J19)</f>
        <v>12930</v>
      </c>
    </row>
    <row r="21" spans="1:10" ht="19.95" customHeight="1" x14ac:dyDescent="0.3">
      <c r="A21" s="16"/>
      <c r="B21" s="16"/>
      <c r="C21" s="16"/>
      <c r="D21" s="16"/>
      <c r="E21" s="17"/>
      <c r="F21" s="16"/>
      <c r="G21" s="16"/>
      <c r="H21" s="18"/>
      <c r="I21" s="19"/>
      <c r="J21" s="18"/>
    </row>
    <row r="22" spans="1:10" ht="30" customHeight="1" x14ac:dyDescent="0.3">
      <c r="A22" s="31" t="s">
        <v>13</v>
      </c>
      <c r="B22" s="31"/>
      <c r="C22" s="31"/>
      <c r="D22" s="31"/>
      <c r="E22" s="31"/>
      <c r="F22" s="31"/>
      <c r="G22" s="31"/>
      <c r="H22" s="31"/>
      <c r="I22" s="31"/>
      <c r="J22" s="31"/>
    </row>
    <row r="23" spans="1:10" ht="30" customHeight="1" x14ac:dyDescent="0.3">
      <c r="A23" s="4" t="s">
        <v>2</v>
      </c>
      <c r="B23" s="4" t="s">
        <v>3</v>
      </c>
      <c r="C23" s="5" t="s">
        <v>4</v>
      </c>
      <c r="D23" s="5" t="s">
        <v>5</v>
      </c>
      <c r="E23" s="4" t="s">
        <v>6</v>
      </c>
      <c r="F23" s="5" t="s">
        <v>17</v>
      </c>
      <c r="G23" s="5" t="s">
        <v>7</v>
      </c>
      <c r="H23" s="4" t="s">
        <v>8</v>
      </c>
      <c r="I23" s="4" t="s">
        <v>9</v>
      </c>
      <c r="J23" s="4" t="s">
        <v>10</v>
      </c>
    </row>
    <row r="24" spans="1:10" ht="19.95" customHeight="1" x14ac:dyDescent="0.3">
      <c r="A24" s="4">
        <v>160925</v>
      </c>
      <c r="B24" s="4">
        <v>304</v>
      </c>
      <c r="C24" s="6">
        <v>0.9</v>
      </c>
      <c r="D24" s="6" t="s">
        <v>22</v>
      </c>
      <c r="E24" s="7" t="s">
        <v>63</v>
      </c>
      <c r="F24" s="4"/>
      <c r="G24" s="4" t="s">
        <v>22</v>
      </c>
      <c r="H24" s="8">
        <v>1100</v>
      </c>
      <c r="I24" s="9">
        <f>750+370</f>
        <v>1120</v>
      </c>
      <c r="J24" s="8">
        <f t="shared" ref="J24:J30" si="2">H24-I24</f>
        <v>-20</v>
      </c>
    </row>
    <row r="25" spans="1:10" ht="19.95" customHeight="1" x14ac:dyDescent="0.3">
      <c r="A25" s="4">
        <v>290925</v>
      </c>
      <c r="B25" s="4">
        <v>304</v>
      </c>
      <c r="C25" s="6">
        <v>0.9</v>
      </c>
      <c r="D25" s="6" t="s">
        <v>26</v>
      </c>
      <c r="E25" s="7" t="s">
        <v>64</v>
      </c>
      <c r="F25" s="4"/>
      <c r="G25" s="4">
        <v>430</v>
      </c>
      <c r="H25" s="8">
        <v>4000</v>
      </c>
      <c r="I25" s="9">
        <f>1750</f>
        <v>1750</v>
      </c>
      <c r="J25" s="8">
        <f t="shared" si="2"/>
        <v>2250</v>
      </c>
    </row>
    <row r="26" spans="1:10" ht="19.95" customHeight="1" x14ac:dyDescent="0.3">
      <c r="A26" s="4">
        <v>131025</v>
      </c>
      <c r="B26" s="4">
        <v>304</v>
      </c>
      <c r="C26" s="6">
        <v>0.9</v>
      </c>
      <c r="D26" s="6" t="s">
        <v>22</v>
      </c>
      <c r="E26" s="7" t="s">
        <v>68</v>
      </c>
      <c r="F26" s="4"/>
      <c r="G26" s="4" t="s">
        <v>22</v>
      </c>
      <c r="H26" s="8">
        <v>2550</v>
      </c>
      <c r="I26" s="9"/>
      <c r="J26" s="8">
        <f t="shared" si="2"/>
        <v>2550</v>
      </c>
    </row>
    <row r="27" spans="1:10" ht="19.95" customHeight="1" x14ac:dyDescent="0.3">
      <c r="A27" s="4">
        <v>290925</v>
      </c>
      <c r="B27" s="4">
        <v>304</v>
      </c>
      <c r="C27" s="6">
        <v>0.9</v>
      </c>
      <c r="D27" s="6" t="s">
        <v>22</v>
      </c>
      <c r="E27" s="7" t="s">
        <v>65</v>
      </c>
      <c r="F27" s="4"/>
      <c r="G27" s="4" t="s">
        <v>22</v>
      </c>
      <c r="H27" s="8">
        <v>4000</v>
      </c>
      <c r="I27" s="9"/>
      <c r="J27" s="8">
        <f t="shared" si="2"/>
        <v>4000</v>
      </c>
    </row>
    <row r="28" spans="1:10" ht="19.95" customHeight="1" x14ac:dyDescent="0.3">
      <c r="A28" s="4">
        <v>290925</v>
      </c>
      <c r="B28" s="4">
        <v>304</v>
      </c>
      <c r="C28" s="6">
        <v>0.8</v>
      </c>
      <c r="D28" s="6" t="s">
        <v>26</v>
      </c>
      <c r="E28" s="7" t="s">
        <v>66</v>
      </c>
      <c r="F28" s="4"/>
      <c r="G28" s="4">
        <v>430</v>
      </c>
      <c r="H28" s="8">
        <v>3000</v>
      </c>
      <c r="I28" s="9"/>
      <c r="J28" s="8">
        <f t="shared" si="2"/>
        <v>3000</v>
      </c>
    </row>
    <row r="29" spans="1:10" ht="19.95" customHeight="1" x14ac:dyDescent="0.3">
      <c r="A29" s="4">
        <v>290925</v>
      </c>
      <c r="B29" s="4">
        <v>304</v>
      </c>
      <c r="C29" s="6">
        <v>0.8</v>
      </c>
      <c r="D29" s="6" t="s">
        <v>22</v>
      </c>
      <c r="E29" s="7" t="s">
        <v>67</v>
      </c>
      <c r="F29" s="4"/>
      <c r="G29" s="4" t="s">
        <v>22</v>
      </c>
      <c r="H29" s="8">
        <v>3000</v>
      </c>
      <c r="I29" s="9"/>
      <c r="J29" s="8">
        <f t="shared" si="2"/>
        <v>3000</v>
      </c>
    </row>
    <row r="30" spans="1:10" ht="19.95" customHeight="1" x14ac:dyDescent="0.3">
      <c r="A30" s="4"/>
      <c r="B30" s="4"/>
      <c r="C30" s="6"/>
      <c r="D30" s="6"/>
      <c r="E30" s="7"/>
      <c r="F30" s="4"/>
      <c r="G30" s="8"/>
      <c r="H30" s="8"/>
      <c r="I30" s="9"/>
      <c r="J30" s="8">
        <f t="shared" si="2"/>
        <v>0</v>
      </c>
    </row>
    <row r="31" spans="1:10" ht="19.95" customHeight="1" x14ac:dyDescent="0.3">
      <c r="A31" s="10"/>
      <c r="B31" s="10"/>
      <c r="C31" s="10"/>
      <c r="D31" s="10"/>
      <c r="E31" s="11"/>
      <c r="F31" s="10"/>
      <c r="G31" s="12"/>
      <c r="H31" s="8">
        <f>SUM(H24:H30)</f>
        <v>17650</v>
      </c>
      <c r="I31" s="9">
        <f>SUM(I24:I30)</f>
        <v>2870</v>
      </c>
      <c r="J31" s="8">
        <f>SUM(J24:J30)</f>
        <v>14780</v>
      </c>
    </row>
    <row r="32" spans="1:10" ht="19.95" customHeight="1" x14ac:dyDescent="0.3">
      <c r="A32" s="16"/>
      <c r="B32" s="16"/>
      <c r="C32" s="16"/>
      <c r="D32" s="16"/>
      <c r="E32" s="17"/>
      <c r="F32" s="16"/>
      <c r="G32" s="16"/>
      <c r="H32" s="18"/>
      <c r="I32" s="19"/>
      <c r="J32" s="18"/>
    </row>
    <row r="33" spans="1:10" ht="30" customHeight="1" x14ac:dyDescent="0.3">
      <c r="A33" s="31" t="s">
        <v>14</v>
      </c>
      <c r="B33" s="31"/>
      <c r="C33" s="31"/>
      <c r="D33" s="31"/>
      <c r="E33" s="31"/>
      <c r="F33" s="31"/>
      <c r="G33" s="31"/>
      <c r="H33" s="31"/>
      <c r="I33" s="31"/>
      <c r="J33" s="31"/>
    </row>
    <row r="34" spans="1:10" ht="30" customHeight="1" x14ac:dyDescent="0.3">
      <c r="A34" s="4" t="s">
        <v>2</v>
      </c>
      <c r="B34" s="4" t="s">
        <v>3</v>
      </c>
      <c r="C34" s="5" t="s">
        <v>4</v>
      </c>
      <c r="D34" s="5" t="s">
        <v>5</v>
      </c>
      <c r="E34" s="4" t="s">
        <v>6</v>
      </c>
      <c r="F34" s="5" t="s">
        <v>17</v>
      </c>
      <c r="G34" s="5" t="s">
        <v>7</v>
      </c>
      <c r="H34" s="4" t="s">
        <v>8</v>
      </c>
      <c r="I34" s="4" t="s">
        <v>9</v>
      </c>
      <c r="J34" s="4" t="s">
        <v>10</v>
      </c>
    </row>
    <row r="35" spans="1:10" ht="19.95" customHeight="1" x14ac:dyDescent="0.3">
      <c r="A35" s="4">
        <v>100925</v>
      </c>
      <c r="B35" s="4">
        <v>304</v>
      </c>
      <c r="C35" s="6">
        <v>0.9</v>
      </c>
      <c r="D35" s="6" t="s">
        <v>22</v>
      </c>
      <c r="E35" s="7" t="s">
        <v>54</v>
      </c>
      <c r="F35" s="4"/>
      <c r="G35" s="4" t="s">
        <v>22</v>
      </c>
      <c r="H35" s="8">
        <v>600</v>
      </c>
      <c r="I35" s="9">
        <v>355</v>
      </c>
      <c r="J35" s="23">
        <f t="shared" ref="J35:J45" si="3">H35-I35</f>
        <v>245</v>
      </c>
    </row>
    <row r="36" spans="1:10" ht="19.95" customHeight="1" x14ac:dyDescent="0.3">
      <c r="A36" s="4" t="s">
        <v>55</v>
      </c>
      <c r="B36" s="4">
        <v>304</v>
      </c>
      <c r="C36" s="6">
        <v>0.9</v>
      </c>
      <c r="D36" s="6" t="s">
        <v>26</v>
      </c>
      <c r="E36" s="7" t="s">
        <v>57</v>
      </c>
      <c r="F36" s="4"/>
      <c r="G36" s="4" t="s">
        <v>22</v>
      </c>
      <c r="H36" s="8">
        <v>1200</v>
      </c>
      <c r="I36" s="9">
        <v>955</v>
      </c>
      <c r="J36" s="23">
        <f t="shared" si="3"/>
        <v>245</v>
      </c>
    </row>
    <row r="37" spans="1:10" ht="19.95" customHeight="1" x14ac:dyDescent="0.3">
      <c r="A37" s="4" t="s">
        <v>55</v>
      </c>
      <c r="B37" s="4">
        <v>304</v>
      </c>
      <c r="C37" s="6">
        <v>0.9</v>
      </c>
      <c r="D37" s="6" t="s">
        <v>22</v>
      </c>
      <c r="E37" s="7" t="s">
        <v>59</v>
      </c>
      <c r="F37" s="4"/>
      <c r="G37" s="4" t="s">
        <v>22</v>
      </c>
      <c r="H37" s="8">
        <v>1500</v>
      </c>
      <c r="I37" s="9">
        <f>900+1310</f>
        <v>2210</v>
      </c>
      <c r="J37" s="23">
        <f t="shared" si="3"/>
        <v>-710</v>
      </c>
    </row>
    <row r="38" spans="1:10" ht="19.95" customHeight="1" x14ac:dyDescent="0.3">
      <c r="A38" s="4" t="s">
        <v>55</v>
      </c>
      <c r="B38" s="4">
        <v>304</v>
      </c>
      <c r="C38" s="6">
        <v>0.9</v>
      </c>
      <c r="D38" s="6" t="s">
        <v>22</v>
      </c>
      <c r="E38" s="7" t="s">
        <v>61</v>
      </c>
      <c r="F38" s="4"/>
      <c r="G38" s="4" t="s">
        <v>22</v>
      </c>
      <c r="H38" s="8">
        <v>1500</v>
      </c>
      <c r="I38" s="9">
        <f>1040+340</f>
        <v>1380</v>
      </c>
      <c r="J38" s="8">
        <f t="shared" si="3"/>
        <v>120</v>
      </c>
    </row>
    <row r="39" spans="1:10" ht="19.95" customHeight="1" x14ac:dyDescent="0.3">
      <c r="A39" s="4">
        <v>160925</v>
      </c>
      <c r="B39" s="4">
        <v>304</v>
      </c>
      <c r="C39" s="6">
        <v>0.9</v>
      </c>
      <c r="D39" s="6" t="s">
        <v>22</v>
      </c>
      <c r="E39" s="7" t="s">
        <v>63</v>
      </c>
      <c r="F39" s="4"/>
      <c r="G39" s="4" t="s">
        <v>22</v>
      </c>
      <c r="H39" s="8">
        <v>1100</v>
      </c>
      <c r="I39" s="9">
        <v>1140</v>
      </c>
      <c r="J39" s="8">
        <f t="shared" si="3"/>
        <v>-40</v>
      </c>
    </row>
    <row r="40" spans="1:10" ht="19.95" customHeight="1" x14ac:dyDescent="0.3">
      <c r="A40" s="4">
        <v>290925</v>
      </c>
      <c r="B40" s="4">
        <v>304</v>
      </c>
      <c r="C40" s="6">
        <v>0.9</v>
      </c>
      <c r="D40" s="6" t="s">
        <v>26</v>
      </c>
      <c r="E40" s="7" t="s">
        <v>64</v>
      </c>
      <c r="F40" s="4"/>
      <c r="G40" s="4">
        <v>430</v>
      </c>
      <c r="H40" s="8">
        <v>4000</v>
      </c>
      <c r="I40" s="9">
        <f>940</f>
        <v>940</v>
      </c>
      <c r="J40" s="8">
        <f t="shared" si="3"/>
        <v>3060</v>
      </c>
    </row>
    <row r="41" spans="1:10" ht="19.95" customHeight="1" x14ac:dyDescent="0.3">
      <c r="A41" s="4">
        <v>290925</v>
      </c>
      <c r="B41" s="4">
        <v>304</v>
      </c>
      <c r="C41" s="6">
        <v>0.9</v>
      </c>
      <c r="D41" s="6" t="s">
        <v>22</v>
      </c>
      <c r="E41" s="7" t="s">
        <v>65</v>
      </c>
      <c r="F41" s="4"/>
      <c r="G41" s="4" t="s">
        <v>22</v>
      </c>
      <c r="H41" s="8">
        <v>4000</v>
      </c>
      <c r="I41" s="9"/>
      <c r="J41" s="8">
        <f>H41-I41</f>
        <v>4000</v>
      </c>
    </row>
    <row r="42" spans="1:10" ht="19.95" customHeight="1" x14ac:dyDescent="0.3">
      <c r="A42" s="4">
        <v>131025</v>
      </c>
      <c r="B42" s="4">
        <v>304</v>
      </c>
      <c r="C42" s="6">
        <v>0.9</v>
      </c>
      <c r="D42" s="6" t="s">
        <v>22</v>
      </c>
      <c r="E42" s="7" t="s">
        <v>68</v>
      </c>
      <c r="F42" s="4"/>
      <c r="G42" s="4" t="s">
        <v>22</v>
      </c>
      <c r="H42" s="8">
        <v>2550</v>
      </c>
      <c r="I42" s="9"/>
      <c r="J42" s="8">
        <f>H42-I42</f>
        <v>2550</v>
      </c>
    </row>
    <row r="43" spans="1:10" ht="19.95" customHeight="1" x14ac:dyDescent="0.3">
      <c r="A43" s="4">
        <v>290925</v>
      </c>
      <c r="B43" s="4">
        <v>304</v>
      </c>
      <c r="C43" s="6">
        <v>0.8</v>
      </c>
      <c r="D43" s="6" t="s">
        <v>26</v>
      </c>
      <c r="E43" s="7" t="s">
        <v>66</v>
      </c>
      <c r="F43" s="4"/>
      <c r="G43" s="4">
        <v>430</v>
      </c>
      <c r="H43" s="8">
        <v>3000</v>
      </c>
      <c r="I43" s="9"/>
      <c r="J43" s="8">
        <f>H43-I43</f>
        <v>3000</v>
      </c>
    </row>
    <row r="44" spans="1:10" ht="19.95" customHeight="1" x14ac:dyDescent="0.3">
      <c r="A44" s="4">
        <v>290925</v>
      </c>
      <c r="B44" s="4">
        <v>304</v>
      </c>
      <c r="C44" s="6">
        <v>0.8</v>
      </c>
      <c r="D44" s="6" t="s">
        <v>22</v>
      </c>
      <c r="E44" s="7" t="s">
        <v>67</v>
      </c>
      <c r="F44" s="4"/>
      <c r="G44" s="4" t="s">
        <v>22</v>
      </c>
      <c r="H44" s="8">
        <v>3000</v>
      </c>
      <c r="I44" s="9"/>
      <c r="J44" s="8">
        <f>H44-I44</f>
        <v>3000</v>
      </c>
    </row>
    <row r="45" spans="1:10" ht="19.95" customHeight="1" x14ac:dyDescent="0.3">
      <c r="A45" s="4"/>
      <c r="B45" s="4"/>
      <c r="C45" s="6"/>
      <c r="D45" s="6"/>
      <c r="E45" s="7"/>
      <c r="F45" s="4"/>
      <c r="G45" s="8"/>
      <c r="H45" s="8"/>
      <c r="I45" s="9"/>
      <c r="J45" s="8">
        <f t="shared" si="3"/>
        <v>0</v>
      </c>
    </row>
    <row r="46" spans="1:10" ht="19.95" customHeight="1" x14ac:dyDescent="0.3">
      <c r="A46" s="10"/>
      <c r="B46" s="10"/>
      <c r="C46" s="10"/>
      <c r="D46" s="10"/>
      <c r="E46" s="11"/>
      <c r="F46" s="10"/>
      <c r="G46" s="12"/>
      <c r="H46" s="8">
        <f>SUM(H35:H45)</f>
        <v>22450</v>
      </c>
      <c r="I46" s="9">
        <f>SUM(I35:I45)</f>
        <v>6980</v>
      </c>
      <c r="J46" s="8">
        <f>SUM(J35:J45)</f>
        <v>15470</v>
      </c>
    </row>
    <row r="47" spans="1:10" ht="19.95" customHeight="1" x14ac:dyDescent="0.3">
      <c r="A47" s="16"/>
      <c r="B47" s="16"/>
      <c r="C47" s="16"/>
      <c r="D47" s="16"/>
      <c r="E47" s="17"/>
      <c r="F47" s="16"/>
      <c r="G47" s="16"/>
      <c r="H47" s="18"/>
      <c r="I47" s="19"/>
      <c r="J47" s="18"/>
    </row>
    <row r="48" spans="1:10" ht="30" customHeight="1" x14ac:dyDescent="0.3">
      <c r="A48" s="31" t="s">
        <v>16</v>
      </c>
      <c r="B48" s="31"/>
      <c r="C48" s="31"/>
      <c r="D48" s="31"/>
      <c r="E48" s="31"/>
      <c r="F48" s="31"/>
      <c r="G48" s="31"/>
      <c r="H48" s="31"/>
      <c r="I48" s="31"/>
      <c r="J48" s="31"/>
    </row>
    <row r="49" spans="1:10" ht="30" customHeight="1" x14ac:dyDescent="0.3">
      <c r="A49" s="4" t="s">
        <v>2</v>
      </c>
      <c r="B49" s="4" t="s">
        <v>3</v>
      </c>
      <c r="C49" s="5" t="s">
        <v>4</v>
      </c>
      <c r="D49" s="5" t="s">
        <v>5</v>
      </c>
      <c r="E49" s="4" t="s">
        <v>6</v>
      </c>
      <c r="F49" s="5" t="s">
        <v>18</v>
      </c>
      <c r="G49" s="5" t="s">
        <v>7</v>
      </c>
      <c r="H49" s="4" t="s">
        <v>8</v>
      </c>
      <c r="I49" s="4" t="s">
        <v>9</v>
      </c>
      <c r="J49" s="4" t="s">
        <v>10</v>
      </c>
    </row>
    <row r="50" spans="1:10" ht="19.95" customHeight="1" x14ac:dyDescent="0.3">
      <c r="A50" s="4"/>
      <c r="B50" s="4"/>
      <c r="C50" s="6"/>
      <c r="D50" s="6"/>
      <c r="E50" s="7"/>
      <c r="F50" s="4"/>
      <c r="G50" s="4"/>
      <c r="H50" s="8"/>
      <c r="I50" s="9"/>
      <c r="J50" s="8">
        <f t="shared" ref="J50:J55" si="4">H50-I50</f>
        <v>0</v>
      </c>
    </row>
    <row r="51" spans="1:10" ht="19.95" customHeight="1" x14ac:dyDescent="0.3">
      <c r="A51" s="4"/>
      <c r="B51" s="4"/>
      <c r="C51" s="6"/>
      <c r="D51" s="6"/>
      <c r="E51" s="7"/>
      <c r="F51" s="4"/>
      <c r="G51" s="4"/>
      <c r="H51" s="8"/>
      <c r="I51" s="9"/>
      <c r="J51" s="8">
        <f t="shared" si="4"/>
        <v>0</v>
      </c>
    </row>
    <row r="52" spans="1:10" ht="19.95" customHeight="1" x14ac:dyDescent="0.3">
      <c r="A52" s="4"/>
      <c r="B52" s="4"/>
      <c r="C52" s="6"/>
      <c r="D52" s="6"/>
      <c r="E52" s="7"/>
      <c r="F52" s="4"/>
      <c r="G52" s="4"/>
      <c r="H52" s="8"/>
      <c r="I52" s="9"/>
      <c r="J52" s="8">
        <f t="shared" si="4"/>
        <v>0</v>
      </c>
    </row>
    <row r="53" spans="1:10" ht="19.95" customHeight="1" x14ac:dyDescent="0.3">
      <c r="A53" s="4"/>
      <c r="B53" s="4"/>
      <c r="C53" s="6"/>
      <c r="D53" s="6"/>
      <c r="E53" s="7"/>
      <c r="F53" s="4"/>
      <c r="G53" s="8"/>
      <c r="H53" s="8"/>
      <c r="I53" s="9"/>
      <c r="J53" s="8">
        <f t="shared" si="4"/>
        <v>0</v>
      </c>
    </row>
    <row r="54" spans="1:10" ht="19.95" customHeight="1" x14ac:dyDescent="0.3">
      <c r="A54" s="4"/>
      <c r="B54" s="4"/>
      <c r="C54" s="6"/>
      <c r="D54" s="6"/>
      <c r="E54" s="7"/>
      <c r="F54" s="4"/>
      <c r="G54" s="4"/>
      <c r="H54" s="8"/>
      <c r="I54" s="9"/>
      <c r="J54" s="8">
        <f t="shared" si="4"/>
        <v>0</v>
      </c>
    </row>
    <row r="55" spans="1:10" ht="19.95" customHeight="1" x14ac:dyDescent="0.3">
      <c r="A55" s="4"/>
      <c r="B55" s="4"/>
      <c r="C55" s="6"/>
      <c r="D55" s="6"/>
      <c r="E55" s="7"/>
      <c r="F55" s="4"/>
      <c r="G55" s="4"/>
      <c r="H55" s="8"/>
      <c r="I55" s="9"/>
      <c r="J55" s="8">
        <f t="shared" si="4"/>
        <v>0</v>
      </c>
    </row>
    <row r="56" spans="1:10" ht="19.95" customHeight="1" x14ac:dyDescent="0.3">
      <c r="A56" s="10"/>
      <c r="B56" s="10"/>
      <c r="C56" s="10"/>
      <c r="D56" s="10"/>
      <c r="E56" s="11"/>
      <c r="F56" s="10"/>
      <c r="G56" s="12"/>
      <c r="H56" s="8">
        <f>SUM(H50:H55)</f>
        <v>0</v>
      </c>
      <c r="I56" s="9">
        <f>SUM(I50:I55)</f>
        <v>0</v>
      </c>
      <c r="J56" s="8">
        <f>SUM(J50:J55)</f>
        <v>0</v>
      </c>
    </row>
    <row r="57" spans="1:10" ht="19.95" customHeight="1" x14ac:dyDescent="0.3">
      <c r="A57" s="16"/>
      <c r="B57" s="16"/>
      <c r="C57" s="16"/>
      <c r="D57" s="16"/>
      <c r="E57" s="17"/>
      <c r="F57" s="16"/>
      <c r="G57" s="16"/>
      <c r="H57" s="18"/>
      <c r="I57" s="19"/>
      <c r="J57" s="18"/>
    </row>
    <row r="59" spans="1:10" ht="23.4" x14ac:dyDescent="0.3">
      <c r="A59" s="31" t="s">
        <v>11</v>
      </c>
      <c r="B59" s="31"/>
      <c r="C59" s="31"/>
      <c r="D59" s="31"/>
      <c r="E59" s="31"/>
      <c r="F59" s="31"/>
      <c r="G59" s="31"/>
      <c r="H59" s="31"/>
      <c r="I59" s="31"/>
      <c r="J59" s="31"/>
    </row>
  </sheetData>
  <mergeCells count="8">
    <mergeCell ref="A48:J48"/>
    <mergeCell ref="A59:J59"/>
    <mergeCell ref="I1:J1"/>
    <mergeCell ref="A2:J2"/>
    <mergeCell ref="A3:J3"/>
    <mergeCell ref="A12:J12"/>
    <mergeCell ref="A22:J22"/>
    <mergeCell ref="A33:J33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45" orientation="portrait" horizontalDpi="1200" verticalDpi="12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topLeftCell="A4" zoomScale="75" zoomScaleNormal="75" workbookViewId="0">
      <selection activeCell="L9" sqref="L9"/>
    </sheetView>
  </sheetViews>
  <sheetFormatPr defaultRowHeight="14.4" x14ac:dyDescent="0.3"/>
  <cols>
    <col min="1" max="1" width="15.6640625" style="24" customWidth="1"/>
    <col min="2" max="3" width="12.6640625" style="24" customWidth="1"/>
    <col min="4" max="4" width="15.6640625" style="24" customWidth="1"/>
    <col min="5" max="5" width="80.6640625" style="24" customWidth="1"/>
    <col min="6" max="6" width="22.77734375" style="15" bestFit="1" customWidth="1"/>
    <col min="7" max="7" width="12.33203125" style="24" customWidth="1"/>
    <col min="8" max="10" width="15.6640625" style="24" customWidth="1"/>
    <col min="11" max="16384" width="8.88671875" style="24"/>
  </cols>
  <sheetData>
    <row r="1" spans="1:11" s="1" customFormat="1" ht="30" customHeight="1" x14ac:dyDescent="0.3">
      <c r="F1" s="2"/>
      <c r="G1" s="2"/>
      <c r="H1" s="3" t="s">
        <v>0</v>
      </c>
      <c r="I1" s="27">
        <v>45948</v>
      </c>
      <c r="J1" s="27"/>
    </row>
    <row r="2" spans="1:11" ht="40.049999999999997" customHeight="1" x14ac:dyDescent="0.3">
      <c r="A2" s="28" t="s">
        <v>1</v>
      </c>
      <c r="B2" s="29"/>
      <c r="C2" s="29"/>
      <c r="D2" s="29"/>
      <c r="E2" s="29"/>
      <c r="F2" s="29"/>
      <c r="G2" s="29"/>
      <c r="H2" s="29"/>
      <c r="I2" s="29"/>
      <c r="J2" s="30"/>
    </row>
    <row r="3" spans="1:11" ht="30" customHeight="1" x14ac:dyDescent="0.3">
      <c r="A3" s="31" t="s">
        <v>12</v>
      </c>
      <c r="B3" s="31"/>
      <c r="C3" s="31"/>
      <c r="D3" s="31"/>
      <c r="E3" s="31"/>
      <c r="F3" s="31"/>
      <c r="G3" s="31"/>
      <c r="H3" s="31"/>
      <c r="I3" s="31"/>
      <c r="J3" s="31"/>
    </row>
    <row r="4" spans="1:11" ht="30" customHeight="1" x14ac:dyDescent="0.3">
      <c r="A4" s="4" t="s">
        <v>2</v>
      </c>
      <c r="B4" s="4" t="s">
        <v>3</v>
      </c>
      <c r="C4" s="5" t="s">
        <v>4</v>
      </c>
      <c r="D4" s="5" t="s">
        <v>5</v>
      </c>
      <c r="E4" s="4" t="s">
        <v>6</v>
      </c>
      <c r="F4" s="5" t="s">
        <v>17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1" ht="19.95" customHeight="1" x14ac:dyDescent="0.3">
      <c r="A5" s="4">
        <v>290925</v>
      </c>
      <c r="B5" s="4">
        <v>304</v>
      </c>
      <c r="C5" s="6">
        <v>0.9</v>
      </c>
      <c r="D5" s="6" t="s">
        <v>22</v>
      </c>
      <c r="E5" s="7" t="s">
        <v>65</v>
      </c>
      <c r="F5" s="4"/>
      <c r="G5" s="4" t="s">
        <v>22</v>
      </c>
      <c r="H5" s="8">
        <v>4000</v>
      </c>
      <c r="I5" s="9">
        <f>1718</f>
        <v>1718</v>
      </c>
      <c r="J5" s="22">
        <f t="shared" ref="J5:J9" si="0">H5-I5</f>
        <v>2282</v>
      </c>
      <c r="K5" s="20"/>
    </row>
    <row r="6" spans="1:11" ht="19.95" customHeight="1" x14ac:dyDescent="0.3">
      <c r="A6" s="4">
        <v>131025</v>
      </c>
      <c r="B6" s="4">
        <v>304</v>
      </c>
      <c r="C6" s="6">
        <v>0.9</v>
      </c>
      <c r="D6" s="6" t="s">
        <v>22</v>
      </c>
      <c r="E6" s="7" t="s">
        <v>68</v>
      </c>
      <c r="F6" s="4"/>
      <c r="G6" s="4" t="s">
        <v>22</v>
      </c>
      <c r="H6" s="8">
        <v>2550</v>
      </c>
      <c r="I6" s="9"/>
      <c r="J6" s="22">
        <f t="shared" si="0"/>
        <v>2550</v>
      </c>
      <c r="K6" s="20"/>
    </row>
    <row r="7" spans="1:11" ht="19.95" customHeight="1" x14ac:dyDescent="0.3">
      <c r="A7" s="4">
        <v>290925</v>
      </c>
      <c r="B7" s="4">
        <v>304</v>
      </c>
      <c r="C7" s="6">
        <v>0.8</v>
      </c>
      <c r="D7" s="6" t="s">
        <v>26</v>
      </c>
      <c r="E7" s="7" t="s">
        <v>66</v>
      </c>
      <c r="F7" s="4"/>
      <c r="G7" s="4">
        <v>430</v>
      </c>
      <c r="H7" s="8">
        <v>3000</v>
      </c>
      <c r="I7" s="9"/>
      <c r="J7" s="8">
        <f t="shared" si="0"/>
        <v>3000</v>
      </c>
    </row>
    <row r="8" spans="1:11" ht="19.95" customHeight="1" x14ac:dyDescent="0.3">
      <c r="A8" s="4">
        <v>290925</v>
      </c>
      <c r="B8" s="4">
        <v>304</v>
      </c>
      <c r="C8" s="6">
        <v>0.8</v>
      </c>
      <c r="D8" s="6" t="s">
        <v>22</v>
      </c>
      <c r="E8" s="7" t="s">
        <v>67</v>
      </c>
      <c r="F8" s="4"/>
      <c r="G8" s="4" t="s">
        <v>22</v>
      </c>
      <c r="H8" s="8">
        <v>3000</v>
      </c>
      <c r="I8" s="9"/>
      <c r="J8" s="8">
        <f t="shared" si="0"/>
        <v>3000</v>
      </c>
    </row>
    <row r="9" spans="1:11" ht="19.95" customHeight="1" x14ac:dyDescent="0.3">
      <c r="A9" s="4"/>
      <c r="B9" s="4"/>
      <c r="C9" s="6"/>
      <c r="D9" s="6"/>
      <c r="E9" s="7"/>
      <c r="F9" s="4"/>
      <c r="G9" s="4"/>
      <c r="H9" s="8"/>
      <c r="I9" s="9"/>
      <c r="J9" s="8">
        <f t="shared" si="0"/>
        <v>0</v>
      </c>
    </row>
    <row r="10" spans="1:11" ht="19.95" customHeight="1" x14ac:dyDescent="0.3">
      <c r="A10" s="10"/>
      <c r="B10" s="10"/>
      <c r="C10" s="10"/>
      <c r="D10" s="10"/>
      <c r="E10" s="11"/>
      <c r="F10" s="10"/>
      <c r="G10" s="12"/>
      <c r="H10" s="13">
        <f>SUM(H5:H9)</f>
        <v>12550</v>
      </c>
      <c r="I10" s="14">
        <f>SUM(I5:I9)</f>
        <v>1718</v>
      </c>
      <c r="J10" s="8">
        <f>SUM(J5:J9)</f>
        <v>10832</v>
      </c>
    </row>
    <row r="12" spans="1:11" ht="30" customHeight="1" x14ac:dyDescent="0.3">
      <c r="A12" s="31" t="s">
        <v>15</v>
      </c>
      <c r="B12" s="31"/>
      <c r="C12" s="31"/>
      <c r="D12" s="31"/>
      <c r="E12" s="31"/>
      <c r="F12" s="31"/>
      <c r="G12" s="31"/>
      <c r="H12" s="31"/>
      <c r="I12" s="31"/>
      <c r="J12" s="31"/>
    </row>
    <row r="13" spans="1:11" ht="30" customHeight="1" x14ac:dyDescent="0.3">
      <c r="A13" s="4" t="s">
        <v>2</v>
      </c>
      <c r="B13" s="4" t="s">
        <v>3</v>
      </c>
      <c r="C13" s="5" t="s">
        <v>4</v>
      </c>
      <c r="D13" s="5" t="s">
        <v>5</v>
      </c>
      <c r="E13" s="4" t="s">
        <v>6</v>
      </c>
      <c r="F13" s="5" t="s">
        <v>17</v>
      </c>
      <c r="G13" s="5" t="s">
        <v>7</v>
      </c>
      <c r="H13" s="4" t="s">
        <v>8</v>
      </c>
      <c r="I13" s="4" t="s">
        <v>9</v>
      </c>
      <c r="J13" s="4" t="s">
        <v>10</v>
      </c>
    </row>
    <row r="14" spans="1:11" ht="19.95" customHeight="1" x14ac:dyDescent="0.3">
      <c r="A14" s="4">
        <v>290925</v>
      </c>
      <c r="B14" s="4">
        <v>304</v>
      </c>
      <c r="C14" s="6">
        <v>0.9</v>
      </c>
      <c r="D14" s="6" t="s">
        <v>26</v>
      </c>
      <c r="E14" s="7" t="s">
        <v>64</v>
      </c>
      <c r="F14" s="4"/>
      <c r="G14" s="4">
        <v>430</v>
      </c>
      <c r="H14" s="8">
        <v>4000</v>
      </c>
      <c r="I14" s="9">
        <f>10+1860+1750+540</f>
        <v>4160</v>
      </c>
      <c r="J14" s="8">
        <f t="shared" ref="J14:J19" si="1">H14-I14</f>
        <v>-160</v>
      </c>
    </row>
    <row r="15" spans="1:11" ht="19.95" customHeight="1" x14ac:dyDescent="0.3">
      <c r="A15" s="4">
        <v>290925</v>
      </c>
      <c r="B15" s="4">
        <v>304</v>
      </c>
      <c r="C15" s="6">
        <v>0.9</v>
      </c>
      <c r="D15" s="6" t="s">
        <v>22</v>
      </c>
      <c r="E15" s="7" t="s">
        <v>65</v>
      </c>
      <c r="F15" s="4"/>
      <c r="G15" s="4" t="s">
        <v>22</v>
      </c>
      <c r="H15" s="8">
        <v>4000</v>
      </c>
      <c r="I15" s="9">
        <f>820</f>
        <v>820</v>
      </c>
      <c r="J15" s="8">
        <f t="shared" si="1"/>
        <v>3180</v>
      </c>
    </row>
    <row r="16" spans="1:11" ht="19.95" customHeight="1" x14ac:dyDescent="0.3">
      <c r="A16" s="4">
        <v>131025</v>
      </c>
      <c r="B16" s="4">
        <v>304</v>
      </c>
      <c r="C16" s="6">
        <v>0.9</v>
      </c>
      <c r="D16" s="6" t="s">
        <v>22</v>
      </c>
      <c r="E16" s="7" t="s">
        <v>68</v>
      </c>
      <c r="F16" s="4"/>
      <c r="G16" s="4" t="s">
        <v>22</v>
      </c>
      <c r="H16" s="8">
        <v>2550</v>
      </c>
      <c r="I16" s="9"/>
      <c r="J16" s="8">
        <f t="shared" si="1"/>
        <v>2550</v>
      </c>
    </row>
    <row r="17" spans="1:10" ht="19.95" customHeight="1" x14ac:dyDescent="0.3">
      <c r="A17" s="4">
        <v>290925</v>
      </c>
      <c r="B17" s="4">
        <v>304</v>
      </c>
      <c r="C17" s="6">
        <v>0.8</v>
      </c>
      <c r="D17" s="6" t="s">
        <v>26</v>
      </c>
      <c r="E17" s="7" t="s">
        <v>66</v>
      </c>
      <c r="F17" s="4"/>
      <c r="G17" s="4">
        <v>430</v>
      </c>
      <c r="H17" s="8">
        <v>3000</v>
      </c>
      <c r="I17" s="9"/>
      <c r="J17" s="8">
        <f t="shared" si="1"/>
        <v>3000</v>
      </c>
    </row>
    <row r="18" spans="1:10" ht="19.95" customHeight="1" x14ac:dyDescent="0.3">
      <c r="A18" s="4">
        <v>290925</v>
      </c>
      <c r="B18" s="4">
        <v>304</v>
      </c>
      <c r="C18" s="6">
        <v>0.8</v>
      </c>
      <c r="D18" s="6" t="s">
        <v>22</v>
      </c>
      <c r="E18" s="7" t="s">
        <v>67</v>
      </c>
      <c r="F18" s="4"/>
      <c r="G18" s="4" t="s">
        <v>22</v>
      </c>
      <c r="H18" s="8">
        <v>3000</v>
      </c>
      <c r="I18" s="9"/>
      <c r="J18" s="8">
        <f t="shared" si="1"/>
        <v>3000</v>
      </c>
    </row>
    <row r="19" spans="1:10" ht="19.95" customHeight="1" x14ac:dyDescent="0.3">
      <c r="A19" s="4"/>
      <c r="B19" s="4"/>
      <c r="C19" s="6"/>
      <c r="D19" s="6"/>
      <c r="E19" s="7"/>
      <c r="F19" s="4"/>
      <c r="G19" s="8"/>
      <c r="H19" s="8"/>
      <c r="I19" s="9"/>
      <c r="J19" s="8">
        <f t="shared" si="1"/>
        <v>0</v>
      </c>
    </row>
    <row r="20" spans="1:10" ht="19.95" customHeight="1" x14ac:dyDescent="0.3">
      <c r="A20" s="10"/>
      <c r="B20" s="10"/>
      <c r="C20" s="10"/>
      <c r="D20" s="10"/>
      <c r="E20" s="11"/>
      <c r="F20" s="10"/>
      <c r="G20" s="12"/>
      <c r="H20" s="8">
        <f>SUM(H14:H19)</f>
        <v>16550</v>
      </c>
      <c r="I20" s="9">
        <f>SUM(I14:I19)</f>
        <v>4980</v>
      </c>
      <c r="J20" s="8">
        <f>SUM(J14:J19)</f>
        <v>11570</v>
      </c>
    </row>
    <row r="21" spans="1:10" ht="19.95" customHeight="1" x14ac:dyDescent="0.3">
      <c r="A21" s="16"/>
      <c r="B21" s="16"/>
      <c r="C21" s="16"/>
      <c r="D21" s="16"/>
      <c r="E21" s="17"/>
      <c r="F21" s="16"/>
      <c r="G21" s="16"/>
      <c r="H21" s="18"/>
      <c r="I21" s="19"/>
      <c r="J21" s="18"/>
    </row>
    <row r="22" spans="1:10" ht="30" customHeight="1" x14ac:dyDescent="0.3">
      <c r="A22" s="31" t="s">
        <v>13</v>
      </c>
      <c r="B22" s="31"/>
      <c r="C22" s="31"/>
      <c r="D22" s="31"/>
      <c r="E22" s="31"/>
      <c r="F22" s="31"/>
      <c r="G22" s="31"/>
      <c r="H22" s="31"/>
      <c r="I22" s="31"/>
      <c r="J22" s="31"/>
    </row>
    <row r="23" spans="1:10" ht="30" customHeight="1" x14ac:dyDescent="0.3">
      <c r="A23" s="4" t="s">
        <v>2</v>
      </c>
      <c r="B23" s="4" t="s">
        <v>3</v>
      </c>
      <c r="C23" s="5" t="s">
        <v>4</v>
      </c>
      <c r="D23" s="5" t="s">
        <v>5</v>
      </c>
      <c r="E23" s="4" t="s">
        <v>6</v>
      </c>
      <c r="F23" s="5" t="s">
        <v>17</v>
      </c>
      <c r="G23" s="5" t="s">
        <v>7</v>
      </c>
      <c r="H23" s="4" t="s">
        <v>8</v>
      </c>
      <c r="I23" s="4" t="s">
        <v>9</v>
      </c>
      <c r="J23" s="4" t="s">
        <v>10</v>
      </c>
    </row>
    <row r="24" spans="1:10" ht="19.95" customHeight="1" x14ac:dyDescent="0.3">
      <c r="A24" s="4">
        <v>290925</v>
      </c>
      <c r="B24" s="4">
        <v>304</v>
      </c>
      <c r="C24" s="6">
        <v>0.9</v>
      </c>
      <c r="D24" s="6" t="s">
        <v>26</v>
      </c>
      <c r="E24" s="7" t="s">
        <v>64</v>
      </c>
      <c r="F24" s="4"/>
      <c r="G24" s="4">
        <v>430</v>
      </c>
      <c r="H24" s="8">
        <v>4000</v>
      </c>
      <c r="I24" s="9">
        <f>1750+700</f>
        <v>2450</v>
      </c>
      <c r="J24" s="8">
        <f t="shared" ref="J24:J30" si="2">H24-I24</f>
        <v>1550</v>
      </c>
    </row>
    <row r="25" spans="1:10" ht="19.95" customHeight="1" x14ac:dyDescent="0.3">
      <c r="A25" s="4">
        <v>131025</v>
      </c>
      <c r="B25" s="4">
        <v>304</v>
      </c>
      <c r="C25" s="6">
        <v>0.9</v>
      </c>
      <c r="D25" s="6" t="s">
        <v>22</v>
      </c>
      <c r="E25" s="7" t="s">
        <v>68</v>
      </c>
      <c r="F25" s="4"/>
      <c r="G25" s="4" t="s">
        <v>22</v>
      </c>
      <c r="H25" s="8">
        <v>2550</v>
      </c>
      <c r="I25" s="9"/>
      <c r="J25" s="8">
        <f t="shared" si="2"/>
        <v>2550</v>
      </c>
    </row>
    <row r="26" spans="1:10" ht="19.95" customHeight="1" x14ac:dyDescent="0.3">
      <c r="A26" s="4">
        <v>290925</v>
      </c>
      <c r="B26" s="4">
        <v>304</v>
      </c>
      <c r="C26" s="6">
        <v>0.9</v>
      </c>
      <c r="D26" s="6" t="s">
        <v>22</v>
      </c>
      <c r="E26" s="7" t="s">
        <v>65</v>
      </c>
      <c r="F26" s="4"/>
      <c r="G26" s="4" t="s">
        <v>22</v>
      </c>
      <c r="H26" s="8">
        <v>4000</v>
      </c>
      <c r="I26" s="9"/>
      <c r="J26" s="8">
        <f t="shared" si="2"/>
        <v>4000</v>
      </c>
    </row>
    <row r="27" spans="1:10" ht="19.95" customHeight="1" x14ac:dyDescent="0.3">
      <c r="A27" s="4">
        <v>290925</v>
      </c>
      <c r="B27" s="4">
        <v>304</v>
      </c>
      <c r="C27" s="6">
        <v>0.8</v>
      </c>
      <c r="D27" s="6" t="s">
        <v>26</v>
      </c>
      <c r="E27" s="7" t="s">
        <v>66</v>
      </c>
      <c r="F27" s="4"/>
      <c r="G27" s="4">
        <v>430</v>
      </c>
      <c r="H27" s="8">
        <v>3000</v>
      </c>
      <c r="I27" s="9"/>
      <c r="J27" s="8">
        <f t="shared" si="2"/>
        <v>3000</v>
      </c>
    </row>
    <row r="28" spans="1:10" ht="19.95" customHeight="1" x14ac:dyDescent="0.3">
      <c r="A28" s="4">
        <v>290925</v>
      </c>
      <c r="B28" s="4">
        <v>304</v>
      </c>
      <c r="C28" s="6">
        <v>0.8</v>
      </c>
      <c r="D28" s="6" t="s">
        <v>22</v>
      </c>
      <c r="E28" s="7" t="s">
        <v>67</v>
      </c>
      <c r="F28" s="4"/>
      <c r="G28" s="4" t="s">
        <v>22</v>
      </c>
      <c r="H28" s="8">
        <v>3000</v>
      </c>
      <c r="I28" s="9"/>
      <c r="J28" s="8">
        <f t="shared" si="2"/>
        <v>3000</v>
      </c>
    </row>
    <row r="29" spans="1:10" ht="19.95" customHeight="1" x14ac:dyDescent="0.3">
      <c r="A29" s="4"/>
      <c r="B29" s="4"/>
      <c r="C29" s="6"/>
      <c r="D29" s="6"/>
      <c r="E29" s="7"/>
      <c r="F29" s="4"/>
      <c r="G29" s="4"/>
      <c r="H29" s="8"/>
      <c r="I29" s="9"/>
      <c r="J29" s="8">
        <f t="shared" si="2"/>
        <v>0</v>
      </c>
    </row>
    <row r="30" spans="1:10" ht="19.95" customHeight="1" x14ac:dyDescent="0.3">
      <c r="A30" s="4"/>
      <c r="B30" s="4"/>
      <c r="C30" s="6"/>
      <c r="D30" s="6"/>
      <c r="E30" s="7"/>
      <c r="F30" s="4"/>
      <c r="G30" s="8"/>
      <c r="H30" s="8"/>
      <c r="I30" s="9"/>
      <c r="J30" s="8">
        <f t="shared" si="2"/>
        <v>0</v>
      </c>
    </row>
    <row r="31" spans="1:10" ht="19.95" customHeight="1" x14ac:dyDescent="0.3">
      <c r="A31" s="10"/>
      <c r="B31" s="10"/>
      <c r="C31" s="10"/>
      <c r="D31" s="10"/>
      <c r="E31" s="11"/>
      <c r="F31" s="10"/>
      <c r="G31" s="12"/>
      <c r="H31" s="8">
        <f>SUM(H24:H30)</f>
        <v>16550</v>
      </c>
      <c r="I31" s="9">
        <f>SUM(I24:I30)</f>
        <v>2450</v>
      </c>
      <c r="J31" s="8">
        <f>SUM(J24:J30)</f>
        <v>14100</v>
      </c>
    </row>
    <row r="32" spans="1:10" ht="19.95" customHeight="1" x14ac:dyDescent="0.3">
      <c r="A32" s="16"/>
      <c r="B32" s="16"/>
      <c r="C32" s="16"/>
      <c r="D32" s="16"/>
      <c r="E32" s="17"/>
      <c r="F32" s="16"/>
      <c r="G32" s="16"/>
      <c r="H32" s="18"/>
      <c r="I32" s="19"/>
      <c r="J32" s="18"/>
    </row>
    <row r="33" spans="1:10" ht="30" customHeight="1" x14ac:dyDescent="0.3">
      <c r="A33" s="31" t="s">
        <v>14</v>
      </c>
      <c r="B33" s="31"/>
      <c r="C33" s="31"/>
      <c r="D33" s="31"/>
      <c r="E33" s="31"/>
      <c r="F33" s="31"/>
      <c r="G33" s="31"/>
      <c r="H33" s="31"/>
      <c r="I33" s="31"/>
      <c r="J33" s="31"/>
    </row>
    <row r="34" spans="1:10" ht="30" customHeight="1" x14ac:dyDescent="0.3">
      <c r="A34" s="4" t="s">
        <v>2</v>
      </c>
      <c r="B34" s="4" t="s">
        <v>3</v>
      </c>
      <c r="C34" s="5" t="s">
        <v>4</v>
      </c>
      <c r="D34" s="5" t="s">
        <v>5</v>
      </c>
      <c r="E34" s="4" t="s">
        <v>6</v>
      </c>
      <c r="F34" s="5" t="s">
        <v>17</v>
      </c>
      <c r="G34" s="5" t="s">
        <v>7</v>
      </c>
      <c r="H34" s="4" t="s">
        <v>8</v>
      </c>
      <c r="I34" s="4" t="s">
        <v>9</v>
      </c>
      <c r="J34" s="4" t="s">
        <v>10</v>
      </c>
    </row>
    <row r="35" spans="1:10" ht="19.95" customHeight="1" x14ac:dyDescent="0.3">
      <c r="A35" s="4">
        <v>290925</v>
      </c>
      <c r="B35" s="4">
        <v>304</v>
      </c>
      <c r="C35" s="6">
        <v>0.9</v>
      </c>
      <c r="D35" s="6" t="s">
        <v>26</v>
      </c>
      <c r="E35" s="7" t="s">
        <v>64</v>
      </c>
      <c r="F35" s="4"/>
      <c r="G35" s="4">
        <v>430</v>
      </c>
      <c r="H35" s="8">
        <v>4000</v>
      </c>
      <c r="I35" s="9">
        <f>940</f>
        <v>940</v>
      </c>
      <c r="J35" s="8">
        <f t="shared" ref="J35:J40" si="3">H35-I35</f>
        <v>3060</v>
      </c>
    </row>
    <row r="36" spans="1:10" ht="19.95" customHeight="1" x14ac:dyDescent="0.3">
      <c r="A36" s="4">
        <v>290925</v>
      </c>
      <c r="B36" s="4">
        <v>304</v>
      </c>
      <c r="C36" s="6">
        <v>0.9</v>
      </c>
      <c r="D36" s="6" t="s">
        <v>22</v>
      </c>
      <c r="E36" s="7" t="s">
        <v>65</v>
      </c>
      <c r="F36" s="4"/>
      <c r="G36" s="4" t="s">
        <v>22</v>
      </c>
      <c r="H36" s="8">
        <v>4000</v>
      </c>
      <c r="I36" s="9"/>
      <c r="J36" s="8">
        <f>H36-I36</f>
        <v>4000</v>
      </c>
    </row>
    <row r="37" spans="1:10" ht="19.95" customHeight="1" x14ac:dyDescent="0.3">
      <c r="A37" s="4">
        <v>131025</v>
      </c>
      <c r="B37" s="4">
        <v>304</v>
      </c>
      <c r="C37" s="6">
        <v>0.9</v>
      </c>
      <c r="D37" s="6" t="s">
        <v>22</v>
      </c>
      <c r="E37" s="7" t="s">
        <v>68</v>
      </c>
      <c r="F37" s="4"/>
      <c r="G37" s="4" t="s">
        <v>22</v>
      </c>
      <c r="H37" s="8">
        <v>2550</v>
      </c>
      <c r="I37" s="9"/>
      <c r="J37" s="8">
        <f>H37-I37</f>
        <v>2550</v>
      </c>
    </row>
    <row r="38" spans="1:10" ht="19.95" customHeight="1" x14ac:dyDescent="0.3">
      <c r="A38" s="4">
        <v>290925</v>
      </c>
      <c r="B38" s="4">
        <v>304</v>
      </c>
      <c r="C38" s="6">
        <v>0.8</v>
      </c>
      <c r="D38" s="6" t="s">
        <v>26</v>
      </c>
      <c r="E38" s="7" t="s">
        <v>66</v>
      </c>
      <c r="F38" s="4"/>
      <c r="G38" s="4">
        <v>430</v>
      </c>
      <c r="H38" s="8">
        <v>3000</v>
      </c>
      <c r="I38" s="9"/>
      <c r="J38" s="8">
        <f>H38-I38</f>
        <v>3000</v>
      </c>
    </row>
    <row r="39" spans="1:10" ht="19.95" customHeight="1" x14ac:dyDescent="0.3">
      <c r="A39" s="4">
        <v>290925</v>
      </c>
      <c r="B39" s="4">
        <v>304</v>
      </c>
      <c r="C39" s="6">
        <v>0.8</v>
      </c>
      <c r="D39" s="6" t="s">
        <v>22</v>
      </c>
      <c r="E39" s="7" t="s">
        <v>67</v>
      </c>
      <c r="F39" s="4"/>
      <c r="G39" s="4" t="s">
        <v>22</v>
      </c>
      <c r="H39" s="8">
        <v>3000</v>
      </c>
      <c r="I39" s="9"/>
      <c r="J39" s="8">
        <f>H39-I39</f>
        <v>3000</v>
      </c>
    </row>
    <row r="40" spans="1:10" ht="19.95" customHeight="1" x14ac:dyDescent="0.3">
      <c r="A40" s="4"/>
      <c r="B40" s="4"/>
      <c r="C40" s="6"/>
      <c r="D40" s="6"/>
      <c r="E40" s="7"/>
      <c r="F40" s="4"/>
      <c r="G40" s="8"/>
      <c r="H40" s="8"/>
      <c r="I40" s="9"/>
      <c r="J40" s="8">
        <f t="shared" si="3"/>
        <v>0</v>
      </c>
    </row>
    <row r="41" spans="1:10" ht="19.95" customHeight="1" x14ac:dyDescent="0.3">
      <c r="A41" s="10"/>
      <c r="B41" s="10"/>
      <c r="C41" s="10"/>
      <c r="D41" s="10"/>
      <c r="E41" s="11"/>
      <c r="F41" s="10"/>
      <c r="G41" s="12"/>
      <c r="H41" s="8">
        <f>SUM(H35:H40)</f>
        <v>16550</v>
      </c>
      <c r="I41" s="9">
        <f>SUM(I35:I40)</f>
        <v>940</v>
      </c>
      <c r="J41" s="8">
        <f>SUM(J35:J40)</f>
        <v>15610</v>
      </c>
    </row>
    <row r="42" spans="1:10" ht="19.95" customHeight="1" x14ac:dyDescent="0.3">
      <c r="A42" s="16"/>
      <c r="B42" s="16"/>
      <c r="C42" s="16"/>
      <c r="D42" s="16"/>
      <c r="E42" s="17"/>
      <c r="F42" s="16"/>
      <c r="G42" s="16"/>
      <c r="H42" s="18"/>
      <c r="I42" s="19"/>
      <c r="J42" s="18"/>
    </row>
    <row r="43" spans="1:10" ht="30" customHeight="1" x14ac:dyDescent="0.3">
      <c r="A43" s="31" t="s">
        <v>16</v>
      </c>
      <c r="B43" s="31"/>
      <c r="C43" s="31"/>
      <c r="D43" s="31"/>
      <c r="E43" s="31"/>
      <c r="F43" s="31"/>
      <c r="G43" s="31"/>
      <c r="H43" s="31"/>
      <c r="I43" s="31"/>
      <c r="J43" s="31"/>
    </row>
    <row r="44" spans="1:10" ht="30" customHeight="1" x14ac:dyDescent="0.3">
      <c r="A44" s="4" t="s">
        <v>2</v>
      </c>
      <c r="B44" s="4" t="s">
        <v>3</v>
      </c>
      <c r="C44" s="5" t="s">
        <v>4</v>
      </c>
      <c r="D44" s="5" t="s">
        <v>5</v>
      </c>
      <c r="E44" s="4" t="s">
        <v>6</v>
      </c>
      <c r="F44" s="5" t="s">
        <v>18</v>
      </c>
      <c r="G44" s="5" t="s">
        <v>7</v>
      </c>
      <c r="H44" s="4" t="s">
        <v>8</v>
      </c>
      <c r="I44" s="4" t="s">
        <v>9</v>
      </c>
      <c r="J44" s="4" t="s">
        <v>10</v>
      </c>
    </row>
    <row r="45" spans="1:10" ht="19.95" customHeight="1" x14ac:dyDescent="0.3">
      <c r="A45" s="4"/>
      <c r="B45" s="4"/>
      <c r="C45" s="6"/>
      <c r="D45" s="6"/>
      <c r="E45" s="7"/>
      <c r="F45" s="4"/>
      <c r="G45" s="4"/>
      <c r="H45" s="8"/>
      <c r="I45" s="9"/>
      <c r="J45" s="8">
        <f t="shared" ref="J45:J50" si="4">H45-I45</f>
        <v>0</v>
      </c>
    </row>
    <row r="46" spans="1:10" ht="19.95" customHeight="1" x14ac:dyDescent="0.3">
      <c r="A46" s="4"/>
      <c r="B46" s="4"/>
      <c r="C46" s="6"/>
      <c r="D46" s="6"/>
      <c r="E46" s="7"/>
      <c r="F46" s="4"/>
      <c r="G46" s="4"/>
      <c r="H46" s="8"/>
      <c r="I46" s="9"/>
      <c r="J46" s="8">
        <f t="shared" si="4"/>
        <v>0</v>
      </c>
    </row>
    <row r="47" spans="1:10" ht="19.95" customHeight="1" x14ac:dyDescent="0.3">
      <c r="A47" s="4"/>
      <c r="B47" s="4"/>
      <c r="C47" s="6"/>
      <c r="D47" s="6"/>
      <c r="E47" s="7"/>
      <c r="F47" s="4"/>
      <c r="G47" s="4"/>
      <c r="H47" s="8"/>
      <c r="I47" s="9"/>
      <c r="J47" s="8">
        <f t="shared" si="4"/>
        <v>0</v>
      </c>
    </row>
    <row r="48" spans="1:10" ht="19.95" customHeight="1" x14ac:dyDescent="0.3">
      <c r="A48" s="4"/>
      <c r="B48" s="4"/>
      <c r="C48" s="6"/>
      <c r="D48" s="6"/>
      <c r="E48" s="7"/>
      <c r="F48" s="4"/>
      <c r="G48" s="8"/>
      <c r="H48" s="8"/>
      <c r="I48" s="9"/>
      <c r="J48" s="8">
        <f t="shared" si="4"/>
        <v>0</v>
      </c>
    </row>
    <row r="49" spans="1:10" ht="19.95" customHeight="1" x14ac:dyDescent="0.3">
      <c r="A49" s="4"/>
      <c r="B49" s="4"/>
      <c r="C49" s="6"/>
      <c r="D49" s="6"/>
      <c r="E49" s="7"/>
      <c r="F49" s="4"/>
      <c r="G49" s="4"/>
      <c r="H49" s="8"/>
      <c r="I49" s="9"/>
      <c r="J49" s="8">
        <f t="shared" si="4"/>
        <v>0</v>
      </c>
    </row>
    <row r="50" spans="1:10" ht="19.95" customHeight="1" x14ac:dyDescent="0.3">
      <c r="A50" s="4"/>
      <c r="B50" s="4"/>
      <c r="C50" s="6"/>
      <c r="D50" s="6"/>
      <c r="E50" s="7"/>
      <c r="F50" s="4"/>
      <c r="G50" s="4"/>
      <c r="H50" s="8"/>
      <c r="I50" s="9"/>
      <c r="J50" s="8">
        <f t="shared" si="4"/>
        <v>0</v>
      </c>
    </row>
    <row r="51" spans="1:10" ht="19.95" customHeight="1" x14ac:dyDescent="0.3">
      <c r="A51" s="10"/>
      <c r="B51" s="10"/>
      <c r="C51" s="10"/>
      <c r="D51" s="10"/>
      <c r="E51" s="11"/>
      <c r="F51" s="10"/>
      <c r="G51" s="12"/>
      <c r="H51" s="8">
        <f>SUM(H45:H50)</f>
        <v>0</v>
      </c>
      <c r="I51" s="9">
        <f>SUM(I45:I50)</f>
        <v>0</v>
      </c>
      <c r="J51" s="8">
        <f>SUM(J45:J50)</f>
        <v>0</v>
      </c>
    </row>
    <row r="52" spans="1:10" ht="19.95" customHeight="1" x14ac:dyDescent="0.3">
      <c r="A52" s="16"/>
      <c r="B52" s="16"/>
      <c r="C52" s="16"/>
      <c r="D52" s="16"/>
      <c r="E52" s="17"/>
      <c r="F52" s="16"/>
      <c r="G52" s="16"/>
      <c r="H52" s="18"/>
      <c r="I52" s="19"/>
      <c r="J52" s="18"/>
    </row>
    <row r="54" spans="1:10" ht="23.4" x14ac:dyDescent="0.3">
      <c r="A54" s="31" t="s">
        <v>11</v>
      </c>
      <c r="B54" s="31"/>
      <c r="C54" s="31"/>
      <c r="D54" s="31"/>
      <c r="E54" s="31"/>
      <c r="F54" s="31"/>
      <c r="G54" s="31"/>
      <c r="H54" s="31"/>
      <c r="I54" s="31"/>
      <c r="J54" s="31"/>
    </row>
  </sheetData>
  <mergeCells count="8">
    <mergeCell ref="A43:J43"/>
    <mergeCell ref="A54:J54"/>
    <mergeCell ref="I1:J1"/>
    <mergeCell ref="A2:J2"/>
    <mergeCell ref="A3:J3"/>
    <mergeCell ref="A12:J12"/>
    <mergeCell ref="A22:J22"/>
    <mergeCell ref="A33:J33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45" orientation="portrait" horizontalDpi="1200" verticalDpi="12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4"/>
  <sheetViews>
    <sheetView zoomScale="75" zoomScaleNormal="75" workbookViewId="0">
      <selection activeCell="I36" sqref="I36"/>
    </sheetView>
  </sheetViews>
  <sheetFormatPr defaultRowHeight="14.4" x14ac:dyDescent="0.3"/>
  <cols>
    <col min="1" max="1" width="15.6640625" style="24" customWidth="1"/>
    <col min="2" max="3" width="12.6640625" style="24" customWidth="1"/>
    <col min="4" max="4" width="15.6640625" style="24" customWidth="1"/>
    <col min="5" max="5" width="80.6640625" style="24" customWidth="1"/>
    <col min="6" max="6" width="22.77734375" style="15" bestFit="1" customWidth="1"/>
    <col min="7" max="7" width="12.33203125" style="24" customWidth="1"/>
    <col min="8" max="10" width="15.6640625" style="24" customWidth="1"/>
    <col min="11" max="16384" width="8.88671875" style="24"/>
  </cols>
  <sheetData>
    <row r="1" spans="1:11" s="1" customFormat="1" ht="30" customHeight="1" x14ac:dyDescent="0.3">
      <c r="F1" s="2"/>
      <c r="G1" s="2"/>
      <c r="H1" s="3" t="s">
        <v>0</v>
      </c>
      <c r="I1" s="27">
        <v>45950</v>
      </c>
      <c r="J1" s="27"/>
    </row>
    <row r="2" spans="1:11" ht="40.049999999999997" customHeight="1" x14ac:dyDescent="0.3">
      <c r="A2" s="28" t="s">
        <v>30</v>
      </c>
      <c r="B2" s="29"/>
      <c r="C2" s="29"/>
      <c r="D2" s="29"/>
      <c r="E2" s="29"/>
      <c r="F2" s="29"/>
      <c r="G2" s="29"/>
      <c r="H2" s="29"/>
      <c r="I2" s="29"/>
      <c r="J2" s="30"/>
    </row>
    <row r="3" spans="1:11" ht="30" customHeight="1" x14ac:dyDescent="0.3">
      <c r="A3" s="31" t="s">
        <v>12</v>
      </c>
      <c r="B3" s="31"/>
      <c r="C3" s="31"/>
      <c r="D3" s="31"/>
      <c r="E3" s="31"/>
      <c r="F3" s="31"/>
      <c r="G3" s="31"/>
      <c r="H3" s="31"/>
      <c r="I3" s="31"/>
      <c r="J3" s="31"/>
    </row>
    <row r="4" spans="1:11" ht="30" customHeight="1" x14ac:dyDescent="0.3">
      <c r="A4" s="4" t="s">
        <v>2</v>
      </c>
      <c r="B4" s="4" t="s">
        <v>3</v>
      </c>
      <c r="C4" s="5" t="s">
        <v>4</v>
      </c>
      <c r="D4" s="5" t="s">
        <v>5</v>
      </c>
      <c r="E4" s="4" t="s">
        <v>6</v>
      </c>
      <c r="F4" s="5" t="s">
        <v>17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1" ht="19.95" customHeight="1" x14ac:dyDescent="0.3">
      <c r="A5" s="4">
        <v>290925</v>
      </c>
      <c r="B5" s="4">
        <v>304</v>
      </c>
      <c r="C5" s="6">
        <v>0.9</v>
      </c>
      <c r="D5" s="6" t="s">
        <v>22</v>
      </c>
      <c r="E5" s="7" t="s">
        <v>65</v>
      </c>
      <c r="F5" s="4"/>
      <c r="G5" s="4" t="s">
        <v>22</v>
      </c>
      <c r="H5" s="8">
        <v>4000</v>
      </c>
      <c r="I5" s="9">
        <f>1718+2375</f>
        <v>4093</v>
      </c>
      <c r="J5" s="22">
        <f t="shared" ref="J5:J9" si="0">H5-I5</f>
        <v>-93</v>
      </c>
      <c r="K5" s="20"/>
    </row>
    <row r="6" spans="1:11" ht="19.95" customHeight="1" x14ac:dyDescent="0.3">
      <c r="A6" s="4">
        <v>131025</v>
      </c>
      <c r="B6" s="4">
        <v>304</v>
      </c>
      <c r="C6" s="6">
        <v>0.9</v>
      </c>
      <c r="D6" s="6" t="s">
        <v>22</v>
      </c>
      <c r="E6" s="7" t="s">
        <v>68</v>
      </c>
      <c r="F6" s="4"/>
      <c r="G6" s="4" t="s">
        <v>22</v>
      </c>
      <c r="H6" s="8">
        <v>2550</v>
      </c>
      <c r="I6" s="9"/>
      <c r="J6" s="22">
        <f t="shared" si="0"/>
        <v>2550</v>
      </c>
      <c r="K6" s="20"/>
    </row>
    <row r="7" spans="1:11" ht="19.95" customHeight="1" x14ac:dyDescent="0.3">
      <c r="A7" s="4">
        <v>290925</v>
      </c>
      <c r="B7" s="4">
        <v>304</v>
      </c>
      <c r="C7" s="6">
        <v>0.8</v>
      </c>
      <c r="D7" s="6" t="s">
        <v>26</v>
      </c>
      <c r="E7" s="7" t="s">
        <v>66</v>
      </c>
      <c r="F7" s="4"/>
      <c r="G7" s="4">
        <v>430</v>
      </c>
      <c r="H7" s="8">
        <v>3000</v>
      </c>
      <c r="I7" s="9"/>
      <c r="J7" s="8">
        <f t="shared" si="0"/>
        <v>3000</v>
      </c>
    </row>
    <row r="8" spans="1:11" ht="19.95" customHeight="1" x14ac:dyDescent="0.3">
      <c r="A8" s="4">
        <v>290925</v>
      </c>
      <c r="B8" s="4">
        <v>304</v>
      </c>
      <c r="C8" s="6">
        <v>0.8</v>
      </c>
      <c r="D8" s="6" t="s">
        <v>22</v>
      </c>
      <c r="E8" s="7" t="s">
        <v>67</v>
      </c>
      <c r="F8" s="4"/>
      <c r="G8" s="4" t="s">
        <v>22</v>
      </c>
      <c r="H8" s="8">
        <v>3000</v>
      </c>
      <c r="I8" s="9"/>
      <c r="J8" s="8">
        <f t="shared" si="0"/>
        <v>3000</v>
      </c>
    </row>
    <row r="9" spans="1:11" ht="19.95" customHeight="1" x14ac:dyDescent="0.3">
      <c r="A9" s="4"/>
      <c r="B9" s="4"/>
      <c r="C9" s="6"/>
      <c r="D9" s="6"/>
      <c r="E9" s="7"/>
      <c r="F9" s="4"/>
      <c r="G9" s="4"/>
      <c r="H9" s="8"/>
      <c r="I9" s="9"/>
      <c r="J9" s="8">
        <f t="shared" si="0"/>
        <v>0</v>
      </c>
    </row>
    <row r="10" spans="1:11" ht="19.95" customHeight="1" x14ac:dyDescent="0.3">
      <c r="A10" s="10"/>
      <c r="B10" s="10"/>
      <c r="C10" s="10"/>
      <c r="D10" s="10"/>
      <c r="E10" s="11"/>
      <c r="F10" s="10"/>
      <c r="G10" s="12"/>
      <c r="H10" s="13">
        <f>SUM(H5:H9)</f>
        <v>12550</v>
      </c>
      <c r="I10" s="14">
        <f>SUM(I5:I9)</f>
        <v>4093</v>
      </c>
      <c r="J10" s="8">
        <f>SUM(J5:J9)</f>
        <v>8457</v>
      </c>
    </row>
    <row r="12" spans="1:11" ht="30" customHeight="1" x14ac:dyDescent="0.3">
      <c r="A12" s="31" t="s">
        <v>15</v>
      </c>
      <c r="B12" s="31"/>
      <c r="C12" s="31"/>
      <c r="D12" s="31"/>
      <c r="E12" s="31"/>
      <c r="F12" s="31"/>
      <c r="G12" s="31"/>
      <c r="H12" s="31"/>
      <c r="I12" s="31"/>
      <c r="J12" s="31"/>
    </row>
    <row r="13" spans="1:11" ht="30" customHeight="1" x14ac:dyDescent="0.3">
      <c r="A13" s="4" t="s">
        <v>2</v>
      </c>
      <c r="B13" s="4" t="s">
        <v>3</v>
      </c>
      <c r="C13" s="5" t="s">
        <v>4</v>
      </c>
      <c r="D13" s="5" t="s">
        <v>5</v>
      </c>
      <c r="E13" s="4" t="s">
        <v>6</v>
      </c>
      <c r="F13" s="5" t="s">
        <v>17</v>
      </c>
      <c r="G13" s="5" t="s">
        <v>7</v>
      </c>
      <c r="H13" s="4" t="s">
        <v>8</v>
      </c>
      <c r="I13" s="4" t="s">
        <v>9</v>
      </c>
      <c r="J13" s="4" t="s">
        <v>10</v>
      </c>
    </row>
    <row r="14" spans="1:11" ht="19.95" customHeight="1" x14ac:dyDescent="0.3">
      <c r="A14" s="4">
        <v>290925</v>
      </c>
      <c r="B14" s="4">
        <v>304</v>
      </c>
      <c r="C14" s="6">
        <v>0.9</v>
      </c>
      <c r="D14" s="6" t="s">
        <v>26</v>
      </c>
      <c r="E14" s="7" t="s">
        <v>64</v>
      </c>
      <c r="F14" s="4"/>
      <c r="G14" s="4">
        <v>430</v>
      </c>
      <c r="H14" s="8">
        <v>4000</v>
      </c>
      <c r="I14" s="9">
        <f>10+1860+1750+540</f>
        <v>4160</v>
      </c>
      <c r="J14" s="8">
        <f t="shared" ref="J14:J19" si="1">H14-I14</f>
        <v>-160</v>
      </c>
    </row>
    <row r="15" spans="1:11" ht="19.95" customHeight="1" x14ac:dyDescent="0.3">
      <c r="A15" s="4">
        <v>290925</v>
      </c>
      <c r="B15" s="4">
        <v>304</v>
      </c>
      <c r="C15" s="6">
        <v>0.9</v>
      </c>
      <c r="D15" s="6" t="s">
        <v>22</v>
      </c>
      <c r="E15" s="7" t="s">
        <v>65</v>
      </c>
      <c r="F15" s="4"/>
      <c r="G15" s="4" t="s">
        <v>22</v>
      </c>
      <c r="H15" s="8">
        <v>4000</v>
      </c>
      <c r="I15" s="9">
        <f>820+2000</f>
        <v>2820</v>
      </c>
      <c r="J15" s="8">
        <f t="shared" si="1"/>
        <v>1180</v>
      </c>
    </row>
    <row r="16" spans="1:11" ht="19.95" customHeight="1" x14ac:dyDescent="0.3">
      <c r="A16" s="4">
        <v>131025</v>
      </c>
      <c r="B16" s="4">
        <v>304</v>
      </c>
      <c r="C16" s="6">
        <v>0.9</v>
      </c>
      <c r="D16" s="6" t="s">
        <v>22</v>
      </c>
      <c r="E16" s="7" t="s">
        <v>68</v>
      </c>
      <c r="F16" s="4"/>
      <c r="G16" s="4" t="s">
        <v>22</v>
      </c>
      <c r="H16" s="8">
        <v>2550</v>
      </c>
      <c r="I16" s="9"/>
      <c r="J16" s="8">
        <f t="shared" si="1"/>
        <v>2550</v>
      </c>
    </row>
    <row r="17" spans="1:10" ht="19.95" customHeight="1" x14ac:dyDescent="0.3">
      <c r="A17" s="4">
        <v>290925</v>
      </c>
      <c r="B17" s="4">
        <v>304</v>
      </c>
      <c r="C17" s="6">
        <v>0.8</v>
      </c>
      <c r="D17" s="6" t="s">
        <v>26</v>
      </c>
      <c r="E17" s="7" t="s">
        <v>66</v>
      </c>
      <c r="F17" s="4"/>
      <c r="G17" s="4">
        <v>430</v>
      </c>
      <c r="H17" s="8">
        <v>3000</v>
      </c>
      <c r="I17" s="9"/>
      <c r="J17" s="8">
        <f t="shared" si="1"/>
        <v>3000</v>
      </c>
    </row>
    <row r="18" spans="1:10" ht="19.95" customHeight="1" x14ac:dyDescent="0.3">
      <c r="A18" s="4">
        <v>290925</v>
      </c>
      <c r="B18" s="4">
        <v>304</v>
      </c>
      <c r="C18" s="6">
        <v>0.8</v>
      </c>
      <c r="D18" s="6" t="s">
        <v>22</v>
      </c>
      <c r="E18" s="7" t="s">
        <v>67</v>
      </c>
      <c r="F18" s="4"/>
      <c r="G18" s="4" t="s">
        <v>22</v>
      </c>
      <c r="H18" s="8">
        <v>3000</v>
      </c>
      <c r="I18" s="9"/>
      <c r="J18" s="8">
        <f t="shared" si="1"/>
        <v>3000</v>
      </c>
    </row>
    <row r="19" spans="1:10" ht="19.95" customHeight="1" x14ac:dyDescent="0.3">
      <c r="A19" s="4"/>
      <c r="B19" s="4"/>
      <c r="C19" s="6"/>
      <c r="D19" s="6"/>
      <c r="E19" s="7"/>
      <c r="F19" s="4"/>
      <c r="G19" s="8"/>
      <c r="H19" s="8"/>
      <c r="I19" s="9"/>
      <c r="J19" s="8">
        <f t="shared" si="1"/>
        <v>0</v>
      </c>
    </row>
    <row r="20" spans="1:10" ht="19.95" customHeight="1" x14ac:dyDescent="0.3">
      <c r="A20" s="10"/>
      <c r="B20" s="10"/>
      <c r="C20" s="10"/>
      <c r="D20" s="10"/>
      <c r="E20" s="11"/>
      <c r="F20" s="10"/>
      <c r="G20" s="12"/>
      <c r="H20" s="8">
        <f>SUM(H14:H19)</f>
        <v>16550</v>
      </c>
      <c r="I20" s="9">
        <f>SUM(I14:I19)</f>
        <v>6980</v>
      </c>
      <c r="J20" s="8">
        <f>SUM(J14:J19)</f>
        <v>9570</v>
      </c>
    </row>
    <row r="21" spans="1:10" ht="19.95" customHeight="1" x14ac:dyDescent="0.3">
      <c r="A21" s="16"/>
      <c r="B21" s="16"/>
      <c r="C21" s="16"/>
      <c r="D21" s="16"/>
      <c r="E21" s="17"/>
      <c r="F21" s="16"/>
      <c r="G21" s="16"/>
      <c r="H21" s="18"/>
      <c r="I21" s="19"/>
      <c r="J21" s="18"/>
    </row>
    <row r="22" spans="1:10" ht="30" customHeight="1" x14ac:dyDescent="0.3">
      <c r="A22" s="31" t="s">
        <v>13</v>
      </c>
      <c r="B22" s="31"/>
      <c r="C22" s="31"/>
      <c r="D22" s="31"/>
      <c r="E22" s="31"/>
      <c r="F22" s="31"/>
      <c r="G22" s="31"/>
      <c r="H22" s="31"/>
      <c r="I22" s="31"/>
      <c r="J22" s="31"/>
    </row>
    <row r="23" spans="1:10" ht="30" customHeight="1" x14ac:dyDescent="0.3">
      <c r="A23" s="4" t="s">
        <v>2</v>
      </c>
      <c r="B23" s="4" t="s">
        <v>3</v>
      </c>
      <c r="C23" s="5" t="s">
        <v>4</v>
      </c>
      <c r="D23" s="5" t="s">
        <v>5</v>
      </c>
      <c r="E23" s="4" t="s">
        <v>6</v>
      </c>
      <c r="F23" s="5" t="s">
        <v>17</v>
      </c>
      <c r="G23" s="5" t="s">
        <v>7</v>
      </c>
      <c r="H23" s="4" t="s">
        <v>8</v>
      </c>
      <c r="I23" s="4" t="s">
        <v>9</v>
      </c>
      <c r="J23" s="4" t="s">
        <v>10</v>
      </c>
    </row>
    <row r="24" spans="1:10" ht="19.95" customHeight="1" x14ac:dyDescent="0.3">
      <c r="A24" s="4">
        <v>290925</v>
      </c>
      <c r="B24" s="4">
        <v>304</v>
      </c>
      <c r="C24" s="6">
        <v>0.9</v>
      </c>
      <c r="D24" s="6" t="s">
        <v>26</v>
      </c>
      <c r="E24" s="7" t="s">
        <v>64</v>
      </c>
      <c r="F24" s="4"/>
      <c r="G24" s="4">
        <v>430</v>
      </c>
      <c r="H24" s="8">
        <v>4000</v>
      </c>
      <c r="I24" s="9">
        <f>1750+700+1770</f>
        <v>4220</v>
      </c>
      <c r="J24" s="8">
        <f t="shared" ref="J24:J30" si="2">H24-I24</f>
        <v>-220</v>
      </c>
    </row>
    <row r="25" spans="1:10" ht="19.95" customHeight="1" x14ac:dyDescent="0.3">
      <c r="A25" s="4">
        <v>131025</v>
      </c>
      <c r="B25" s="4">
        <v>304</v>
      </c>
      <c r="C25" s="6">
        <v>0.9</v>
      </c>
      <c r="D25" s="6" t="s">
        <v>22</v>
      </c>
      <c r="E25" s="7" t="s">
        <v>68</v>
      </c>
      <c r="F25" s="4"/>
      <c r="G25" s="4" t="s">
        <v>22</v>
      </c>
      <c r="H25" s="8">
        <v>2550</v>
      </c>
      <c r="I25" s="9">
        <f>250</f>
        <v>250</v>
      </c>
      <c r="J25" s="8">
        <f t="shared" si="2"/>
        <v>2300</v>
      </c>
    </row>
    <row r="26" spans="1:10" ht="19.95" customHeight="1" x14ac:dyDescent="0.3">
      <c r="A26" s="4">
        <v>290925</v>
      </c>
      <c r="B26" s="4">
        <v>304</v>
      </c>
      <c r="C26" s="6">
        <v>0.9</v>
      </c>
      <c r="D26" s="6" t="s">
        <v>22</v>
      </c>
      <c r="E26" s="7" t="s">
        <v>65</v>
      </c>
      <c r="F26" s="4"/>
      <c r="G26" s="4" t="s">
        <v>22</v>
      </c>
      <c r="H26" s="8">
        <v>4000</v>
      </c>
      <c r="I26" s="9"/>
      <c r="J26" s="8">
        <f t="shared" si="2"/>
        <v>4000</v>
      </c>
    </row>
    <row r="27" spans="1:10" ht="19.95" customHeight="1" x14ac:dyDescent="0.3">
      <c r="A27" s="4">
        <v>290925</v>
      </c>
      <c r="B27" s="4">
        <v>304</v>
      </c>
      <c r="C27" s="6">
        <v>0.8</v>
      </c>
      <c r="D27" s="6" t="s">
        <v>26</v>
      </c>
      <c r="E27" s="7" t="s">
        <v>66</v>
      </c>
      <c r="F27" s="4"/>
      <c r="G27" s="4">
        <v>430</v>
      </c>
      <c r="H27" s="8">
        <v>3000</v>
      </c>
      <c r="I27" s="9"/>
      <c r="J27" s="8">
        <f t="shared" si="2"/>
        <v>3000</v>
      </c>
    </row>
    <row r="28" spans="1:10" ht="19.95" customHeight="1" x14ac:dyDescent="0.3">
      <c r="A28" s="4">
        <v>290925</v>
      </c>
      <c r="B28" s="4">
        <v>304</v>
      </c>
      <c r="C28" s="6">
        <v>0.8</v>
      </c>
      <c r="D28" s="6" t="s">
        <v>22</v>
      </c>
      <c r="E28" s="7" t="s">
        <v>67</v>
      </c>
      <c r="F28" s="4"/>
      <c r="G28" s="4" t="s">
        <v>22</v>
      </c>
      <c r="H28" s="8">
        <v>3000</v>
      </c>
      <c r="I28" s="9"/>
      <c r="J28" s="8">
        <f t="shared" si="2"/>
        <v>3000</v>
      </c>
    </row>
    <row r="29" spans="1:10" ht="19.95" customHeight="1" x14ac:dyDescent="0.3">
      <c r="A29" s="4"/>
      <c r="B29" s="4"/>
      <c r="C29" s="6"/>
      <c r="D29" s="6"/>
      <c r="E29" s="7"/>
      <c r="F29" s="4"/>
      <c r="G29" s="4"/>
      <c r="H29" s="8"/>
      <c r="I29" s="9"/>
      <c r="J29" s="8">
        <f t="shared" si="2"/>
        <v>0</v>
      </c>
    </row>
    <row r="30" spans="1:10" ht="19.95" customHeight="1" x14ac:dyDescent="0.3">
      <c r="A30" s="4"/>
      <c r="B30" s="4"/>
      <c r="C30" s="6"/>
      <c r="D30" s="6"/>
      <c r="E30" s="7"/>
      <c r="F30" s="4"/>
      <c r="G30" s="8"/>
      <c r="H30" s="8"/>
      <c r="I30" s="9"/>
      <c r="J30" s="8">
        <f t="shared" si="2"/>
        <v>0</v>
      </c>
    </row>
    <row r="31" spans="1:10" ht="19.95" customHeight="1" x14ac:dyDescent="0.3">
      <c r="A31" s="10"/>
      <c r="B31" s="10"/>
      <c r="C31" s="10"/>
      <c r="D31" s="10"/>
      <c r="E31" s="11"/>
      <c r="F31" s="10"/>
      <c r="G31" s="12"/>
      <c r="H31" s="8">
        <f>SUM(H24:H30)</f>
        <v>16550</v>
      </c>
      <c r="I31" s="9">
        <f>SUM(I24:I30)</f>
        <v>4470</v>
      </c>
      <c r="J31" s="8">
        <f>SUM(J24:J30)</f>
        <v>12080</v>
      </c>
    </row>
    <row r="32" spans="1:10" ht="19.95" customHeight="1" x14ac:dyDescent="0.3">
      <c r="A32" s="16"/>
      <c r="B32" s="16"/>
      <c r="C32" s="16"/>
      <c r="D32" s="16"/>
      <c r="E32" s="17"/>
      <c r="F32" s="16"/>
      <c r="G32" s="16"/>
      <c r="H32" s="18"/>
      <c r="I32" s="19"/>
      <c r="J32" s="18"/>
    </row>
    <row r="33" spans="1:10" ht="30" customHeight="1" x14ac:dyDescent="0.3">
      <c r="A33" s="31" t="s">
        <v>14</v>
      </c>
      <c r="B33" s="31"/>
      <c r="C33" s="31"/>
      <c r="D33" s="31"/>
      <c r="E33" s="31"/>
      <c r="F33" s="31"/>
      <c r="G33" s="31"/>
      <c r="H33" s="31"/>
      <c r="I33" s="31"/>
      <c r="J33" s="31"/>
    </row>
    <row r="34" spans="1:10" ht="30" customHeight="1" x14ac:dyDescent="0.3">
      <c r="A34" s="4" t="s">
        <v>2</v>
      </c>
      <c r="B34" s="4" t="s">
        <v>3</v>
      </c>
      <c r="C34" s="5" t="s">
        <v>4</v>
      </c>
      <c r="D34" s="5" t="s">
        <v>5</v>
      </c>
      <c r="E34" s="4" t="s">
        <v>6</v>
      </c>
      <c r="F34" s="5" t="s">
        <v>17</v>
      </c>
      <c r="G34" s="5" t="s">
        <v>7</v>
      </c>
      <c r="H34" s="4" t="s">
        <v>8</v>
      </c>
      <c r="I34" s="4" t="s">
        <v>9</v>
      </c>
      <c r="J34" s="4" t="s">
        <v>10</v>
      </c>
    </row>
    <row r="35" spans="1:10" ht="19.95" customHeight="1" x14ac:dyDescent="0.3">
      <c r="A35" s="4">
        <v>290925</v>
      </c>
      <c r="B35" s="4">
        <v>304</v>
      </c>
      <c r="C35" s="6">
        <v>0.9</v>
      </c>
      <c r="D35" s="6" t="s">
        <v>26</v>
      </c>
      <c r="E35" s="7" t="s">
        <v>64</v>
      </c>
      <c r="F35" s="4"/>
      <c r="G35" s="4">
        <v>430</v>
      </c>
      <c r="H35" s="8">
        <v>4000</v>
      </c>
      <c r="I35" s="9">
        <f>940+1850</f>
        <v>2790</v>
      </c>
      <c r="J35" s="8">
        <f t="shared" ref="J35:J40" si="3">H35-I35</f>
        <v>1210</v>
      </c>
    </row>
    <row r="36" spans="1:10" ht="19.95" customHeight="1" x14ac:dyDescent="0.3">
      <c r="A36" s="4">
        <v>290925</v>
      </c>
      <c r="B36" s="4">
        <v>304</v>
      </c>
      <c r="C36" s="6">
        <v>0.9</v>
      </c>
      <c r="D36" s="6" t="s">
        <v>22</v>
      </c>
      <c r="E36" s="7" t="s">
        <v>65</v>
      </c>
      <c r="F36" s="4"/>
      <c r="G36" s="4" t="s">
        <v>22</v>
      </c>
      <c r="H36" s="8">
        <v>4000</v>
      </c>
      <c r="I36" s="9"/>
      <c r="J36" s="8">
        <f>H36-I36</f>
        <v>4000</v>
      </c>
    </row>
    <row r="37" spans="1:10" ht="19.95" customHeight="1" x14ac:dyDescent="0.3">
      <c r="A37" s="4">
        <v>131025</v>
      </c>
      <c r="B37" s="4">
        <v>304</v>
      </c>
      <c r="C37" s="6">
        <v>0.9</v>
      </c>
      <c r="D37" s="6" t="s">
        <v>22</v>
      </c>
      <c r="E37" s="7" t="s">
        <v>68</v>
      </c>
      <c r="F37" s="4"/>
      <c r="G37" s="4" t="s">
        <v>22</v>
      </c>
      <c r="H37" s="8">
        <v>2550</v>
      </c>
      <c r="I37" s="9"/>
      <c r="J37" s="8">
        <f>H37-I37</f>
        <v>2550</v>
      </c>
    </row>
    <row r="38" spans="1:10" ht="19.95" customHeight="1" x14ac:dyDescent="0.3">
      <c r="A38" s="4">
        <v>290925</v>
      </c>
      <c r="B38" s="4">
        <v>304</v>
      </c>
      <c r="C38" s="6">
        <v>0.8</v>
      </c>
      <c r="D38" s="6" t="s">
        <v>26</v>
      </c>
      <c r="E38" s="7" t="s">
        <v>66</v>
      </c>
      <c r="F38" s="4"/>
      <c r="G38" s="4">
        <v>430</v>
      </c>
      <c r="H38" s="8">
        <v>3000</v>
      </c>
      <c r="I38" s="9"/>
      <c r="J38" s="8">
        <f>H38-I38</f>
        <v>3000</v>
      </c>
    </row>
    <row r="39" spans="1:10" ht="19.95" customHeight="1" x14ac:dyDescent="0.3">
      <c r="A39" s="4">
        <v>290925</v>
      </c>
      <c r="B39" s="4">
        <v>304</v>
      </c>
      <c r="C39" s="6">
        <v>0.8</v>
      </c>
      <c r="D39" s="6" t="s">
        <v>22</v>
      </c>
      <c r="E39" s="7" t="s">
        <v>67</v>
      </c>
      <c r="F39" s="4"/>
      <c r="G39" s="4" t="s">
        <v>22</v>
      </c>
      <c r="H39" s="8">
        <v>3000</v>
      </c>
      <c r="I39" s="9"/>
      <c r="J39" s="8">
        <f>H39-I39</f>
        <v>3000</v>
      </c>
    </row>
    <row r="40" spans="1:10" ht="19.95" customHeight="1" x14ac:dyDescent="0.3">
      <c r="A40" s="4"/>
      <c r="B40" s="4"/>
      <c r="C40" s="6"/>
      <c r="D40" s="6"/>
      <c r="E40" s="7"/>
      <c r="F40" s="4"/>
      <c r="G40" s="8"/>
      <c r="H40" s="8"/>
      <c r="I40" s="9"/>
      <c r="J40" s="8">
        <f t="shared" si="3"/>
        <v>0</v>
      </c>
    </row>
    <row r="41" spans="1:10" ht="19.95" customHeight="1" x14ac:dyDescent="0.3">
      <c r="A41" s="10"/>
      <c r="B41" s="10"/>
      <c r="C41" s="10"/>
      <c r="D41" s="10"/>
      <c r="E41" s="11"/>
      <c r="F41" s="10"/>
      <c r="G41" s="12"/>
      <c r="H41" s="8">
        <f>SUM(H35:H40)</f>
        <v>16550</v>
      </c>
      <c r="I41" s="9">
        <f>SUM(I35:I40)</f>
        <v>2790</v>
      </c>
      <c r="J41" s="8">
        <f>SUM(J35:J40)</f>
        <v>13760</v>
      </c>
    </row>
    <row r="42" spans="1:10" ht="19.95" customHeight="1" x14ac:dyDescent="0.3">
      <c r="A42" s="16"/>
      <c r="B42" s="16"/>
      <c r="C42" s="16"/>
      <c r="D42" s="16"/>
      <c r="E42" s="17"/>
      <c r="F42" s="16"/>
      <c r="G42" s="16"/>
      <c r="H42" s="18"/>
      <c r="I42" s="19"/>
      <c r="J42" s="18"/>
    </row>
    <row r="43" spans="1:10" ht="30" customHeight="1" x14ac:dyDescent="0.3">
      <c r="A43" s="31" t="s">
        <v>16</v>
      </c>
      <c r="B43" s="31"/>
      <c r="C43" s="31"/>
      <c r="D43" s="31"/>
      <c r="E43" s="31"/>
      <c r="F43" s="31"/>
      <c r="G43" s="31"/>
      <c r="H43" s="31"/>
      <c r="I43" s="31"/>
      <c r="J43" s="31"/>
    </row>
    <row r="44" spans="1:10" ht="30" customHeight="1" x14ac:dyDescent="0.3">
      <c r="A44" s="4" t="s">
        <v>2</v>
      </c>
      <c r="B44" s="4" t="s">
        <v>3</v>
      </c>
      <c r="C44" s="5" t="s">
        <v>4</v>
      </c>
      <c r="D44" s="5" t="s">
        <v>5</v>
      </c>
      <c r="E44" s="4" t="s">
        <v>6</v>
      </c>
      <c r="F44" s="5" t="s">
        <v>18</v>
      </c>
      <c r="G44" s="5" t="s">
        <v>7</v>
      </c>
      <c r="H44" s="4" t="s">
        <v>8</v>
      </c>
      <c r="I44" s="4" t="s">
        <v>9</v>
      </c>
      <c r="J44" s="4" t="s">
        <v>10</v>
      </c>
    </row>
    <row r="45" spans="1:10" ht="19.95" customHeight="1" x14ac:dyDescent="0.3">
      <c r="A45" s="4"/>
      <c r="B45" s="4"/>
      <c r="C45" s="6"/>
      <c r="D45" s="6"/>
      <c r="E45" s="7"/>
      <c r="F45" s="4"/>
      <c r="G45" s="4"/>
      <c r="H45" s="8"/>
      <c r="I45" s="9"/>
      <c r="J45" s="8">
        <f t="shared" ref="J45:J50" si="4">H45-I45</f>
        <v>0</v>
      </c>
    </row>
    <row r="46" spans="1:10" ht="19.95" customHeight="1" x14ac:dyDescent="0.3">
      <c r="A46" s="4"/>
      <c r="B46" s="4"/>
      <c r="C46" s="6"/>
      <c r="D46" s="6"/>
      <c r="E46" s="7"/>
      <c r="F46" s="4"/>
      <c r="G46" s="4"/>
      <c r="H46" s="8"/>
      <c r="I46" s="9"/>
      <c r="J46" s="8">
        <f t="shared" si="4"/>
        <v>0</v>
      </c>
    </row>
    <row r="47" spans="1:10" ht="19.95" customHeight="1" x14ac:dyDescent="0.3">
      <c r="A47" s="4"/>
      <c r="B47" s="4"/>
      <c r="C47" s="6"/>
      <c r="D47" s="6"/>
      <c r="E47" s="7"/>
      <c r="F47" s="4"/>
      <c r="G47" s="4"/>
      <c r="H47" s="8"/>
      <c r="I47" s="9"/>
      <c r="J47" s="8">
        <f t="shared" si="4"/>
        <v>0</v>
      </c>
    </row>
    <row r="48" spans="1:10" ht="19.95" customHeight="1" x14ac:dyDescent="0.3">
      <c r="A48" s="4"/>
      <c r="B48" s="4"/>
      <c r="C48" s="6"/>
      <c r="D48" s="6"/>
      <c r="E48" s="7"/>
      <c r="F48" s="4"/>
      <c r="G48" s="8"/>
      <c r="H48" s="8"/>
      <c r="I48" s="9"/>
      <c r="J48" s="8">
        <f t="shared" si="4"/>
        <v>0</v>
      </c>
    </row>
    <row r="49" spans="1:10" ht="19.95" customHeight="1" x14ac:dyDescent="0.3">
      <c r="A49" s="4"/>
      <c r="B49" s="4"/>
      <c r="C49" s="6"/>
      <c r="D49" s="6"/>
      <c r="E49" s="7"/>
      <c r="F49" s="4"/>
      <c r="G49" s="4"/>
      <c r="H49" s="8"/>
      <c r="I49" s="9"/>
      <c r="J49" s="8">
        <f t="shared" si="4"/>
        <v>0</v>
      </c>
    </row>
    <row r="50" spans="1:10" ht="19.95" customHeight="1" x14ac:dyDescent="0.3">
      <c r="A50" s="4"/>
      <c r="B50" s="4"/>
      <c r="C50" s="6"/>
      <c r="D50" s="6"/>
      <c r="E50" s="7"/>
      <c r="F50" s="4"/>
      <c r="G50" s="4"/>
      <c r="H50" s="8"/>
      <c r="I50" s="9"/>
      <c r="J50" s="8">
        <f t="shared" si="4"/>
        <v>0</v>
      </c>
    </row>
    <row r="51" spans="1:10" ht="19.95" customHeight="1" x14ac:dyDescent="0.3">
      <c r="A51" s="10"/>
      <c r="B51" s="10"/>
      <c r="C51" s="10"/>
      <c r="D51" s="10"/>
      <c r="E51" s="11"/>
      <c r="F51" s="10"/>
      <c r="G51" s="12"/>
      <c r="H51" s="8">
        <f>SUM(H45:H50)</f>
        <v>0</v>
      </c>
      <c r="I51" s="9">
        <f>SUM(I45:I50)</f>
        <v>0</v>
      </c>
      <c r="J51" s="8">
        <f>SUM(J45:J50)</f>
        <v>0</v>
      </c>
    </row>
    <row r="52" spans="1:10" ht="19.95" customHeight="1" x14ac:dyDescent="0.3">
      <c r="A52" s="16"/>
      <c r="B52" s="16"/>
      <c r="C52" s="16"/>
      <c r="D52" s="16"/>
      <c r="E52" s="17"/>
      <c r="F52" s="16"/>
      <c r="G52" s="16"/>
      <c r="H52" s="18"/>
      <c r="I52" s="19"/>
      <c r="J52" s="18"/>
    </row>
    <row r="54" spans="1:10" ht="23.4" x14ac:dyDescent="0.3">
      <c r="A54" s="31" t="s">
        <v>11</v>
      </c>
      <c r="B54" s="31"/>
      <c r="C54" s="31"/>
      <c r="D54" s="31"/>
      <c r="E54" s="31"/>
      <c r="F54" s="31"/>
      <c r="G54" s="31"/>
      <c r="H54" s="31"/>
      <c r="I54" s="31"/>
      <c r="J54" s="31"/>
    </row>
  </sheetData>
  <mergeCells count="8">
    <mergeCell ref="A43:J43"/>
    <mergeCell ref="A54:J54"/>
    <mergeCell ref="I1:J1"/>
    <mergeCell ref="A2:J2"/>
    <mergeCell ref="A3:J3"/>
    <mergeCell ref="A12:J12"/>
    <mergeCell ref="A22:J22"/>
    <mergeCell ref="A33:J33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67" orientation="landscape" horizontalDpi="1200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zoomScale="75" zoomScaleNormal="75" workbookViewId="0">
      <selection activeCell="I33" sqref="I33"/>
    </sheetView>
  </sheetViews>
  <sheetFormatPr defaultRowHeight="14.4" x14ac:dyDescent="0.3"/>
  <cols>
    <col min="1" max="1" width="15.6640625" style="24" customWidth="1"/>
    <col min="2" max="3" width="12.6640625" style="24" customWidth="1"/>
    <col min="4" max="4" width="15.6640625" style="24" customWidth="1"/>
    <col min="5" max="5" width="80.6640625" style="24" customWidth="1"/>
    <col min="6" max="6" width="22.77734375" style="15" bestFit="1" customWidth="1"/>
    <col min="7" max="7" width="12.33203125" style="24" customWidth="1"/>
    <col min="8" max="10" width="15.6640625" style="24" customWidth="1"/>
    <col min="11" max="16384" width="8.88671875" style="24"/>
  </cols>
  <sheetData>
    <row r="1" spans="1:11" s="1" customFormat="1" ht="30" customHeight="1" x14ac:dyDescent="0.3">
      <c r="F1" s="2"/>
      <c r="G1" s="2"/>
      <c r="H1" s="3" t="s">
        <v>0</v>
      </c>
      <c r="I1" s="27">
        <v>45951</v>
      </c>
      <c r="J1" s="27"/>
    </row>
    <row r="2" spans="1:11" ht="40.049999999999997" customHeight="1" x14ac:dyDescent="0.3">
      <c r="A2" s="28" t="s">
        <v>35</v>
      </c>
      <c r="B2" s="29"/>
      <c r="C2" s="29"/>
      <c r="D2" s="29"/>
      <c r="E2" s="29"/>
      <c r="F2" s="29"/>
      <c r="G2" s="29"/>
      <c r="H2" s="29"/>
      <c r="I2" s="29"/>
      <c r="J2" s="30"/>
    </row>
    <row r="3" spans="1:11" ht="30" customHeight="1" x14ac:dyDescent="0.3">
      <c r="A3" s="31" t="s">
        <v>12</v>
      </c>
      <c r="B3" s="31"/>
      <c r="C3" s="31"/>
      <c r="D3" s="31"/>
      <c r="E3" s="31"/>
      <c r="F3" s="31"/>
      <c r="G3" s="31"/>
      <c r="H3" s="31"/>
      <c r="I3" s="31"/>
      <c r="J3" s="31"/>
    </row>
    <row r="4" spans="1:11" ht="30" customHeight="1" x14ac:dyDescent="0.3">
      <c r="A4" s="4" t="s">
        <v>2</v>
      </c>
      <c r="B4" s="4" t="s">
        <v>3</v>
      </c>
      <c r="C4" s="5" t="s">
        <v>4</v>
      </c>
      <c r="D4" s="5" t="s">
        <v>5</v>
      </c>
      <c r="E4" s="4" t="s">
        <v>6</v>
      </c>
      <c r="F4" s="5" t="s">
        <v>17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1" ht="19.95" customHeight="1" x14ac:dyDescent="0.3">
      <c r="A5" s="4">
        <v>290925</v>
      </c>
      <c r="B5" s="4">
        <v>304</v>
      </c>
      <c r="C5" s="6">
        <v>0.8</v>
      </c>
      <c r="D5" s="6" t="s">
        <v>26</v>
      </c>
      <c r="E5" s="7" t="s">
        <v>66</v>
      </c>
      <c r="F5" s="4"/>
      <c r="G5" s="4">
        <v>430</v>
      </c>
      <c r="H5" s="8">
        <v>3000</v>
      </c>
      <c r="I5" s="9">
        <v>1280</v>
      </c>
      <c r="J5" s="22">
        <f t="shared" ref="J5:J8" si="0">H5-I5</f>
        <v>1720</v>
      </c>
      <c r="K5" s="20"/>
    </row>
    <row r="6" spans="1:11" ht="19.95" customHeight="1" x14ac:dyDescent="0.3">
      <c r="A6" s="4">
        <v>131025</v>
      </c>
      <c r="B6" s="4">
        <v>304</v>
      </c>
      <c r="C6" s="6">
        <v>0.9</v>
      </c>
      <c r="D6" s="6" t="s">
        <v>22</v>
      </c>
      <c r="E6" s="7" t="s">
        <v>68</v>
      </c>
      <c r="F6" s="4"/>
      <c r="G6" s="4" t="s">
        <v>22</v>
      </c>
      <c r="H6" s="8">
        <v>2550</v>
      </c>
      <c r="I6" s="9"/>
      <c r="J6" s="22">
        <f t="shared" si="0"/>
        <v>2550</v>
      </c>
      <c r="K6" s="20"/>
    </row>
    <row r="7" spans="1:11" ht="19.95" customHeight="1" x14ac:dyDescent="0.3">
      <c r="A7" s="4">
        <v>290925</v>
      </c>
      <c r="B7" s="4">
        <v>304</v>
      </c>
      <c r="C7" s="6">
        <v>0.8</v>
      </c>
      <c r="D7" s="6" t="s">
        <v>22</v>
      </c>
      <c r="E7" s="7" t="s">
        <v>67</v>
      </c>
      <c r="F7" s="4"/>
      <c r="G7" s="4" t="s">
        <v>22</v>
      </c>
      <c r="H7" s="8">
        <v>3000</v>
      </c>
      <c r="I7" s="9"/>
      <c r="J7" s="8">
        <f t="shared" si="0"/>
        <v>3000</v>
      </c>
    </row>
    <row r="8" spans="1:11" ht="19.95" customHeight="1" x14ac:dyDescent="0.3">
      <c r="A8" s="4"/>
      <c r="B8" s="4"/>
      <c r="C8" s="6"/>
      <c r="D8" s="6"/>
      <c r="E8" s="7"/>
      <c r="F8" s="4"/>
      <c r="G8" s="4"/>
      <c r="H8" s="8"/>
      <c r="I8" s="9"/>
      <c r="J8" s="8">
        <f t="shared" si="0"/>
        <v>0</v>
      </c>
    </row>
    <row r="9" spans="1:11" ht="19.95" customHeight="1" x14ac:dyDescent="0.3">
      <c r="A9" s="10"/>
      <c r="B9" s="10"/>
      <c r="C9" s="10"/>
      <c r="D9" s="10"/>
      <c r="E9" s="11"/>
      <c r="F9" s="10"/>
      <c r="G9" s="12"/>
      <c r="H9" s="13">
        <f>SUM(H5:H8)</f>
        <v>8550</v>
      </c>
      <c r="I9" s="14">
        <f>SUM(I5:I8)</f>
        <v>1280</v>
      </c>
      <c r="J9" s="8">
        <f>SUM(J5:J8)</f>
        <v>7270</v>
      </c>
    </row>
    <row r="11" spans="1:11" ht="30" customHeight="1" x14ac:dyDescent="0.3">
      <c r="A11" s="31" t="s">
        <v>15</v>
      </c>
      <c r="B11" s="31"/>
      <c r="C11" s="31"/>
      <c r="D11" s="31"/>
      <c r="E11" s="31"/>
      <c r="F11" s="31"/>
      <c r="G11" s="31"/>
      <c r="H11" s="31"/>
      <c r="I11" s="31"/>
      <c r="J11" s="31"/>
    </row>
    <row r="12" spans="1:11" ht="30" customHeight="1" x14ac:dyDescent="0.3">
      <c r="A12" s="4" t="s">
        <v>2</v>
      </c>
      <c r="B12" s="4" t="s">
        <v>3</v>
      </c>
      <c r="C12" s="5" t="s">
        <v>4</v>
      </c>
      <c r="D12" s="5" t="s">
        <v>5</v>
      </c>
      <c r="E12" s="4" t="s">
        <v>6</v>
      </c>
      <c r="F12" s="5" t="s">
        <v>17</v>
      </c>
      <c r="G12" s="5" t="s">
        <v>7</v>
      </c>
      <c r="H12" s="4" t="s">
        <v>8</v>
      </c>
      <c r="I12" s="4" t="s">
        <v>9</v>
      </c>
      <c r="J12" s="4" t="s">
        <v>10</v>
      </c>
    </row>
    <row r="13" spans="1:11" ht="19.95" customHeight="1" x14ac:dyDescent="0.3">
      <c r="A13" s="4">
        <v>290925</v>
      </c>
      <c r="B13" s="4">
        <v>304</v>
      </c>
      <c r="C13" s="6">
        <v>0.9</v>
      </c>
      <c r="D13" s="6" t="s">
        <v>22</v>
      </c>
      <c r="E13" s="7" t="s">
        <v>65</v>
      </c>
      <c r="F13" s="4"/>
      <c r="G13" s="4" t="s">
        <v>22</v>
      </c>
      <c r="H13" s="8">
        <v>4000</v>
      </c>
      <c r="I13" s="9">
        <f>820+2000+1230</f>
        <v>4050</v>
      </c>
      <c r="J13" s="8">
        <f t="shared" ref="J13:J17" si="1">H13-I13</f>
        <v>-50</v>
      </c>
    </row>
    <row r="14" spans="1:11" ht="19.95" customHeight="1" x14ac:dyDescent="0.3">
      <c r="A14" s="4">
        <v>290925</v>
      </c>
      <c r="B14" s="4">
        <v>304</v>
      </c>
      <c r="C14" s="6">
        <v>0.8</v>
      </c>
      <c r="D14" s="6" t="s">
        <v>26</v>
      </c>
      <c r="E14" s="7" t="s">
        <v>66</v>
      </c>
      <c r="F14" s="4"/>
      <c r="G14" s="4">
        <v>430</v>
      </c>
      <c r="H14" s="8">
        <v>3000</v>
      </c>
      <c r="I14" s="9">
        <v>770</v>
      </c>
      <c r="J14" s="8">
        <f t="shared" si="1"/>
        <v>2230</v>
      </c>
    </row>
    <row r="15" spans="1:11" ht="19.95" customHeight="1" x14ac:dyDescent="0.3">
      <c r="A15" s="4">
        <v>131025</v>
      </c>
      <c r="B15" s="4">
        <v>304</v>
      </c>
      <c r="C15" s="6">
        <v>0.9</v>
      </c>
      <c r="D15" s="6" t="s">
        <v>22</v>
      </c>
      <c r="E15" s="7" t="s">
        <v>68</v>
      </c>
      <c r="F15" s="4"/>
      <c r="G15" s="4" t="s">
        <v>22</v>
      </c>
      <c r="H15" s="8">
        <v>2550</v>
      </c>
      <c r="I15" s="9"/>
      <c r="J15" s="8">
        <f t="shared" si="1"/>
        <v>2550</v>
      </c>
    </row>
    <row r="16" spans="1:11" ht="19.8" customHeight="1" x14ac:dyDescent="0.3">
      <c r="A16" s="4">
        <v>290925</v>
      </c>
      <c r="B16" s="4">
        <v>304</v>
      </c>
      <c r="C16" s="6">
        <v>0.8</v>
      </c>
      <c r="D16" s="6" t="s">
        <v>22</v>
      </c>
      <c r="E16" s="7" t="s">
        <v>67</v>
      </c>
      <c r="F16" s="4"/>
      <c r="G16" s="4" t="s">
        <v>22</v>
      </c>
      <c r="H16" s="8">
        <v>3000</v>
      </c>
      <c r="I16" s="9"/>
      <c r="J16" s="8">
        <f t="shared" si="1"/>
        <v>3000</v>
      </c>
    </row>
    <row r="17" spans="1:10" ht="19.95" customHeight="1" x14ac:dyDescent="0.3">
      <c r="A17" s="4"/>
      <c r="B17" s="4"/>
      <c r="C17" s="6"/>
      <c r="D17" s="6"/>
      <c r="E17" s="7"/>
      <c r="F17" s="4"/>
      <c r="G17" s="8"/>
      <c r="H17" s="8"/>
      <c r="I17" s="9"/>
      <c r="J17" s="8">
        <f t="shared" si="1"/>
        <v>0</v>
      </c>
    </row>
    <row r="18" spans="1:10" ht="19.95" customHeight="1" x14ac:dyDescent="0.3">
      <c r="A18" s="10"/>
      <c r="B18" s="10"/>
      <c r="C18" s="10"/>
      <c r="D18" s="10"/>
      <c r="E18" s="11"/>
      <c r="F18" s="10"/>
      <c r="G18" s="12"/>
      <c r="H18" s="8">
        <f>SUM(H13:H17)</f>
        <v>12550</v>
      </c>
      <c r="I18" s="9">
        <f>SUM(I13:I17)</f>
        <v>4820</v>
      </c>
      <c r="J18" s="8">
        <f>SUM(J13:J17)</f>
        <v>7730</v>
      </c>
    </row>
    <row r="19" spans="1:10" ht="19.95" customHeight="1" x14ac:dyDescent="0.3">
      <c r="A19" s="16"/>
      <c r="B19" s="16"/>
      <c r="C19" s="16"/>
      <c r="D19" s="16"/>
      <c r="E19" s="17"/>
      <c r="F19" s="16"/>
      <c r="G19" s="16"/>
      <c r="H19" s="18"/>
      <c r="I19" s="19"/>
      <c r="J19" s="18"/>
    </row>
    <row r="20" spans="1:10" ht="30" customHeight="1" x14ac:dyDescent="0.3">
      <c r="A20" s="31" t="s">
        <v>13</v>
      </c>
      <c r="B20" s="31"/>
      <c r="C20" s="31"/>
      <c r="D20" s="31"/>
      <c r="E20" s="31"/>
      <c r="F20" s="31"/>
      <c r="G20" s="31"/>
      <c r="H20" s="31"/>
      <c r="I20" s="31"/>
      <c r="J20" s="31"/>
    </row>
    <row r="21" spans="1:10" ht="30" customHeight="1" x14ac:dyDescent="0.3">
      <c r="A21" s="4" t="s">
        <v>2</v>
      </c>
      <c r="B21" s="4" t="s">
        <v>3</v>
      </c>
      <c r="C21" s="5" t="s">
        <v>4</v>
      </c>
      <c r="D21" s="5" t="s">
        <v>5</v>
      </c>
      <c r="E21" s="4" t="s">
        <v>6</v>
      </c>
      <c r="F21" s="5" t="s">
        <v>17</v>
      </c>
      <c r="G21" s="5" t="s">
        <v>7</v>
      </c>
      <c r="H21" s="4" t="s">
        <v>8</v>
      </c>
      <c r="I21" s="4" t="s">
        <v>9</v>
      </c>
      <c r="J21" s="4" t="s">
        <v>10</v>
      </c>
    </row>
    <row r="22" spans="1:10" ht="19.95" customHeight="1" x14ac:dyDescent="0.3">
      <c r="A22" s="4">
        <v>290925</v>
      </c>
      <c r="B22" s="4">
        <v>304</v>
      </c>
      <c r="C22" s="6">
        <v>0.9</v>
      </c>
      <c r="D22" s="6" t="s">
        <v>22</v>
      </c>
      <c r="E22" s="7" t="s">
        <v>65</v>
      </c>
      <c r="F22" s="4"/>
      <c r="G22" s="4" t="s">
        <v>22</v>
      </c>
      <c r="H22" s="8">
        <v>4000</v>
      </c>
      <c r="I22" s="9">
        <f>250+1500</f>
        <v>1750</v>
      </c>
      <c r="J22" s="8">
        <f t="shared" ref="J22:J26" si="2">H22-I22</f>
        <v>2250</v>
      </c>
    </row>
    <row r="23" spans="1:10" ht="19.95" customHeight="1" x14ac:dyDescent="0.3">
      <c r="A23" s="4">
        <v>290925</v>
      </c>
      <c r="B23" s="4">
        <v>304</v>
      </c>
      <c r="C23" s="6">
        <v>0.8</v>
      </c>
      <c r="D23" s="6" t="s">
        <v>26</v>
      </c>
      <c r="E23" s="7" t="s">
        <v>66</v>
      </c>
      <c r="F23" s="4"/>
      <c r="G23" s="4">
        <v>430</v>
      </c>
      <c r="H23" s="8">
        <v>3000</v>
      </c>
      <c r="I23" s="9"/>
      <c r="J23" s="8">
        <f t="shared" si="2"/>
        <v>3000</v>
      </c>
    </row>
    <row r="24" spans="1:10" ht="19.95" customHeight="1" x14ac:dyDescent="0.3">
      <c r="A24" s="4">
        <v>131025</v>
      </c>
      <c r="B24" s="4">
        <v>304</v>
      </c>
      <c r="C24" s="6">
        <v>0.9</v>
      </c>
      <c r="D24" s="6" t="s">
        <v>22</v>
      </c>
      <c r="E24" s="7" t="s">
        <v>68</v>
      </c>
      <c r="F24" s="4"/>
      <c r="G24" s="4" t="s">
        <v>22</v>
      </c>
      <c r="H24" s="8">
        <v>2550</v>
      </c>
      <c r="I24" s="9"/>
      <c r="J24" s="8">
        <f t="shared" si="2"/>
        <v>2550</v>
      </c>
    </row>
    <row r="25" spans="1:10" ht="19.95" customHeight="1" x14ac:dyDescent="0.3">
      <c r="A25" s="4">
        <v>290925</v>
      </c>
      <c r="B25" s="4">
        <v>304</v>
      </c>
      <c r="C25" s="6">
        <v>0.8</v>
      </c>
      <c r="D25" s="6" t="s">
        <v>22</v>
      </c>
      <c r="E25" s="7" t="s">
        <v>67</v>
      </c>
      <c r="F25" s="4"/>
      <c r="G25" s="4" t="s">
        <v>22</v>
      </c>
      <c r="H25" s="8">
        <v>3000</v>
      </c>
      <c r="I25" s="9"/>
      <c r="J25" s="8">
        <f t="shared" si="2"/>
        <v>3000</v>
      </c>
    </row>
    <row r="26" spans="1:10" ht="19.95" customHeight="1" x14ac:dyDescent="0.3">
      <c r="A26" s="4"/>
      <c r="B26" s="4"/>
      <c r="C26" s="6"/>
      <c r="D26" s="6"/>
      <c r="E26" s="7"/>
      <c r="F26" s="4"/>
      <c r="G26" s="8"/>
      <c r="H26" s="8"/>
      <c r="I26" s="9"/>
      <c r="J26" s="8">
        <f t="shared" si="2"/>
        <v>0</v>
      </c>
    </row>
    <row r="27" spans="1:10" ht="19.95" customHeight="1" x14ac:dyDescent="0.3">
      <c r="A27" s="10"/>
      <c r="B27" s="10"/>
      <c r="C27" s="10"/>
      <c r="D27" s="10"/>
      <c r="E27" s="11"/>
      <c r="F27" s="10"/>
      <c r="G27" s="12"/>
      <c r="H27" s="8">
        <f>SUM(H22:H26)</f>
        <v>12550</v>
      </c>
      <c r="I27" s="9">
        <f>SUM(I22:I26)</f>
        <v>1750</v>
      </c>
      <c r="J27" s="8">
        <f>SUM(J22:J26)</f>
        <v>10800</v>
      </c>
    </row>
    <row r="28" spans="1:10" ht="19.95" customHeight="1" x14ac:dyDescent="0.3">
      <c r="A28" s="16"/>
      <c r="B28" s="16"/>
      <c r="C28" s="16"/>
      <c r="D28" s="16"/>
      <c r="E28" s="17"/>
      <c r="F28" s="16"/>
      <c r="G28" s="16"/>
      <c r="H28" s="18"/>
      <c r="I28" s="19"/>
      <c r="J28" s="18"/>
    </row>
    <row r="29" spans="1:10" ht="30" customHeight="1" x14ac:dyDescent="0.3">
      <c r="A29" s="31" t="s">
        <v>14</v>
      </c>
      <c r="B29" s="31"/>
      <c r="C29" s="31"/>
      <c r="D29" s="31"/>
      <c r="E29" s="31"/>
      <c r="F29" s="31"/>
      <c r="G29" s="31"/>
      <c r="H29" s="31"/>
      <c r="I29" s="31"/>
      <c r="J29" s="31"/>
    </row>
    <row r="30" spans="1:10" ht="30" customHeight="1" x14ac:dyDescent="0.3">
      <c r="A30" s="4" t="s">
        <v>2</v>
      </c>
      <c r="B30" s="4" t="s">
        <v>3</v>
      </c>
      <c r="C30" s="5" t="s">
        <v>4</v>
      </c>
      <c r="D30" s="5" t="s">
        <v>5</v>
      </c>
      <c r="E30" s="4" t="s">
        <v>6</v>
      </c>
      <c r="F30" s="5" t="s">
        <v>17</v>
      </c>
      <c r="G30" s="5" t="s">
        <v>7</v>
      </c>
      <c r="H30" s="4" t="s">
        <v>8</v>
      </c>
      <c r="I30" s="4" t="s">
        <v>9</v>
      </c>
      <c r="J30" s="4" t="s">
        <v>10</v>
      </c>
    </row>
    <row r="31" spans="1:10" ht="19.95" customHeight="1" x14ac:dyDescent="0.3">
      <c r="A31" s="4">
        <v>290925</v>
      </c>
      <c r="B31" s="4">
        <v>304</v>
      </c>
      <c r="C31" s="6">
        <v>0.9</v>
      </c>
      <c r="D31" s="6" t="s">
        <v>26</v>
      </c>
      <c r="E31" s="7" t="s">
        <v>64</v>
      </c>
      <c r="F31" s="4"/>
      <c r="G31" s="4">
        <v>430</v>
      </c>
      <c r="H31" s="8">
        <v>4000</v>
      </c>
      <c r="I31" s="9">
        <f>940+1850+1140</f>
        <v>3930</v>
      </c>
      <c r="J31" s="8">
        <f t="shared" ref="J31:J36" si="3">H31-I31</f>
        <v>70</v>
      </c>
    </row>
    <row r="32" spans="1:10" ht="19.95" customHeight="1" x14ac:dyDescent="0.3">
      <c r="A32" s="4">
        <v>290925</v>
      </c>
      <c r="B32" s="4">
        <v>304</v>
      </c>
      <c r="C32" s="6">
        <v>0.9</v>
      </c>
      <c r="D32" s="6" t="s">
        <v>22</v>
      </c>
      <c r="E32" s="7" t="s">
        <v>65</v>
      </c>
      <c r="F32" s="4"/>
      <c r="G32" s="4" t="s">
        <v>22</v>
      </c>
      <c r="H32" s="8">
        <v>4000</v>
      </c>
      <c r="I32" s="9">
        <f>1110</f>
        <v>1110</v>
      </c>
      <c r="J32" s="8">
        <f>H32-I32</f>
        <v>2890</v>
      </c>
    </row>
    <row r="33" spans="1:10" ht="19.95" customHeight="1" x14ac:dyDescent="0.3">
      <c r="A33" s="4">
        <v>290925</v>
      </c>
      <c r="B33" s="4">
        <v>304</v>
      </c>
      <c r="C33" s="6">
        <v>0.8</v>
      </c>
      <c r="D33" s="6" t="s">
        <v>26</v>
      </c>
      <c r="E33" s="7" t="s">
        <v>66</v>
      </c>
      <c r="F33" s="4"/>
      <c r="G33" s="4">
        <v>430</v>
      </c>
      <c r="H33" s="8">
        <v>3000</v>
      </c>
      <c r="I33" s="9"/>
      <c r="J33" s="8">
        <f>H33-I33</f>
        <v>3000</v>
      </c>
    </row>
    <row r="34" spans="1:10" ht="19.95" customHeight="1" x14ac:dyDescent="0.3">
      <c r="A34" s="4">
        <v>131025</v>
      </c>
      <c r="B34" s="4">
        <v>304</v>
      </c>
      <c r="C34" s="6">
        <v>0.9</v>
      </c>
      <c r="D34" s="6" t="s">
        <v>22</v>
      </c>
      <c r="E34" s="7" t="s">
        <v>68</v>
      </c>
      <c r="F34" s="4"/>
      <c r="G34" s="4" t="s">
        <v>22</v>
      </c>
      <c r="H34" s="8">
        <v>2550</v>
      </c>
      <c r="I34" s="9"/>
      <c r="J34" s="8">
        <f>H34-I34</f>
        <v>2550</v>
      </c>
    </row>
    <row r="35" spans="1:10" ht="19.95" customHeight="1" x14ac:dyDescent="0.3">
      <c r="A35" s="4">
        <v>290925</v>
      </c>
      <c r="B35" s="4">
        <v>304</v>
      </c>
      <c r="C35" s="6">
        <v>0.8</v>
      </c>
      <c r="D35" s="6" t="s">
        <v>22</v>
      </c>
      <c r="E35" s="7" t="s">
        <v>67</v>
      </c>
      <c r="F35" s="4"/>
      <c r="G35" s="4" t="s">
        <v>22</v>
      </c>
      <c r="H35" s="8">
        <v>3000</v>
      </c>
      <c r="I35" s="9"/>
      <c r="J35" s="8">
        <f>H35-I35</f>
        <v>3000</v>
      </c>
    </row>
    <row r="36" spans="1:10" ht="19.95" customHeight="1" x14ac:dyDescent="0.3">
      <c r="A36" s="4"/>
      <c r="B36" s="4"/>
      <c r="C36" s="6"/>
      <c r="D36" s="6"/>
      <c r="E36" s="7"/>
      <c r="F36" s="4"/>
      <c r="G36" s="4"/>
      <c r="H36" s="8"/>
      <c r="I36" s="9"/>
      <c r="J36" s="8">
        <f t="shared" si="3"/>
        <v>0</v>
      </c>
    </row>
    <row r="37" spans="1:10" ht="19.95" customHeight="1" x14ac:dyDescent="0.3">
      <c r="A37" s="10"/>
      <c r="B37" s="10"/>
      <c r="C37" s="10"/>
      <c r="D37" s="10"/>
      <c r="E37" s="11"/>
      <c r="F37" s="10"/>
      <c r="G37" s="12"/>
      <c r="H37" s="8">
        <f>SUM(H31:H36)</f>
        <v>16550</v>
      </c>
      <c r="I37" s="9">
        <f>SUM(I31:I36)</f>
        <v>5040</v>
      </c>
      <c r="J37" s="8">
        <f>SUM(J31:J36)</f>
        <v>11510</v>
      </c>
    </row>
    <row r="38" spans="1:10" ht="19.95" customHeight="1" x14ac:dyDescent="0.3">
      <c r="A38" s="16"/>
      <c r="B38" s="16"/>
      <c r="C38" s="16"/>
      <c r="D38" s="16"/>
      <c r="E38" s="17"/>
      <c r="F38" s="16"/>
      <c r="G38" s="16"/>
      <c r="H38" s="18"/>
      <c r="I38" s="19"/>
      <c r="J38" s="18"/>
    </row>
    <row r="39" spans="1:10" ht="30" customHeight="1" x14ac:dyDescent="0.3">
      <c r="A39" s="31" t="s">
        <v>16</v>
      </c>
      <c r="B39" s="31"/>
      <c r="C39" s="31"/>
      <c r="D39" s="31"/>
      <c r="E39" s="31"/>
      <c r="F39" s="31"/>
      <c r="G39" s="31"/>
      <c r="H39" s="31"/>
      <c r="I39" s="31"/>
      <c r="J39" s="31"/>
    </row>
    <row r="40" spans="1:10" ht="30" customHeight="1" x14ac:dyDescent="0.3">
      <c r="A40" s="4" t="s">
        <v>2</v>
      </c>
      <c r="B40" s="4" t="s">
        <v>3</v>
      </c>
      <c r="C40" s="5" t="s">
        <v>4</v>
      </c>
      <c r="D40" s="5" t="s">
        <v>5</v>
      </c>
      <c r="E40" s="4" t="s">
        <v>6</v>
      </c>
      <c r="F40" s="5" t="s">
        <v>18</v>
      </c>
      <c r="G40" s="5" t="s">
        <v>7</v>
      </c>
      <c r="H40" s="4" t="s">
        <v>8</v>
      </c>
      <c r="I40" s="4" t="s">
        <v>9</v>
      </c>
      <c r="J40" s="4" t="s">
        <v>10</v>
      </c>
    </row>
    <row r="41" spans="1:10" ht="19.95" customHeight="1" x14ac:dyDescent="0.3">
      <c r="A41" s="4"/>
      <c r="B41" s="4"/>
      <c r="C41" s="6"/>
      <c r="D41" s="6"/>
      <c r="E41" s="7"/>
      <c r="F41" s="4"/>
      <c r="G41" s="4"/>
      <c r="H41" s="8"/>
      <c r="I41" s="9"/>
      <c r="J41" s="8">
        <f t="shared" ref="J41:J46" si="4">H41-I41</f>
        <v>0</v>
      </c>
    </row>
    <row r="42" spans="1:10" ht="19.95" customHeight="1" x14ac:dyDescent="0.3">
      <c r="A42" s="4"/>
      <c r="B42" s="4"/>
      <c r="C42" s="6"/>
      <c r="D42" s="6"/>
      <c r="E42" s="7"/>
      <c r="F42" s="4"/>
      <c r="G42" s="4"/>
      <c r="H42" s="8"/>
      <c r="I42" s="9"/>
      <c r="J42" s="8">
        <f t="shared" si="4"/>
        <v>0</v>
      </c>
    </row>
    <row r="43" spans="1:10" ht="19.95" customHeight="1" x14ac:dyDescent="0.3">
      <c r="A43" s="4"/>
      <c r="B43" s="4"/>
      <c r="C43" s="6"/>
      <c r="D43" s="6"/>
      <c r="E43" s="7"/>
      <c r="F43" s="4"/>
      <c r="G43" s="4"/>
      <c r="H43" s="8"/>
      <c r="I43" s="9"/>
      <c r="J43" s="8">
        <f t="shared" si="4"/>
        <v>0</v>
      </c>
    </row>
    <row r="44" spans="1:10" ht="19.95" customHeight="1" x14ac:dyDescent="0.3">
      <c r="A44" s="4"/>
      <c r="B44" s="4"/>
      <c r="C44" s="6"/>
      <c r="D44" s="6"/>
      <c r="E44" s="7"/>
      <c r="F44" s="4"/>
      <c r="G44" s="8"/>
      <c r="H44" s="8"/>
      <c r="I44" s="9"/>
      <c r="J44" s="8">
        <f t="shared" si="4"/>
        <v>0</v>
      </c>
    </row>
    <row r="45" spans="1:10" ht="19.95" customHeight="1" x14ac:dyDescent="0.3">
      <c r="A45" s="4"/>
      <c r="B45" s="4"/>
      <c r="C45" s="6"/>
      <c r="D45" s="6"/>
      <c r="E45" s="7"/>
      <c r="F45" s="4"/>
      <c r="G45" s="4"/>
      <c r="H45" s="8"/>
      <c r="I45" s="9"/>
      <c r="J45" s="8">
        <f t="shared" si="4"/>
        <v>0</v>
      </c>
    </row>
    <row r="46" spans="1:10" ht="19.95" customHeight="1" x14ac:dyDescent="0.3">
      <c r="A46" s="4"/>
      <c r="B46" s="4"/>
      <c r="C46" s="6"/>
      <c r="D46" s="6"/>
      <c r="E46" s="7"/>
      <c r="F46" s="4"/>
      <c r="G46" s="4"/>
      <c r="H46" s="8"/>
      <c r="I46" s="9"/>
      <c r="J46" s="8">
        <f t="shared" si="4"/>
        <v>0</v>
      </c>
    </row>
    <row r="47" spans="1:10" ht="19.95" customHeight="1" x14ac:dyDescent="0.3">
      <c r="A47" s="10"/>
      <c r="B47" s="10"/>
      <c r="C47" s="10"/>
      <c r="D47" s="10"/>
      <c r="E47" s="11"/>
      <c r="F47" s="10"/>
      <c r="G47" s="12"/>
      <c r="H47" s="8">
        <f>SUM(H41:H46)</f>
        <v>0</v>
      </c>
      <c r="I47" s="9">
        <f>SUM(I41:I46)</f>
        <v>0</v>
      </c>
      <c r="J47" s="8">
        <f>SUM(J41:J46)</f>
        <v>0</v>
      </c>
    </row>
    <row r="48" spans="1:10" ht="19.95" customHeight="1" x14ac:dyDescent="0.3">
      <c r="A48" s="16"/>
      <c r="B48" s="16"/>
      <c r="C48" s="16"/>
      <c r="D48" s="16"/>
      <c r="E48" s="17"/>
      <c r="F48" s="16"/>
      <c r="G48" s="16"/>
      <c r="H48" s="18"/>
      <c r="I48" s="19"/>
      <c r="J48" s="18"/>
    </row>
    <row r="50" spans="1:10" ht="23.4" x14ac:dyDescent="0.3">
      <c r="A50" s="31" t="s">
        <v>11</v>
      </c>
      <c r="B50" s="31"/>
      <c r="C50" s="31"/>
      <c r="D50" s="31"/>
      <c r="E50" s="31"/>
      <c r="F50" s="31"/>
      <c r="G50" s="31"/>
      <c r="H50" s="31"/>
      <c r="I50" s="31"/>
      <c r="J50" s="31"/>
    </row>
  </sheetData>
  <mergeCells count="8">
    <mergeCell ref="A39:J39"/>
    <mergeCell ref="A50:J50"/>
    <mergeCell ref="I1:J1"/>
    <mergeCell ref="A2:J2"/>
    <mergeCell ref="A3:J3"/>
    <mergeCell ref="A11:J11"/>
    <mergeCell ref="A20:J20"/>
    <mergeCell ref="A29:J29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65" orientation="landscape" horizontalDpi="1200" verticalDpi="12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zoomScale="75" zoomScaleNormal="75" workbookViewId="0">
      <selection activeCell="M3" sqref="M3"/>
    </sheetView>
  </sheetViews>
  <sheetFormatPr defaultRowHeight="14.4" x14ac:dyDescent="0.3"/>
  <cols>
    <col min="1" max="1" width="15.6640625" style="24" customWidth="1"/>
    <col min="2" max="3" width="12.6640625" style="24" customWidth="1"/>
    <col min="4" max="4" width="15.6640625" style="24" customWidth="1"/>
    <col min="5" max="5" width="80.6640625" style="24" customWidth="1"/>
    <col min="6" max="6" width="22.77734375" style="15" bestFit="1" customWidth="1"/>
    <col min="7" max="7" width="12.33203125" style="24" customWidth="1"/>
    <col min="8" max="10" width="15.6640625" style="24" customWidth="1"/>
    <col min="11" max="16384" width="8.88671875" style="24"/>
  </cols>
  <sheetData>
    <row r="1" spans="1:11" s="1" customFormat="1" ht="30" customHeight="1" x14ac:dyDescent="0.3">
      <c r="F1" s="2"/>
      <c r="G1" s="2"/>
      <c r="H1" s="3" t="s">
        <v>0</v>
      </c>
      <c r="I1" s="27">
        <v>45952</v>
      </c>
      <c r="J1" s="27"/>
    </row>
    <row r="2" spans="1:11" ht="40.049999999999997" customHeight="1" x14ac:dyDescent="0.3">
      <c r="A2" s="28" t="s">
        <v>36</v>
      </c>
      <c r="B2" s="29"/>
      <c r="C2" s="29"/>
      <c r="D2" s="29"/>
      <c r="E2" s="29"/>
      <c r="F2" s="29"/>
      <c r="G2" s="29"/>
      <c r="H2" s="29"/>
      <c r="I2" s="29"/>
      <c r="J2" s="30"/>
    </row>
    <row r="3" spans="1:11" ht="30" customHeight="1" x14ac:dyDescent="0.3">
      <c r="A3" s="31" t="s">
        <v>12</v>
      </c>
      <c r="B3" s="31"/>
      <c r="C3" s="31"/>
      <c r="D3" s="31"/>
      <c r="E3" s="31"/>
      <c r="F3" s="31"/>
      <c r="G3" s="31"/>
      <c r="H3" s="31"/>
      <c r="I3" s="31"/>
      <c r="J3" s="31"/>
    </row>
    <row r="4" spans="1:11" ht="30" customHeight="1" x14ac:dyDescent="0.3">
      <c r="A4" s="4" t="s">
        <v>2</v>
      </c>
      <c r="B4" s="4" t="s">
        <v>3</v>
      </c>
      <c r="C4" s="5" t="s">
        <v>4</v>
      </c>
      <c r="D4" s="5" t="s">
        <v>5</v>
      </c>
      <c r="E4" s="4" t="s">
        <v>6</v>
      </c>
      <c r="F4" s="5" t="s">
        <v>17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1" ht="19.95" customHeight="1" x14ac:dyDescent="0.3">
      <c r="A5" s="4">
        <v>290925</v>
      </c>
      <c r="B5" s="4">
        <v>304</v>
      </c>
      <c r="C5" s="6">
        <v>0.8</v>
      </c>
      <c r="D5" s="6" t="s">
        <v>26</v>
      </c>
      <c r="E5" s="7" t="s">
        <v>66</v>
      </c>
      <c r="F5" s="4"/>
      <c r="G5" s="4">
        <v>430</v>
      </c>
      <c r="H5" s="8">
        <v>3000</v>
      </c>
      <c r="I5" s="9">
        <f>1280+1840</f>
        <v>3120</v>
      </c>
      <c r="J5" s="22">
        <f t="shared" ref="J5:J8" si="0">H5-I5</f>
        <v>-120</v>
      </c>
      <c r="K5" s="20"/>
    </row>
    <row r="6" spans="1:11" ht="19.95" customHeight="1" x14ac:dyDescent="0.3">
      <c r="A6" s="4">
        <v>131025</v>
      </c>
      <c r="B6" s="4">
        <v>304</v>
      </c>
      <c r="C6" s="6">
        <v>0.9</v>
      </c>
      <c r="D6" s="6" t="s">
        <v>22</v>
      </c>
      <c r="E6" s="7" t="s">
        <v>68</v>
      </c>
      <c r="F6" s="4"/>
      <c r="G6" s="4" t="s">
        <v>22</v>
      </c>
      <c r="H6" s="8">
        <v>2550</v>
      </c>
      <c r="I6" s="9">
        <v>410</v>
      </c>
      <c r="J6" s="22">
        <f t="shared" si="0"/>
        <v>2140</v>
      </c>
      <c r="K6" s="20"/>
    </row>
    <row r="7" spans="1:11" ht="19.95" customHeight="1" x14ac:dyDescent="0.3">
      <c r="A7" s="4">
        <v>290925</v>
      </c>
      <c r="B7" s="4">
        <v>304</v>
      </c>
      <c r="C7" s="6">
        <v>0.8</v>
      </c>
      <c r="D7" s="6" t="s">
        <v>22</v>
      </c>
      <c r="E7" s="7" t="s">
        <v>67</v>
      </c>
      <c r="F7" s="4"/>
      <c r="G7" s="4" t="s">
        <v>22</v>
      </c>
      <c r="H7" s="8">
        <v>3000</v>
      </c>
      <c r="I7" s="9"/>
      <c r="J7" s="8">
        <f t="shared" si="0"/>
        <v>3000</v>
      </c>
    </row>
    <row r="8" spans="1:11" ht="19.95" customHeight="1" x14ac:dyDescent="0.3">
      <c r="A8" s="4"/>
      <c r="B8" s="4"/>
      <c r="C8" s="6"/>
      <c r="D8" s="6"/>
      <c r="E8" s="7"/>
      <c r="F8" s="4"/>
      <c r="G8" s="4"/>
      <c r="H8" s="8"/>
      <c r="I8" s="9"/>
      <c r="J8" s="8">
        <f t="shared" si="0"/>
        <v>0</v>
      </c>
    </row>
    <row r="9" spans="1:11" ht="19.95" customHeight="1" x14ac:dyDescent="0.3">
      <c r="A9" s="10"/>
      <c r="B9" s="10"/>
      <c r="C9" s="10"/>
      <c r="D9" s="10"/>
      <c r="E9" s="11"/>
      <c r="F9" s="10"/>
      <c r="G9" s="12"/>
      <c r="H9" s="13">
        <f>SUM(H5:H8)</f>
        <v>8550</v>
      </c>
      <c r="I9" s="14">
        <f>SUM(I5:I8)</f>
        <v>3530</v>
      </c>
      <c r="J9" s="8">
        <f>SUM(J5:J8)</f>
        <v>5020</v>
      </c>
    </row>
    <row r="11" spans="1:11" ht="30" customHeight="1" x14ac:dyDescent="0.3">
      <c r="A11" s="31" t="s">
        <v>15</v>
      </c>
      <c r="B11" s="31"/>
      <c r="C11" s="31"/>
      <c r="D11" s="31"/>
      <c r="E11" s="31"/>
      <c r="F11" s="31"/>
      <c r="G11" s="31"/>
      <c r="H11" s="31"/>
      <c r="I11" s="31"/>
      <c r="J11" s="31"/>
    </row>
    <row r="12" spans="1:11" ht="30" customHeight="1" x14ac:dyDescent="0.3">
      <c r="A12" s="4" t="s">
        <v>2</v>
      </c>
      <c r="B12" s="4" t="s">
        <v>3</v>
      </c>
      <c r="C12" s="5" t="s">
        <v>4</v>
      </c>
      <c r="D12" s="5" t="s">
        <v>5</v>
      </c>
      <c r="E12" s="4" t="s">
        <v>6</v>
      </c>
      <c r="F12" s="5" t="s">
        <v>17</v>
      </c>
      <c r="G12" s="5" t="s">
        <v>7</v>
      </c>
      <c r="H12" s="4" t="s">
        <v>8</v>
      </c>
      <c r="I12" s="4" t="s">
        <v>9</v>
      </c>
      <c r="J12" s="4" t="s">
        <v>10</v>
      </c>
    </row>
    <row r="13" spans="1:11" ht="19.95" customHeight="1" x14ac:dyDescent="0.3">
      <c r="A13" s="4">
        <v>290925</v>
      </c>
      <c r="B13" s="4">
        <v>304</v>
      </c>
      <c r="C13" s="6">
        <v>0.8</v>
      </c>
      <c r="D13" s="6" t="s">
        <v>26</v>
      </c>
      <c r="E13" s="7" t="s">
        <v>66</v>
      </c>
      <c r="F13" s="4"/>
      <c r="G13" s="4">
        <v>430</v>
      </c>
      <c r="H13" s="8">
        <v>3000</v>
      </c>
      <c r="I13" s="9">
        <f>770+2000</f>
        <v>2770</v>
      </c>
      <c r="J13" s="8">
        <f t="shared" ref="J13:J16" si="1">H13-I13</f>
        <v>230</v>
      </c>
    </row>
    <row r="14" spans="1:11" ht="19.95" customHeight="1" x14ac:dyDescent="0.3">
      <c r="A14" s="4">
        <v>131025</v>
      </c>
      <c r="B14" s="4">
        <v>304</v>
      </c>
      <c r="C14" s="6">
        <v>0.9</v>
      </c>
      <c r="D14" s="6" t="s">
        <v>22</v>
      </c>
      <c r="E14" s="7" t="s">
        <v>68</v>
      </c>
      <c r="F14" s="4"/>
      <c r="G14" s="4" t="s">
        <v>22</v>
      </c>
      <c r="H14" s="8">
        <v>2550</v>
      </c>
      <c r="I14" s="9"/>
      <c r="J14" s="8">
        <f t="shared" si="1"/>
        <v>2550</v>
      </c>
    </row>
    <row r="15" spans="1:11" ht="19.95" customHeight="1" x14ac:dyDescent="0.3">
      <c r="A15" s="4">
        <v>290925</v>
      </c>
      <c r="B15" s="4">
        <v>304</v>
      </c>
      <c r="C15" s="6">
        <v>0.8</v>
      </c>
      <c r="D15" s="6" t="s">
        <v>22</v>
      </c>
      <c r="E15" s="7" t="s">
        <v>67</v>
      </c>
      <c r="F15" s="4"/>
      <c r="G15" s="4" t="s">
        <v>22</v>
      </c>
      <c r="H15" s="8">
        <v>3000</v>
      </c>
      <c r="I15" s="9"/>
      <c r="J15" s="8">
        <f t="shared" si="1"/>
        <v>3000</v>
      </c>
    </row>
    <row r="16" spans="1:11" ht="19.95" customHeight="1" x14ac:dyDescent="0.3">
      <c r="A16" s="4"/>
      <c r="B16" s="4"/>
      <c r="C16" s="6"/>
      <c r="D16" s="6"/>
      <c r="E16" s="7"/>
      <c r="F16" s="4"/>
      <c r="G16" s="8"/>
      <c r="H16" s="8"/>
      <c r="I16" s="9"/>
      <c r="J16" s="8">
        <f t="shared" si="1"/>
        <v>0</v>
      </c>
    </row>
    <row r="17" spans="1:10" ht="19.95" customHeight="1" x14ac:dyDescent="0.3">
      <c r="A17" s="10"/>
      <c r="B17" s="10"/>
      <c r="C17" s="10"/>
      <c r="D17" s="10"/>
      <c r="E17" s="11"/>
      <c r="F17" s="10"/>
      <c r="G17" s="12"/>
      <c r="H17" s="8">
        <f>SUM(H13:H16)</f>
        <v>8550</v>
      </c>
      <c r="I17" s="9">
        <f>SUM(I13:I16)</f>
        <v>2770</v>
      </c>
      <c r="J17" s="8">
        <f>SUM(J13:J16)</f>
        <v>5780</v>
      </c>
    </row>
    <row r="18" spans="1:10" ht="19.95" customHeight="1" x14ac:dyDescent="0.3">
      <c r="A18" s="16"/>
      <c r="B18" s="16"/>
      <c r="C18" s="16"/>
      <c r="D18" s="16"/>
      <c r="E18" s="17"/>
      <c r="F18" s="16"/>
      <c r="G18" s="16"/>
      <c r="H18" s="18"/>
      <c r="I18" s="19"/>
      <c r="J18" s="18"/>
    </row>
    <row r="19" spans="1:10" ht="30" customHeight="1" x14ac:dyDescent="0.3">
      <c r="A19" s="31" t="s">
        <v>13</v>
      </c>
      <c r="B19" s="31"/>
      <c r="C19" s="31"/>
      <c r="D19" s="31"/>
      <c r="E19" s="31"/>
      <c r="F19" s="31"/>
      <c r="G19" s="31"/>
      <c r="H19" s="31"/>
      <c r="I19" s="31"/>
      <c r="J19" s="31"/>
    </row>
    <row r="20" spans="1:10" ht="30" customHeight="1" x14ac:dyDescent="0.3">
      <c r="A20" s="4" t="s">
        <v>2</v>
      </c>
      <c r="B20" s="4" t="s">
        <v>3</v>
      </c>
      <c r="C20" s="5" t="s">
        <v>4</v>
      </c>
      <c r="D20" s="5" t="s">
        <v>5</v>
      </c>
      <c r="E20" s="4" t="s">
        <v>6</v>
      </c>
      <c r="F20" s="5" t="s">
        <v>17</v>
      </c>
      <c r="G20" s="5" t="s">
        <v>7</v>
      </c>
      <c r="H20" s="4" t="s">
        <v>8</v>
      </c>
      <c r="I20" s="4" t="s">
        <v>9</v>
      </c>
      <c r="J20" s="4" t="s">
        <v>10</v>
      </c>
    </row>
    <row r="21" spans="1:10" ht="19.95" customHeight="1" x14ac:dyDescent="0.3">
      <c r="A21" s="4">
        <v>290925</v>
      </c>
      <c r="B21" s="4">
        <v>304</v>
      </c>
      <c r="C21" s="6">
        <v>0.9</v>
      </c>
      <c r="D21" s="6" t="s">
        <v>22</v>
      </c>
      <c r="E21" s="7" t="s">
        <v>65</v>
      </c>
      <c r="F21" s="4"/>
      <c r="G21" s="4" t="s">
        <v>22</v>
      </c>
      <c r="H21" s="8">
        <v>4000</v>
      </c>
      <c r="I21" s="9">
        <f>250+1500+1700</f>
        <v>3450</v>
      </c>
      <c r="J21" s="8">
        <f t="shared" ref="J21:J25" si="2">H21-I21</f>
        <v>550</v>
      </c>
    </row>
    <row r="22" spans="1:10" ht="19.95" customHeight="1" x14ac:dyDescent="0.3">
      <c r="A22" s="4">
        <v>290925</v>
      </c>
      <c r="B22" s="4">
        <v>304</v>
      </c>
      <c r="C22" s="6">
        <v>0.8</v>
      </c>
      <c r="D22" s="6" t="s">
        <v>26</v>
      </c>
      <c r="E22" s="7" t="s">
        <v>66</v>
      </c>
      <c r="F22" s="4"/>
      <c r="G22" s="4">
        <v>430</v>
      </c>
      <c r="H22" s="8">
        <v>3000</v>
      </c>
      <c r="I22" s="9"/>
      <c r="J22" s="8">
        <f t="shared" si="2"/>
        <v>3000</v>
      </c>
    </row>
    <row r="23" spans="1:10" ht="19.95" customHeight="1" x14ac:dyDescent="0.3">
      <c r="A23" s="4">
        <v>131025</v>
      </c>
      <c r="B23" s="4">
        <v>304</v>
      </c>
      <c r="C23" s="6">
        <v>0.9</v>
      </c>
      <c r="D23" s="6" t="s">
        <v>22</v>
      </c>
      <c r="E23" s="7" t="s">
        <v>68</v>
      </c>
      <c r="F23" s="4"/>
      <c r="G23" s="4" t="s">
        <v>22</v>
      </c>
      <c r="H23" s="8">
        <v>2550</v>
      </c>
      <c r="I23" s="9"/>
      <c r="J23" s="8">
        <f t="shared" si="2"/>
        <v>2550</v>
      </c>
    </row>
    <row r="24" spans="1:10" ht="19.95" customHeight="1" x14ac:dyDescent="0.3">
      <c r="A24" s="4">
        <v>290925</v>
      </c>
      <c r="B24" s="4">
        <v>304</v>
      </c>
      <c r="C24" s="6">
        <v>0.8</v>
      </c>
      <c r="D24" s="6" t="s">
        <v>22</v>
      </c>
      <c r="E24" s="7" t="s">
        <v>67</v>
      </c>
      <c r="F24" s="4"/>
      <c r="G24" s="4" t="s">
        <v>22</v>
      </c>
      <c r="H24" s="8">
        <v>3000</v>
      </c>
      <c r="I24" s="9"/>
      <c r="J24" s="8">
        <f t="shared" si="2"/>
        <v>3000</v>
      </c>
    </row>
    <row r="25" spans="1:10" ht="19.95" customHeight="1" x14ac:dyDescent="0.3">
      <c r="A25" s="4"/>
      <c r="B25" s="4"/>
      <c r="C25" s="6"/>
      <c r="D25" s="6"/>
      <c r="E25" s="7"/>
      <c r="F25" s="4"/>
      <c r="G25" s="8"/>
      <c r="H25" s="8"/>
      <c r="I25" s="9"/>
      <c r="J25" s="8">
        <f t="shared" si="2"/>
        <v>0</v>
      </c>
    </row>
    <row r="26" spans="1:10" ht="19.95" customHeight="1" x14ac:dyDescent="0.3">
      <c r="A26" s="10"/>
      <c r="B26" s="10"/>
      <c r="C26" s="10"/>
      <c r="D26" s="10"/>
      <c r="E26" s="11"/>
      <c r="F26" s="10"/>
      <c r="G26" s="12"/>
      <c r="H26" s="8">
        <f>SUM(H21:H25)</f>
        <v>12550</v>
      </c>
      <c r="I26" s="9">
        <f>SUM(I21:I25)</f>
        <v>3450</v>
      </c>
      <c r="J26" s="8">
        <f>SUM(J21:J25)</f>
        <v>9100</v>
      </c>
    </row>
    <row r="27" spans="1:10" ht="19.95" customHeight="1" x14ac:dyDescent="0.3">
      <c r="A27" s="16"/>
      <c r="B27" s="16"/>
      <c r="C27" s="16"/>
      <c r="D27" s="16"/>
      <c r="E27" s="17"/>
      <c r="F27" s="16"/>
      <c r="G27" s="16"/>
      <c r="H27" s="18"/>
      <c r="I27" s="19"/>
      <c r="J27" s="18"/>
    </row>
    <row r="28" spans="1:10" ht="30" customHeight="1" x14ac:dyDescent="0.3">
      <c r="A28" s="31" t="s">
        <v>14</v>
      </c>
      <c r="B28" s="31"/>
      <c r="C28" s="31"/>
      <c r="D28" s="31"/>
      <c r="E28" s="31"/>
      <c r="F28" s="31"/>
      <c r="G28" s="31"/>
      <c r="H28" s="31"/>
      <c r="I28" s="31"/>
      <c r="J28" s="31"/>
    </row>
    <row r="29" spans="1:10" ht="30" customHeight="1" x14ac:dyDescent="0.3">
      <c r="A29" s="4" t="s">
        <v>2</v>
      </c>
      <c r="B29" s="4" t="s">
        <v>3</v>
      </c>
      <c r="C29" s="5" t="s">
        <v>4</v>
      </c>
      <c r="D29" s="5" t="s">
        <v>5</v>
      </c>
      <c r="E29" s="4" t="s">
        <v>6</v>
      </c>
      <c r="F29" s="5" t="s">
        <v>17</v>
      </c>
      <c r="G29" s="5" t="s">
        <v>7</v>
      </c>
      <c r="H29" s="4" t="s">
        <v>8</v>
      </c>
      <c r="I29" s="4" t="s">
        <v>9</v>
      </c>
      <c r="J29" s="4" t="s">
        <v>10</v>
      </c>
    </row>
    <row r="30" spans="1:10" ht="19.95" customHeight="1" x14ac:dyDescent="0.3">
      <c r="A30" s="4">
        <v>290925</v>
      </c>
      <c r="B30" s="4">
        <v>304</v>
      </c>
      <c r="C30" s="6">
        <v>0.9</v>
      </c>
      <c r="D30" s="6" t="s">
        <v>22</v>
      </c>
      <c r="E30" s="7" t="s">
        <v>65</v>
      </c>
      <c r="F30" s="4"/>
      <c r="G30" s="4" t="s">
        <v>22</v>
      </c>
      <c r="H30" s="8">
        <v>4000</v>
      </c>
      <c r="I30" s="9">
        <f>1110+2300</f>
        <v>3410</v>
      </c>
      <c r="J30" s="8">
        <f t="shared" ref="J30:J34" si="3">H30-I30</f>
        <v>590</v>
      </c>
    </row>
    <row r="31" spans="1:10" ht="19.95" customHeight="1" x14ac:dyDescent="0.3">
      <c r="A31" s="4">
        <v>290925</v>
      </c>
      <c r="B31" s="4">
        <v>304</v>
      </c>
      <c r="C31" s="6">
        <v>0.8</v>
      </c>
      <c r="D31" s="6" t="s">
        <v>26</v>
      </c>
      <c r="E31" s="7" t="s">
        <v>66</v>
      </c>
      <c r="F31" s="4"/>
      <c r="G31" s="4">
        <v>430</v>
      </c>
      <c r="H31" s="8">
        <v>3000</v>
      </c>
      <c r="I31" s="9"/>
      <c r="J31" s="8">
        <f>H31-I31</f>
        <v>3000</v>
      </c>
    </row>
    <row r="32" spans="1:10" ht="19.95" customHeight="1" x14ac:dyDescent="0.3">
      <c r="A32" s="4">
        <v>131025</v>
      </c>
      <c r="B32" s="4">
        <v>304</v>
      </c>
      <c r="C32" s="6">
        <v>0.9</v>
      </c>
      <c r="D32" s="6" t="s">
        <v>22</v>
      </c>
      <c r="E32" s="7" t="s">
        <v>68</v>
      </c>
      <c r="F32" s="4"/>
      <c r="G32" s="4" t="s">
        <v>22</v>
      </c>
      <c r="H32" s="8">
        <v>2550</v>
      </c>
      <c r="I32" s="9"/>
      <c r="J32" s="8">
        <f>H32-I32</f>
        <v>2550</v>
      </c>
    </row>
    <row r="33" spans="1:10" ht="19.95" customHeight="1" x14ac:dyDescent="0.3">
      <c r="A33" s="4">
        <v>290925</v>
      </c>
      <c r="B33" s="4">
        <v>304</v>
      </c>
      <c r="C33" s="6">
        <v>0.8</v>
      </c>
      <c r="D33" s="6" t="s">
        <v>22</v>
      </c>
      <c r="E33" s="7" t="s">
        <v>67</v>
      </c>
      <c r="F33" s="4"/>
      <c r="G33" s="4" t="s">
        <v>22</v>
      </c>
      <c r="H33" s="8">
        <v>3000</v>
      </c>
      <c r="I33" s="9"/>
      <c r="J33" s="8">
        <f>H33-I33</f>
        <v>3000</v>
      </c>
    </row>
    <row r="34" spans="1:10" ht="19.95" customHeight="1" x14ac:dyDescent="0.3">
      <c r="A34" s="4"/>
      <c r="B34" s="4"/>
      <c r="C34" s="6"/>
      <c r="D34" s="6"/>
      <c r="E34" s="7"/>
      <c r="F34" s="4"/>
      <c r="G34" s="4"/>
      <c r="H34" s="8"/>
      <c r="I34" s="9"/>
      <c r="J34" s="8">
        <f t="shared" si="3"/>
        <v>0</v>
      </c>
    </row>
    <row r="35" spans="1:10" ht="19.95" customHeight="1" x14ac:dyDescent="0.3">
      <c r="A35" s="10"/>
      <c r="B35" s="10"/>
      <c r="C35" s="10"/>
      <c r="D35" s="10"/>
      <c r="E35" s="11"/>
      <c r="F35" s="10"/>
      <c r="G35" s="12"/>
      <c r="H35" s="8">
        <f>SUM(H30:H34)</f>
        <v>12550</v>
      </c>
      <c r="I35" s="9">
        <f>SUM(I30:I34)</f>
        <v>3410</v>
      </c>
      <c r="J35" s="8">
        <f>SUM(J30:J34)</f>
        <v>9140</v>
      </c>
    </row>
    <row r="36" spans="1:10" ht="19.95" customHeight="1" x14ac:dyDescent="0.3">
      <c r="A36" s="16"/>
      <c r="B36" s="16"/>
      <c r="C36" s="16"/>
      <c r="D36" s="16"/>
      <c r="E36" s="17"/>
      <c r="F36" s="16"/>
      <c r="G36" s="16"/>
      <c r="H36" s="18"/>
      <c r="I36" s="19"/>
      <c r="J36" s="18"/>
    </row>
    <row r="37" spans="1:10" ht="30" customHeight="1" x14ac:dyDescent="0.3">
      <c r="A37" s="31" t="s">
        <v>16</v>
      </c>
      <c r="B37" s="31"/>
      <c r="C37" s="31"/>
      <c r="D37" s="31"/>
      <c r="E37" s="31"/>
      <c r="F37" s="31"/>
      <c r="G37" s="31"/>
      <c r="H37" s="31"/>
      <c r="I37" s="31"/>
      <c r="J37" s="31"/>
    </row>
    <row r="38" spans="1:10" ht="30" customHeight="1" x14ac:dyDescent="0.3">
      <c r="A38" s="4" t="s">
        <v>2</v>
      </c>
      <c r="B38" s="4" t="s">
        <v>3</v>
      </c>
      <c r="C38" s="5" t="s">
        <v>4</v>
      </c>
      <c r="D38" s="5" t="s">
        <v>5</v>
      </c>
      <c r="E38" s="4" t="s">
        <v>6</v>
      </c>
      <c r="F38" s="5" t="s">
        <v>18</v>
      </c>
      <c r="G38" s="5" t="s">
        <v>7</v>
      </c>
      <c r="H38" s="4" t="s">
        <v>8</v>
      </c>
      <c r="I38" s="4" t="s">
        <v>9</v>
      </c>
      <c r="J38" s="4" t="s">
        <v>10</v>
      </c>
    </row>
    <row r="39" spans="1:10" ht="19.95" customHeight="1" x14ac:dyDescent="0.3">
      <c r="A39" s="4"/>
      <c r="B39" s="4"/>
      <c r="C39" s="6"/>
      <c r="D39" s="6"/>
      <c r="E39" s="7"/>
      <c r="F39" s="4"/>
      <c r="G39" s="4"/>
      <c r="H39" s="8"/>
      <c r="I39" s="9"/>
      <c r="J39" s="8">
        <f t="shared" ref="J39:J44" si="4">H39-I39</f>
        <v>0</v>
      </c>
    </row>
    <row r="40" spans="1:10" ht="19.95" customHeight="1" x14ac:dyDescent="0.3">
      <c r="A40" s="4"/>
      <c r="B40" s="4"/>
      <c r="C40" s="6"/>
      <c r="D40" s="6"/>
      <c r="E40" s="7"/>
      <c r="F40" s="4"/>
      <c r="G40" s="4"/>
      <c r="H40" s="8"/>
      <c r="I40" s="9"/>
      <c r="J40" s="8">
        <f t="shared" si="4"/>
        <v>0</v>
      </c>
    </row>
    <row r="41" spans="1:10" ht="19.95" customHeight="1" x14ac:dyDescent="0.3">
      <c r="A41" s="4"/>
      <c r="B41" s="4"/>
      <c r="C41" s="6"/>
      <c r="D41" s="6"/>
      <c r="E41" s="7"/>
      <c r="F41" s="4"/>
      <c r="G41" s="4"/>
      <c r="H41" s="8"/>
      <c r="I41" s="9"/>
      <c r="J41" s="8">
        <f t="shared" si="4"/>
        <v>0</v>
      </c>
    </row>
    <row r="42" spans="1:10" ht="19.95" customHeight="1" x14ac:dyDescent="0.3">
      <c r="A42" s="4"/>
      <c r="B42" s="4"/>
      <c r="C42" s="6"/>
      <c r="D42" s="6"/>
      <c r="E42" s="7"/>
      <c r="F42" s="4"/>
      <c r="G42" s="8"/>
      <c r="H42" s="8"/>
      <c r="I42" s="9"/>
      <c r="J42" s="8">
        <f t="shared" si="4"/>
        <v>0</v>
      </c>
    </row>
    <row r="43" spans="1:10" ht="19.95" customHeight="1" x14ac:dyDescent="0.3">
      <c r="A43" s="4"/>
      <c r="B43" s="4"/>
      <c r="C43" s="6"/>
      <c r="D43" s="6"/>
      <c r="E43" s="7"/>
      <c r="F43" s="4"/>
      <c r="G43" s="4"/>
      <c r="H43" s="8"/>
      <c r="I43" s="9"/>
      <c r="J43" s="8">
        <f t="shared" si="4"/>
        <v>0</v>
      </c>
    </row>
    <row r="44" spans="1:10" ht="19.95" customHeight="1" x14ac:dyDescent="0.3">
      <c r="A44" s="4"/>
      <c r="B44" s="4"/>
      <c r="C44" s="6"/>
      <c r="D44" s="6"/>
      <c r="E44" s="7"/>
      <c r="F44" s="4"/>
      <c r="G44" s="4"/>
      <c r="H44" s="8"/>
      <c r="I44" s="9"/>
      <c r="J44" s="8">
        <f t="shared" si="4"/>
        <v>0</v>
      </c>
    </row>
    <row r="45" spans="1:10" ht="19.95" customHeight="1" x14ac:dyDescent="0.3">
      <c r="A45" s="10"/>
      <c r="B45" s="10"/>
      <c r="C45" s="10"/>
      <c r="D45" s="10"/>
      <c r="E45" s="11"/>
      <c r="F45" s="10"/>
      <c r="G45" s="12"/>
      <c r="H45" s="8">
        <f>SUM(H39:H44)</f>
        <v>0</v>
      </c>
      <c r="I45" s="9">
        <f>SUM(I39:I44)</f>
        <v>0</v>
      </c>
      <c r="J45" s="8">
        <f>SUM(J39:J44)</f>
        <v>0</v>
      </c>
    </row>
    <row r="46" spans="1:10" ht="19.95" customHeight="1" x14ac:dyDescent="0.3">
      <c r="A46" s="16"/>
      <c r="B46" s="16"/>
      <c r="C46" s="16"/>
      <c r="D46" s="16"/>
      <c r="E46" s="17"/>
      <c r="F46" s="16"/>
      <c r="G46" s="16"/>
      <c r="H46" s="18"/>
      <c r="I46" s="19"/>
      <c r="J46" s="18"/>
    </row>
    <row r="48" spans="1:10" ht="23.4" x14ac:dyDescent="0.3">
      <c r="A48" s="31" t="s">
        <v>11</v>
      </c>
      <c r="B48" s="31"/>
      <c r="C48" s="31"/>
      <c r="D48" s="31"/>
      <c r="E48" s="31"/>
      <c r="F48" s="31"/>
      <c r="G48" s="31"/>
      <c r="H48" s="31"/>
      <c r="I48" s="31"/>
      <c r="J48" s="31"/>
    </row>
  </sheetData>
  <mergeCells count="8">
    <mergeCell ref="A37:J37"/>
    <mergeCell ref="A48:J48"/>
    <mergeCell ref="I1:J1"/>
    <mergeCell ref="A2:J2"/>
    <mergeCell ref="A3:J3"/>
    <mergeCell ref="A11:J11"/>
    <mergeCell ref="A19:J19"/>
    <mergeCell ref="A28:J28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65" orientation="landscape" horizontalDpi="1200" verticalDpi="120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1"/>
  <sheetViews>
    <sheetView zoomScale="70" zoomScaleNormal="70" workbookViewId="0">
      <selection activeCell="I6" sqref="I6"/>
    </sheetView>
  </sheetViews>
  <sheetFormatPr defaultRowHeight="14.4" x14ac:dyDescent="0.3"/>
  <cols>
    <col min="1" max="1" width="15.6640625" style="24" customWidth="1"/>
    <col min="2" max="3" width="12.6640625" style="24" customWidth="1"/>
    <col min="4" max="4" width="15.6640625" style="24" customWidth="1"/>
    <col min="5" max="5" width="80.6640625" style="24" customWidth="1"/>
    <col min="6" max="6" width="22.77734375" style="15" customWidth="1"/>
    <col min="7" max="7" width="12.33203125" style="24" customWidth="1"/>
    <col min="8" max="10" width="15.6640625" style="24" customWidth="1"/>
    <col min="11" max="16384" width="8.88671875" style="24"/>
  </cols>
  <sheetData>
    <row r="1" spans="1:11" s="1" customFormat="1" ht="30" customHeight="1" x14ac:dyDescent="0.3">
      <c r="F1" s="2"/>
      <c r="G1" s="2"/>
      <c r="H1" s="3" t="s">
        <v>0</v>
      </c>
      <c r="I1" s="27">
        <v>45953</v>
      </c>
      <c r="J1" s="27"/>
    </row>
    <row r="2" spans="1:11" ht="40.049999999999997" customHeight="1" x14ac:dyDescent="0.3">
      <c r="A2" s="28" t="s">
        <v>44</v>
      </c>
      <c r="B2" s="29"/>
      <c r="C2" s="29"/>
      <c r="D2" s="29"/>
      <c r="E2" s="29"/>
      <c r="F2" s="29"/>
      <c r="G2" s="29"/>
      <c r="H2" s="29"/>
      <c r="I2" s="29"/>
      <c r="J2" s="30"/>
    </row>
    <row r="3" spans="1:11" ht="30" customHeight="1" x14ac:dyDescent="0.3">
      <c r="A3" s="31" t="s">
        <v>12</v>
      </c>
      <c r="B3" s="31"/>
      <c r="C3" s="31"/>
      <c r="D3" s="31"/>
      <c r="E3" s="31"/>
      <c r="F3" s="31"/>
      <c r="G3" s="31"/>
      <c r="H3" s="31"/>
      <c r="I3" s="31"/>
      <c r="J3" s="31"/>
    </row>
    <row r="4" spans="1:11" ht="30" customHeight="1" x14ac:dyDescent="0.3">
      <c r="A4" s="4" t="s">
        <v>2</v>
      </c>
      <c r="B4" s="4" t="s">
        <v>3</v>
      </c>
      <c r="C4" s="5" t="s">
        <v>4</v>
      </c>
      <c r="D4" s="5" t="s">
        <v>5</v>
      </c>
      <c r="E4" s="4" t="s">
        <v>6</v>
      </c>
      <c r="F4" s="5" t="s">
        <v>17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1" ht="19.95" customHeight="1" x14ac:dyDescent="0.3">
      <c r="A5" s="4">
        <v>131025</v>
      </c>
      <c r="B5" s="4">
        <v>304</v>
      </c>
      <c r="C5" s="6">
        <v>0.9</v>
      </c>
      <c r="D5" s="6" t="s">
        <v>22</v>
      </c>
      <c r="E5" s="7" t="s">
        <v>68</v>
      </c>
      <c r="F5" s="4"/>
      <c r="G5" s="4" t="s">
        <v>22</v>
      </c>
      <c r="H5" s="8">
        <v>2550</v>
      </c>
      <c r="I5" s="9">
        <f>410+2350+230</f>
        <v>2990</v>
      </c>
      <c r="J5" s="22">
        <f t="shared" ref="J5:J9" si="0">H5-I5</f>
        <v>-440</v>
      </c>
      <c r="K5" s="20"/>
    </row>
    <row r="6" spans="1:11" ht="19.95" customHeight="1" x14ac:dyDescent="0.3">
      <c r="A6" s="4">
        <v>250057</v>
      </c>
      <c r="B6" s="4">
        <v>304</v>
      </c>
      <c r="C6" s="6">
        <v>0.7</v>
      </c>
      <c r="D6" s="6" t="s">
        <v>19</v>
      </c>
      <c r="E6" s="7" t="s">
        <v>69</v>
      </c>
      <c r="F6" s="4"/>
      <c r="G6" s="4">
        <v>304</v>
      </c>
      <c r="H6" s="8">
        <v>395</v>
      </c>
      <c r="I6" s="9"/>
      <c r="J6" s="22">
        <f t="shared" si="0"/>
        <v>395</v>
      </c>
      <c r="K6" s="20"/>
    </row>
    <row r="7" spans="1:11" ht="19.95" customHeight="1" x14ac:dyDescent="0.3">
      <c r="A7" s="4">
        <v>250057</v>
      </c>
      <c r="B7" s="4">
        <v>304</v>
      </c>
      <c r="C7" s="6">
        <v>0.7</v>
      </c>
      <c r="D7" s="6" t="s">
        <v>19</v>
      </c>
      <c r="E7" s="7" t="s">
        <v>70</v>
      </c>
      <c r="F7" s="4"/>
      <c r="G7" s="4">
        <v>304</v>
      </c>
      <c r="H7" s="8">
        <v>15</v>
      </c>
      <c r="I7" s="9"/>
      <c r="J7" s="22">
        <f t="shared" si="0"/>
        <v>15</v>
      </c>
      <c r="K7" s="20"/>
    </row>
    <row r="8" spans="1:11" ht="19.95" customHeight="1" x14ac:dyDescent="0.3">
      <c r="A8" s="4">
        <v>290925</v>
      </c>
      <c r="B8" s="4">
        <v>304</v>
      </c>
      <c r="C8" s="6">
        <v>0.8</v>
      </c>
      <c r="D8" s="6" t="s">
        <v>22</v>
      </c>
      <c r="E8" s="7" t="s">
        <v>67</v>
      </c>
      <c r="F8" s="4"/>
      <c r="G8" s="4" t="s">
        <v>22</v>
      </c>
      <c r="H8" s="8">
        <v>3000</v>
      </c>
      <c r="I8" s="9"/>
      <c r="J8" s="8">
        <f t="shared" si="0"/>
        <v>3000</v>
      </c>
    </row>
    <row r="9" spans="1:11" ht="19.95" customHeight="1" x14ac:dyDescent="0.3">
      <c r="A9" s="4"/>
      <c r="B9" s="4"/>
      <c r="C9" s="6"/>
      <c r="D9" s="6"/>
      <c r="E9" s="7"/>
      <c r="F9" s="4"/>
      <c r="G9" s="4"/>
      <c r="H9" s="8"/>
      <c r="I9" s="9"/>
      <c r="J9" s="8">
        <f t="shared" si="0"/>
        <v>0</v>
      </c>
    </row>
    <row r="10" spans="1:11" ht="19.95" customHeight="1" x14ac:dyDescent="0.3">
      <c r="A10" s="10"/>
      <c r="B10" s="10"/>
      <c r="C10" s="10"/>
      <c r="D10" s="10"/>
      <c r="E10" s="11"/>
      <c r="F10" s="10"/>
      <c r="G10" s="12"/>
      <c r="H10" s="13">
        <f>SUM(H5:H9)</f>
        <v>5960</v>
      </c>
      <c r="I10" s="14">
        <f>SUM(I5:I9)</f>
        <v>2990</v>
      </c>
      <c r="J10" s="8">
        <f>SUM(J5:J9)</f>
        <v>2970</v>
      </c>
    </row>
    <row r="12" spans="1:11" ht="30" customHeight="1" x14ac:dyDescent="0.3">
      <c r="A12" s="31" t="s">
        <v>15</v>
      </c>
      <c r="B12" s="31"/>
      <c r="C12" s="31"/>
      <c r="D12" s="31"/>
      <c r="E12" s="31"/>
      <c r="F12" s="31"/>
      <c r="G12" s="31"/>
      <c r="H12" s="31"/>
      <c r="I12" s="31"/>
      <c r="J12" s="31"/>
    </row>
    <row r="13" spans="1:11" ht="30" customHeight="1" x14ac:dyDescent="0.3">
      <c r="A13" s="4" t="s">
        <v>2</v>
      </c>
      <c r="B13" s="4" t="s">
        <v>3</v>
      </c>
      <c r="C13" s="5" t="s">
        <v>4</v>
      </c>
      <c r="D13" s="5" t="s">
        <v>5</v>
      </c>
      <c r="E13" s="4" t="s">
        <v>6</v>
      </c>
      <c r="F13" s="5" t="s">
        <v>17</v>
      </c>
      <c r="G13" s="5" t="s">
        <v>7</v>
      </c>
      <c r="H13" s="4" t="s">
        <v>8</v>
      </c>
      <c r="I13" s="4" t="s">
        <v>9</v>
      </c>
      <c r="J13" s="4" t="s">
        <v>10</v>
      </c>
    </row>
    <row r="14" spans="1:11" ht="19.95" customHeight="1" x14ac:dyDescent="0.3">
      <c r="A14" s="4">
        <v>290925</v>
      </c>
      <c r="B14" s="4">
        <v>304</v>
      </c>
      <c r="C14" s="6">
        <v>0.8</v>
      </c>
      <c r="D14" s="6" t="s">
        <v>26</v>
      </c>
      <c r="E14" s="7" t="s">
        <v>66</v>
      </c>
      <c r="F14" s="4"/>
      <c r="G14" s="4">
        <v>430</v>
      </c>
      <c r="H14" s="8">
        <v>3000</v>
      </c>
      <c r="I14" s="9">
        <f>770+2000+355</f>
        <v>3125</v>
      </c>
      <c r="J14" s="8">
        <f t="shared" ref="J14:J19" si="1">H14-I14</f>
        <v>-125</v>
      </c>
    </row>
    <row r="15" spans="1:11" ht="19.95" customHeight="1" x14ac:dyDescent="0.3">
      <c r="A15" s="4">
        <v>131025</v>
      </c>
      <c r="B15" s="4">
        <v>304</v>
      </c>
      <c r="C15" s="6">
        <v>0.9</v>
      </c>
      <c r="D15" s="6" t="s">
        <v>22</v>
      </c>
      <c r="E15" s="7" t="s">
        <v>68</v>
      </c>
      <c r="F15" s="4"/>
      <c r="G15" s="4" t="s">
        <v>22</v>
      </c>
      <c r="H15" s="8">
        <v>2550</v>
      </c>
      <c r="I15" s="9">
        <f>1645</f>
        <v>1645</v>
      </c>
      <c r="J15" s="8">
        <f t="shared" si="1"/>
        <v>905</v>
      </c>
    </row>
    <row r="16" spans="1:11" ht="19.95" customHeight="1" x14ac:dyDescent="0.3">
      <c r="A16" s="4">
        <v>250057</v>
      </c>
      <c r="B16" s="4">
        <v>304</v>
      </c>
      <c r="C16" s="6">
        <v>0.7</v>
      </c>
      <c r="D16" s="6" t="s">
        <v>19</v>
      </c>
      <c r="E16" s="7" t="s">
        <v>69</v>
      </c>
      <c r="F16" s="4"/>
      <c r="G16" s="4">
        <v>304</v>
      </c>
      <c r="H16" s="8">
        <v>395</v>
      </c>
      <c r="I16" s="9"/>
      <c r="J16" s="8"/>
    </row>
    <row r="17" spans="1:10" ht="19.95" customHeight="1" x14ac:dyDescent="0.3">
      <c r="A17" s="4">
        <v>250057</v>
      </c>
      <c r="B17" s="4">
        <v>304</v>
      </c>
      <c r="C17" s="6">
        <v>0.7</v>
      </c>
      <c r="D17" s="6" t="s">
        <v>19</v>
      </c>
      <c r="E17" s="7" t="s">
        <v>70</v>
      </c>
      <c r="F17" s="4"/>
      <c r="G17" s="4">
        <v>304</v>
      </c>
      <c r="H17" s="8">
        <v>15</v>
      </c>
      <c r="I17" s="9"/>
      <c r="J17" s="8"/>
    </row>
    <row r="18" spans="1:10" ht="19.95" customHeight="1" x14ac:dyDescent="0.3">
      <c r="A18" s="4">
        <v>290925</v>
      </c>
      <c r="B18" s="4">
        <v>304</v>
      </c>
      <c r="C18" s="6">
        <v>0.8</v>
      </c>
      <c r="D18" s="6" t="s">
        <v>22</v>
      </c>
      <c r="E18" s="7" t="s">
        <v>67</v>
      </c>
      <c r="F18" s="4"/>
      <c r="G18" s="4" t="s">
        <v>22</v>
      </c>
      <c r="H18" s="8">
        <v>3000</v>
      </c>
      <c r="I18" s="9"/>
      <c r="J18" s="8">
        <f t="shared" si="1"/>
        <v>3000</v>
      </c>
    </row>
    <row r="19" spans="1:10" ht="19.95" customHeight="1" x14ac:dyDescent="0.3">
      <c r="A19" s="4"/>
      <c r="B19" s="4"/>
      <c r="C19" s="6"/>
      <c r="D19" s="6"/>
      <c r="E19" s="7"/>
      <c r="F19" s="4"/>
      <c r="G19" s="8"/>
      <c r="H19" s="8"/>
      <c r="I19" s="9"/>
      <c r="J19" s="8">
        <f t="shared" si="1"/>
        <v>0</v>
      </c>
    </row>
    <row r="20" spans="1:10" ht="19.95" customHeight="1" x14ac:dyDescent="0.3">
      <c r="A20" s="10"/>
      <c r="B20" s="10"/>
      <c r="C20" s="10"/>
      <c r="D20" s="10"/>
      <c r="E20" s="11"/>
      <c r="F20" s="10"/>
      <c r="G20" s="12"/>
      <c r="H20" s="8">
        <f>SUM(H14:H19)</f>
        <v>8960</v>
      </c>
      <c r="I20" s="9">
        <f>SUM(I14:I19)</f>
        <v>4770</v>
      </c>
      <c r="J20" s="8">
        <f>SUM(J14:J19)</f>
        <v>3780</v>
      </c>
    </row>
    <row r="21" spans="1:10" ht="19.95" customHeight="1" x14ac:dyDescent="0.3">
      <c r="A21" s="16"/>
      <c r="B21" s="16"/>
      <c r="C21" s="16"/>
      <c r="D21" s="16"/>
      <c r="E21" s="17"/>
      <c r="F21" s="16"/>
      <c r="G21" s="16"/>
      <c r="H21" s="18"/>
      <c r="I21" s="19"/>
      <c r="J21" s="18"/>
    </row>
    <row r="22" spans="1:10" ht="30" customHeight="1" x14ac:dyDescent="0.3">
      <c r="A22" s="31" t="s">
        <v>13</v>
      </c>
      <c r="B22" s="31"/>
      <c r="C22" s="31"/>
      <c r="D22" s="31"/>
      <c r="E22" s="31"/>
      <c r="F22" s="31"/>
      <c r="G22" s="31"/>
      <c r="H22" s="31"/>
      <c r="I22" s="31"/>
      <c r="J22" s="31"/>
    </row>
    <row r="23" spans="1:10" ht="30" customHeight="1" x14ac:dyDescent="0.3">
      <c r="A23" s="4" t="s">
        <v>2</v>
      </c>
      <c r="B23" s="4" t="s">
        <v>3</v>
      </c>
      <c r="C23" s="5" t="s">
        <v>4</v>
      </c>
      <c r="D23" s="5" t="s">
        <v>5</v>
      </c>
      <c r="E23" s="4" t="s">
        <v>6</v>
      </c>
      <c r="F23" s="5" t="s">
        <v>17</v>
      </c>
      <c r="G23" s="5" t="s">
        <v>7</v>
      </c>
      <c r="H23" s="4" t="s">
        <v>8</v>
      </c>
      <c r="I23" s="4" t="s">
        <v>9</v>
      </c>
      <c r="J23" s="4" t="s">
        <v>10</v>
      </c>
    </row>
    <row r="24" spans="1:10" ht="19.95" customHeight="1" x14ac:dyDescent="0.3">
      <c r="A24" s="4">
        <v>290925</v>
      </c>
      <c r="B24" s="4">
        <v>304</v>
      </c>
      <c r="C24" s="6">
        <v>0.9</v>
      </c>
      <c r="D24" s="6" t="s">
        <v>22</v>
      </c>
      <c r="E24" s="7" t="s">
        <v>65</v>
      </c>
      <c r="F24" s="4"/>
      <c r="G24" s="4" t="s">
        <v>22</v>
      </c>
      <c r="H24" s="8">
        <v>4000</v>
      </c>
      <c r="I24" s="9">
        <f>250+1500+1700+620</f>
        <v>4070</v>
      </c>
      <c r="J24" s="8">
        <f t="shared" ref="J24:J28" si="2">H24-I24</f>
        <v>-70</v>
      </c>
    </row>
    <row r="25" spans="1:10" ht="19.95" customHeight="1" x14ac:dyDescent="0.3">
      <c r="A25" s="4">
        <v>290925</v>
      </c>
      <c r="B25" s="4">
        <v>304</v>
      </c>
      <c r="C25" s="6">
        <v>0.8</v>
      </c>
      <c r="D25" s="6" t="s">
        <v>26</v>
      </c>
      <c r="E25" s="7" t="s">
        <v>66</v>
      </c>
      <c r="F25" s="4"/>
      <c r="G25" s="4">
        <v>430</v>
      </c>
      <c r="H25" s="8">
        <v>3000</v>
      </c>
      <c r="I25" s="9">
        <f>2150</f>
        <v>2150</v>
      </c>
      <c r="J25" s="8">
        <f t="shared" si="2"/>
        <v>850</v>
      </c>
    </row>
    <row r="26" spans="1:10" ht="19.95" customHeight="1" x14ac:dyDescent="0.3">
      <c r="A26" s="4">
        <v>131025</v>
      </c>
      <c r="B26" s="4">
        <v>304</v>
      </c>
      <c r="C26" s="6">
        <v>0.9</v>
      </c>
      <c r="D26" s="6" t="s">
        <v>22</v>
      </c>
      <c r="E26" s="7" t="s">
        <v>68</v>
      </c>
      <c r="F26" s="4"/>
      <c r="G26" s="4" t="s">
        <v>22</v>
      </c>
      <c r="H26" s="8">
        <v>2550</v>
      </c>
      <c r="I26" s="9"/>
      <c r="J26" s="8">
        <f t="shared" si="2"/>
        <v>2550</v>
      </c>
    </row>
    <row r="27" spans="1:10" ht="19.95" customHeight="1" x14ac:dyDescent="0.3">
      <c r="A27" s="4">
        <v>290925</v>
      </c>
      <c r="B27" s="4">
        <v>304</v>
      </c>
      <c r="C27" s="6">
        <v>0.8</v>
      </c>
      <c r="D27" s="6" t="s">
        <v>22</v>
      </c>
      <c r="E27" s="7" t="s">
        <v>67</v>
      </c>
      <c r="F27" s="4"/>
      <c r="G27" s="4" t="s">
        <v>22</v>
      </c>
      <c r="H27" s="8">
        <v>3000</v>
      </c>
      <c r="I27" s="9"/>
      <c r="J27" s="8">
        <f t="shared" si="2"/>
        <v>3000</v>
      </c>
    </row>
    <row r="28" spans="1:10" ht="19.95" customHeight="1" x14ac:dyDescent="0.3">
      <c r="A28" s="4"/>
      <c r="B28" s="4"/>
      <c r="C28" s="6"/>
      <c r="D28" s="6"/>
      <c r="E28" s="7"/>
      <c r="F28" s="4"/>
      <c r="G28" s="8"/>
      <c r="H28" s="8"/>
      <c r="I28" s="9"/>
      <c r="J28" s="8">
        <f t="shared" si="2"/>
        <v>0</v>
      </c>
    </row>
    <row r="29" spans="1:10" ht="19.95" customHeight="1" x14ac:dyDescent="0.3">
      <c r="A29" s="10"/>
      <c r="B29" s="10"/>
      <c r="C29" s="10"/>
      <c r="D29" s="10"/>
      <c r="E29" s="11"/>
      <c r="F29" s="10"/>
      <c r="G29" s="12"/>
      <c r="H29" s="8">
        <f>SUM(H24:H28)</f>
        <v>12550</v>
      </c>
      <c r="I29" s="9">
        <f>SUM(I24:I28)</f>
        <v>6220</v>
      </c>
      <c r="J29" s="8">
        <f>SUM(J24:J28)</f>
        <v>6330</v>
      </c>
    </row>
    <row r="30" spans="1:10" ht="19.95" customHeight="1" x14ac:dyDescent="0.3">
      <c r="A30" s="16"/>
      <c r="B30" s="16"/>
      <c r="C30" s="16"/>
      <c r="D30" s="16"/>
      <c r="E30" s="17"/>
      <c r="F30" s="16"/>
      <c r="G30" s="16"/>
      <c r="H30" s="18"/>
      <c r="I30" s="19"/>
      <c r="J30" s="18"/>
    </row>
    <row r="31" spans="1:10" ht="30" customHeight="1" x14ac:dyDescent="0.3">
      <c r="A31" s="31" t="s">
        <v>14</v>
      </c>
      <c r="B31" s="31"/>
      <c r="C31" s="31"/>
      <c r="D31" s="31"/>
      <c r="E31" s="31"/>
      <c r="F31" s="31"/>
      <c r="G31" s="31"/>
      <c r="H31" s="31"/>
      <c r="I31" s="31"/>
      <c r="J31" s="31"/>
    </row>
    <row r="32" spans="1:10" ht="30" customHeight="1" x14ac:dyDescent="0.3">
      <c r="A32" s="4" t="s">
        <v>2</v>
      </c>
      <c r="B32" s="4" t="s">
        <v>3</v>
      </c>
      <c r="C32" s="5" t="s">
        <v>4</v>
      </c>
      <c r="D32" s="5" t="s">
        <v>5</v>
      </c>
      <c r="E32" s="4" t="s">
        <v>6</v>
      </c>
      <c r="F32" s="5" t="s">
        <v>17</v>
      </c>
      <c r="G32" s="5" t="s">
        <v>7</v>
      </c>
      <c r="H32" s="4" t="s">
        <v>8</v>
      </c>
      <c r="I32" s="4" t="s">
        <v>9</v>
      </c>
      <c r="J32" s="4" t="s">
        <v>10</v>
      </c>
    </row>
    <row r="33" spans="1:10" ht="19.95" customHeight="1" x14ac:dyDescent="0.3">
      <c r="A33" s="4">
        <v>290925</v>
      </c>
      <c r="B33" s="4">
        <v>304</v>
      </c>
      <c r="C33" s="6">
        <v>0.9</v>
      </c>
      <c r="D33" s="6" t="s">
        <v>22</v>
      </c>
      <c r="E33" s="7" t="s">
        <v>65</v>
      </c>
      <c r="F33" s="4"/>
      <c r="G33" s="4" t="s">
        <v>22</v>
      </c>
      <c r="H33" s="8">
        <v>4000</v>
      </c>
      <c r="I33" s="9">
        <f>1110+2300+620</f>
        <v>4030</v>
      </c>
      <c r="J33" s="8">
        <f t="shared" ref="J33:J37" si="3">H33-I33</f>
        <v>-30</v>
      </c>
    </row>
    <row r="34" spans="1:10" ht="19.95" customHeight="1" x14ac:dyDescent="0.3">
      <c r="A34" s="4">
        <v>290925</v>
      </c>
      <c r="B34" s="4">
        <v>304</v>
      </c>
      <c r="C34" s="6">
        <v>0.8</v>
      </c>
      <c r="D34" s="6" t="s">
        <v>26</v>
      </c>
      <c r="E34" s="7" t="s">
        <v>66</v>
      </c>
      <c r="F34" s="4"/>
      <c r="G34" s="4">
        <v>430</v>
      </c>
      <c r="H34" s="8">
        <v>3000</v>
      </c>
      <c r="I34" s="9">
        <f>1380</f>
        <v>1380</v>
      </c>
      <c r="J34" s="8">
        <f>H34-I34</f>
        <v>1620</v>
      </c>
    </row>
    <row r="35" spans="1:10" ht="19.95" customHeight="1" x14ac:dyDescent="0.3">
      <c r="A35" s="4">
        <v>131025</v>
      </c>
      <c r="B35" s="4">
        <v>304</v>
      </c>
      <c r="C35" s="6">
        <v>0.9</v>
      </c>
      <c r="D35" s="6" t="s">
        <v>22</v>
      </c>
      <c r="E35" s="7" t="s">
        <v>68</v>
      </c>
      <c r="F35" s="4"/>
      <c r="G35" s="4" t="s">
        <v>22</v>
      </c>
      <c r="H35" s="8">
        <v>2550</v>
      </c>
      <c r="I35" s="9"/>
      <c r="J35" s="8">
        <f>H35-I35</f>
        <v>2550</v>
      </c>
    </row>
    <row r="36" spans="1:10" ht="19.95" customHeight="1" x14ac:dyDescent="0.3">
      <c r="A36" s="4">
        <v>290925</v>
      </c>
      <c r="B36" s="4">
        <v>304</v>
      </c>
      <c r="C36" s="6">
        <v>0.8</v>
      </c>
      <c r="D36" s="6" t="s">
        <v>22</v>
      </c>
      <c r="E36" s="7" t="s">
        <v>67</v>
      </c>
      <c r="F36" s="4"/>
      <c r="G36" s="4" t="s">
        <v>22</v>
      </c>
      <c r="H36" s="8">
        <v>3000</v>
      </c>
      <c r="I36" s="9"/>
      <c r="J36" s="8">
        <f>H36-I36</f>
        <v>3000</v>
      </c>
    </row>
    <row r="37" spans="1:10" ht="19.95" customHeight="1" x14ac:dyDescent="0.3">
      <c r="A37" s="4"/>
      <c r="B37" s="4"/>
      <c r="C37" s="6"/>
      <c r="D37" s="6"/>
      <c r="E37" s="7"/>
      <c r="F37" s="4"/>
      <c r="G37" s="4"/>
      <c r="H37" s="8"/>
      <c r="I37" s="9"/>
      <c r="J37" s="8">
        <f t="shared" si="3"/>
        <v>0</v>
      </c>
    </row>
    <row r="38" spans="1:10" ht="19.95" customHeight="1" x14ac:dyDescent="0.3">
      <c r="A38" s="10"/>
      <c r="B38" s="10"/>
      <c r="C38" s="10"/>
      <c r="D38" s="10"/>
      <c r="E38" s="11"/>
      <c r="F38" s="10"/>
      <c r="G38" s="12"/>
      <c r="H38" s="8">
        <f>SUM(H33:H37)</f>
        <v>12550</v>
      </c>
      <c r="I38" s="9">
        <f>SUM(I33:I37)</f>
        <v>5410</v>
      </c>
      <c r="J38" s="8">
        <f>SUM(J33:J37)</f>
        <v>7140</v>
      </c>
    </row>
    <row r="39" spans="1:10" ht="19.95" customHeight="1" x14ac:dyDescent="0.3">
      <c r="A39" s="16"/>
      <c r="B39" s="16"/>
      <c r="C39" s="16"/>
      <c r="D39" s="16"/>
      <c r="E39" s="17"/>
      <c r="F39" s="16"/>
      <c r="G39" s="16"/>
      <c r="H39" s="18"/>
      <c r="I39" s="19"/>
      <c r="J39" s="18"/>
    </row>
    <row r="40" spans="1:10" ht="30" customHeight="1" x14ac:dyDescent="0.3">
      <c r="A40" s="31" t="s">
        <v>16</v>
      </c>
      <c r="B40" s="31"/>
      <c r="C40" s="31"/>
      <c r="D40" s="31"/>
      <c r="E40" s="31"/>
      <c r="F40" s="31"/>
      <c r="G40" s="31"/>
      <c r="H40" s="31"/>
      <c r="I40" s="31"/>
      <c r="J40" s="31"/>
    </row>
    <row r="41" spans="1:10" ht="30" customHeight="1" x14ac:dyDescent="0.3">
      <c r="A41" s="4" t="s">
        <v>2</v>
      </c>
      <c r="B41" s="4" t="s">
        <v>3</v>
      </c>
      <c r="C41" s="5" t="s">
        <v>4</v>
      </c>
      <c r="D41" s="5" t="s">
        <v>5</v>
      </c>
      <c r="E41" s="4" t="s">
        <v>6</v>
      </c>
      <c r="F41" s="5" t="s">
        <v>18</v>
      </c>
      <c r="G41" s="5" t="s">
        <v>7</v>
      </c>
      <c r="H41" s="4" t="s">
        <v>8</v>
      </c>
      <c r="I41" s="4" t="s">
        <v>9</v>
      </c>
      <c r="J41" s="4" t="s">
        <v>10</v>
      </c>
    </row>
    <row r="42" spans="1:10" ht="19.95" customHeight="1" x14ac:dyDescent="0.3">
      <c r="A42" s="4"/>
      <c r="B42" s="4"/>
      <c r="C42" s="6"/>
      <c r="D42" s="6"/>
      <c r="E42" s="7"/>
      <c r="F42" s="4"/>
      <c r="G42" s="4"/>
      <c r="H42" s="8"/>
      <c r="I42" s="9"/>
      <c r="J42" s="8">
        <f t="shared" ref="J42:J47" si="4">H42-I42</f>
        <v>0</v>
      </c>
    </row>
    <row r="43" spans="1:10" ht="19.95" customHeight="1" x14ac:dyDescent="0.3">
      <c r="A43" s="4"/>
      <c r="B43" s="4"/>
      <c r="C43" s="6"/>
      <c r="D43" s="6"/>
      <c r="E43" s="7"/>
      <c r="F43" s="4"/>
      <c r="G43" s="4"/>
      <c r="H43" s="8"/>
      <c r="I43" s="9"/>
      <c r="J43" s="8">
        <f t="shared" si="4"/>
        <v>0</v>
      </c>
    </row>
    <row r="44" spans="1:10" ht="19.95" customHeight="1" x14ac:dyDescent="0.3">
      <c r="A44" s="4"/>
      <c r="B44" s="4"/>
      <c r="C44" s="6"/>
      <c r="D44" s="6"/>
      <c r="E44" s="7"/>
      <c r="F44" s="4"/>
      <c r="G44" s="4"/>
      <c r="H44" s="8"/>
      <c r="I44" s="9"/>
      <c r="J44" s="8">
        <f t="shared" si="4"/>
        <v>0</v>
      </c>
    </row>
    <row r="45" spans="1:10" ht="19.95" customHeight="1" x14ac:dyDescent="0.3">
      <c r="A45" s="4"/>
      <c r="B45" s="4"/>
      <c r="C45" s="6"/>
      <c r="D45" s="6"/>
      <c r="E45" s="7"/>
      <c r="G45" s="8"/>
      <c r="H45" s="8"/>
      <c r="I45" s="9"/>
      <c r="J45" s="8">
        <f t="shared" si="4"/>
        <v>0</v>
      </c>
    </row>
    <row r="46" spans="1:10" ht="19.95" customHeight="1" x14ac:dyDescent="0.3">
      <c r="A46" s="4"/>
      <c r="B46" s="4"/>
      <c r="C46" s="6"/>
      <c r="D46" s="6"/>
      <c r="E46" s="7"/>
      <c r="F46" s="4"/>
      <c r="G46" s="4"/>
      <c r="H46" s="8"/>
      <c r="I46" s="9"/>
      <c r="J46" s="8">
        <f t="shared" si="4"/>
        <v>0</v>
      </c>
    </row>
    <row r="47" spans="1:10" ht="19.95" customHeight="1" x14ac:dyDescent="0.3">
      <c r="A47" s="4"/>
      <c r="B47" s="4"/>
      <c r="C47" s="6"/>
      <c r="D47" s="6"/>
      <c r="E47" s="7"/>
      <c r="F47" s="4"/>
      <c r="G47" s="4"/>
      <c r="H47" s="8"/>
      <c r="I47" s="9"/>
      <c r="J47" s="8">
        <f t="shared" si="4"/>
        <v>0</v>
      </c>
    </row>
    <row r="48" spans="1:10" ht="19.95" customHeight="1" x14ac:dyDescent="0.3">
      <c r="A48" s="10"/>
      <c r="B48" s="10"/>
      <c r="C48" s="10"/>
      <c r="D48" s="10"/>
      <c r="E48" s="11"/>
      <c r="F48" s="10"/>
      <c r="G48" s="12"/>
      <c r="H48" s="8">
        <f>SUM(H42:H47)</f>
        <v>0</v>
      </c>
      <c r="I48" s="9">
        <f>SUM(I42:I47)</f>
        <v>0</v>
      </c>
      <c r="J48" s="8">
        <f>SUM(J42:J47)</f>
        <v>0</v>
      </c>
    </row>
    <row r="49" spans="1:10" ht="19.95" customHeight="1" x14ac:dyDescent="0.3">
      <c r="A49" s="16"/>
      <c r="B49" s="16"/>
      <c r="C49" s="16"/>
      <c r="D49" s="16"/>
      <c r="E49" s="17"/>
      <c r="F49" s="16"/>
      <c r="G49" s="16"/>
      <c r="H49" s="18"/>
      <c r="I49" s="19"/>
      <c r="J49" s="18"/>
    </row>
    <row r="51" spans="1:10" ht="23.4" x14ac:dyDescent="0.3">
      <c r="A51" s="31" t="s">
        <v>11</v>
      </c>
      <c r="B51" s="31"/>
      <c r="C51" s="31"/>
      <c r="D51" s="31"/>
      <c r="E51" s="31"/>
      <c r="F51" s="31"/>
      <c r="G51" s="31"/>
      <c r="H51" s="31"/>
      <c r="I51" s="31"/>
      <c r="J51" s="31"/>
    </row>
  </sheetData>
  <mergeCells count="8">
    <mergeCell ref="A40:J40"/>
    <mergeCell ref="A51:J51"/>
    <mergeCell ref="I1:J1"/>
    <mergeCell ref="A2:J2"/>
    <mergeCell ref="A3:J3"/>
    <mergeCell ref="A12:J12"/>
    <mergeCell ref="A22:J22"/>
    <mergeCell ref="A31:J31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51" orientation="landscape" horizontalDpi="1200" verticalDpi="120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9"/>
  <sheetViews>
    <sheetView zoomScale="70" zoomScaleNormal="70" workbookViewId="0">
      <selection activeCell="I10" sqref="I10"/>
    </sheetView>
  </sheetViews>
  <sheetFormatPr defaultRowHeight="14.4" x14ac:dyDescent="0.3"/>
  <cols>
    <col min="1" max="1" width="15.6640625" style="24" customWidth="1"/>
    <col min="2" max="3" width="12.6640625" style="24" customWidth="1"/>
    <col min="4" max="4" width="15.6640625" style="24" customWidth="1"/>
    <col min="5" max="5" width="80.6640625" style="24" customWidth="1"/>
    <col min="6" max="6" width="22.77734375" style="15" customWidth="1"/>
    <col min="7" max="7" width="12.33203125" style="24" customWidth="1"/>
    <col min="8" max="10" width="15.6640625" style="24" customWidth="1"/>
    <col min="11" max="16384" width="8.88671875" style="24"/>
  </cols>
  <sheetData>
    <row r="1" spans="1:11" s="1" customFormat="1" ht="30" customHeight="1" x14ac:dyDescent="0.3">
      <c r="F1" s="2"/>
      <c r="G1" s="2"/>
      <c r="H1" s="3" t="s">
        <v>0</v>
      </c>
      <c r="I1" s="27">
        <v>45954</v>
      </c>
      <c r="J1" s="27"/>
    </row>
    <row r="2" spans="1:11" ht="40.049999999999997" customHeight="1" x14ac:dyDescent="0.3">
      <c r="A2" s="28" t="s">
        <v>24</v>
      </c>
      <c r="B2" s="29"/>
      <c r="C2" s="29"/>
      <c r="D2" s="29"/>
      <c r="E2" s="29"/>
      <c r="F2" s="29"/>
      <c r="G2" s="29"/>
      <c r="H2" s="29"/>
      <c r="I2" s="29"/>
      <c r="J2" s="30"/>
    </row>
    <row r="3" spans="1:11" ht="30" customHeight="1" x14ac:dyDescent="0.3">
      <c r="A3" s="31" t="s">
        <v>12</v>
      </c>
      <c r="B3" s="31"/>
      <c r="C3" s="31"/>
      <c r="D3" s="31"/>
      <c r="E3" s="31"/>
      <c r="F3" s="31"/>
      <c r="G3" s="31"/>
      <c r="H3" s="31"/>
      <c r="I3" s="31"/>
      <c r="J3" s="31"/>
    </row>
    <row r="4" spans="1:11" ht="30" customHeight="1" x14ac:dyDescent="0.3">
      <c r="A4" s="4" t="s">
        <v>2</v>
      </c>
      <c r="B4" s="4" t="s">
        <v>3</v>
      </c>
      <c r="C4" s="5" t="s">
        <v>4</v>
      </c>
      <c r="D4" s="5" t="s">
        <v>5</v>
      </c>
      <c r="E4" s="4" t="s">
        <v>6</v>
      </c>
      <c r="F4" s="5" t="s">
        <v>17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1" ht="19.95" customHeight="1" x14ac:dyDescent="0.3">
      <c r="A5" s="4">
        <v>250057</v>
      </c>
      <c r="B5" s="4">
        <v>304</v>
      </c>
      <c r="C5" s="6">
        <v>0.7</v>
      </c>
      <c r="D5" s="6" t="s">
        <v>19</v>
      </c>
      <c r="E5" s="7" t="s">
        <v>69</v>
      </c>
      <c r="F5" s="4"/>
      <c r="G5" s="4">
        <v>304</v>
      </c>
      <c r="H5" s="8">
        <v>395</v>
      </c>
      <c r="I5" s="9">
        <v>500</v>
      </c>
      <c r="J5" s="22">
        <f t="shared" ref="J5:J10" si="0">H5-I5</f>
        <v>-105</v>
      </c>
      <c r="K5" s="20"/>
    </row>
    <row r="6" spans="1:11" ht="19.95" customHeight="1" x14ac:dyDescent="0.3">
      <c r="A6" s="4">
        <v>250057</v>
      </c>
      <c r="B6" s="4">
        <v>304</v>
      </c>
      <c r="C6" s="6">
        <v>0.7</v>
      </c>
      <c r="D6" s="6" t="s">
        <v>19</v>
      </c>
      <c r="E6" s="7" t="s">
        <v>70</v>
      </c>
      <c r="F6" s="4"/>
      <c r="G6" s="4">
        <v>304</v>
      </c>
      <c r="H6" s="8">
        <v>15</v>
      </c>
      <c r="I6" s="9"/>
      <c r="J6" s="22">
        <f t="shared" si="0"/>
        <v>15</v>
      </c>
      <c r="K6" s="20"/>
    </row>
    <row r="7" spans="1:11" ht="19.95" customHeight="1" x14ac:dyDescent="0.3">
      <c r="A7" s="4">
        <v>250061</v>
      </c>
      <c r="B7" s="4">
        <v>304</v>
      </c>
      <c r="C7" s="6">
        <v>0.7</v>
      </c>
      <c r="D7" s="6" t="s">
        <v>19</v>
      </c>
      <c r="E7" s="7" t="s">
        <v>71</v>
      </c>
      <c r="F7" s="4"/>
      <c r="G7" s="4">
        <v>304</v>
      </c>
      <c r="H7" s="8">
        <v>570</v>
      </c>
      <c r="I7" s="9">
        <v>630</v>
      </c>
      <c r="J7" s="22">
        <f t="shared" si="0"/>
        <v>-60</v>
      </c>
      <c r="K7" s="20"/>
    </row>
    <row r="8" spans="1:11" ht="19.95" customHeight="1" x14ac:dyDescent="0.3">
      <c r="A8" s="4">
        <v>250061</v>
      </c>
      <c r="B8" s="4">
        <v>304</v>
      </c>
      <c r="C8" s="6">
        <v>0.7</v>
      </c>
      <c r="D8" s="6" t="s">
        <v>19</v>
      </c>
      <c r="E8" s="7" t="s">
        <v>72</v>
      </c>
      <c r="F8" s="4"/>
      <c r="G8" s="4">
        <v>304</v>
      </c>
      <c r="H8" s="8">
        <v>15</v>
      </c>
      <c r="I8" s="9"/>
      <c r="J8" s="22">
        <f t="shared" si="0"/>
        <v>15</v>
      </c>
      <c r="K8" s="20"/>
    </row>
    <row r="9" spans="1:11" ht="19.95" customHeight="1" x14ac:dyDescent="0.3">
      <c r="A9" s="4">
        <v>290925</v>
      </c>
      <c r="B9" s="4">
        <v>304</v>
      </c>
      <c r="C9" s="6">
        <v>0.8</v>
      </c>
      <c r="D9" s="6" t="s">
        <v>22</v>
      </c>
      <c r="E9" s="7" t="s">
        <v>67</v>
      </c>
      <c r="F9" s="4"/>
      <c r="G9" s="4" t="s">
        <v>22</v>
      </c>
      <c r="H9" s="8">
        <v>3000</v>
      </c>
      <c r="I9" s="9">
        <v>1000</v>
      </c>
      <c r="J9" s="22">
        <f t="shared" si="0"/>
        <v>2000</v>
      </c>
      <c r="K9" s="20"/>
    </row>
    <row r="10" spans="1:11" ht="19.95" customHeight="1" x14ac:dyDescent="0.3">
      <c r="A10" s="4"/>
      <c r="B10" s="4"/>
      <c r="C10" s="6"/>
      <c r="D10" s="6"/>
      <c r="E10" s="7"/>
      <c r="F10" s="4"/>
      <c r="G10" s="4"/>
      <c r="H10" s="8"/>
      <c r="I10" s="9"/>
      <c r="J10" s="8">
        <f t="shared" si="0"/>
        <v>0</v>
      </c>
    </row>
    <row r="11" spans="1:11" ht="19.95" customHeight="1" x14ac:dyDescent="0.3">
      <c r="A11" s="10"/>
      <c r="B11" s="10"/>
      <c r="C11" s="10"/>
      <c r="D11" s="10"/>
      <c r="E11" s="11"/>
      <c r="F11" s="10"/>
      <c r="G11" s="12"/>
      <c r="H11" s="13">
        <f>SUM(H5:H10)</f>
        <v>3995</v>
      </c>
      <c r="I11" s="14">
        <f>SUM(I5:I10)</f>
        <v>2130</v>
      </c>
      <c r="J11" s="8">
        <f>SUM(J5:J10)</f>
        <v>1865</v>
      </c>
    </row>
    <row r="13" spans="1:11" ht="30" customHeight="1" x14ac:dyDescent="0.3">
      <c r="A13" s="31" t="s">
        <v>15</v>
      </c>
      <c r="B13" s="31"/>
      <c r="C13" s="31"/>
      <c r="D13" s="31"/>
      <c r="E13" s="31"/>
      <c r="F13" s="31"/>
      <c r="G13" s="31"/>
      <c r="H13" s="31"/>
      <c r="I13" s="31"/>
      <c r="J13" s="31"/>
    </row>
    <row r="14" spans="1:11" ht="30" customHeight="1" x14ac:dyDescent="0.3">
      <c r="A14" s="4" t="s">
        <v>2</v>
      </c>
      <c r="B14" s="4" t="s">
        <v>3</v>
      </c>
      <c r="C14" s="5" t="s">
        <v>4</v>
      </c>
      <c r="D14" s="5" t="s">
        <v>5</v>
      </c>
      <c r="E14" s="4" t="s">
        <v>6</v>
      </c>
      <c r="F14" s="5" t="s">
        <v>17</v>
      </c>
      <c r="G14" s="5" t="s">
        <v>7</v>
      </c>
      <c r="H14" s="4" t="s">
        <v>8</v>
      </c>
      <c r="I14" s="4" t="s">
        <v>9</v>
      </c>
      <c r="J14" s="4" t="s">
        <v>10</v>
      </c>
    </row>
    <row r="15" spans="1:11" ht="19.95" customHeight="1" x14ac:dyDescent="0.3">
      <c r="A15" s="4">
        <v>131025</v>
      </c>
      <c r="B15" s="4">
        <v>304</v>
      </c>
      <c r="C15" s="6">
        <v>0.9</v>
      </c>
      <c r="D15" s="6" t="s">
        <v>22</v>
      </c>
      <c r="E15" s="7" t="s">
        <v>68</v>
      </c>
      <c r="F15" s="4"/>
      <c r="G15" s="4" t="s">
        <v>22</v>
      </c>
      <c r="H15" s="8">
        <v>2550</v>
      </c>
      <c r="I15" s="9">
        <f>1645+905</f>
        <v>2550</v>
      </c>
      <c r="J15" s="8">
        <f t="shared" ref="J15:J21" si="1">H15-I15</f>
        <v>0</v>
      </c>
    </row>
    <row r="16" spans="1:11" ht="19.95" customHeight="1" x14ac:dyDescent="0.3">
      <c r="A16" s="4">
        <v>250057</v>
      </c>
      <c r="B16" s="4">
        <v>304</v>
      </c>
      <c r="C16" s="6">
        <v>0.7</v>
      </c>
      <c r="D16" s="6" t="s">
        <v>19</v>
      </c>
      <c r="E16" s="7" t="s">
        <v>69</v>
      </c>
      <c r="F16" s="4"/>
      <c r="G16" s="4">
        <v>304</v>
      </c>
      <c r="H16" s="8">
        <v>395</v>
      </c>
      <c r="I16" s="9">
        <v>330</v>
      </c>
      <c r="J16" s="8">
        <f t="shared" si="1"/>
        <v>65</v>
      </c>
    </row>
    <row r="17" spans="1:10" ht="19.95" customHeight="1" x14ac:dyDescent="0.3">
      <c r="A17" s="4">
        <v>250057</v>
      </c>
      <c r="B17" s="4">
        <v>304</v>
      </c>
      <c r="C17" s="6">
        <v>0.7</v>
      </c>
      <c r="D17" s="6" t="s">
        <v>19</v>
      </c>
      <c r="E17" s="7" t="s">
        <v>70</v>
      </c>
      <c r="F17" s="4"/>
      <c r="G17" s="4">
        <v>304</v>
      </c>
      <c r="H17" s="8">
        <v>15</v>
      </c>
      <c r="I17" s="9"/>
      <c r="J17" s="8">
        <f t="shared" si="1"/>
        <v>15</v>
      </c>
    </row>
    <row r="18" spans="1:10" ht="19.95" customHeight="1" x14ac:dyDescent="0.3">
      <c r="A18" s="4">
        <v>250061</v>
      </c>
      <c r="B18" s="4">
        <v>304</v>
      </c>
      <c r="C18" s="6">
        <v>0.7</v>
      </c>
      <c r="D18" s="6" t="s">
        <v>19</v>
      </c>
      <c r="E18" s="7" t="s">
        <v>71</v>
      </c>
      <c r="F18" s="4"/>
      <c r="G18" s="4">
        <v>304</v>
      </c>
      <c r="H18" s="8">
        <v>570</v>
      </c>
      <c r="I18" s="9">
        <v>620</v>
      </c>
      <c r="J18" s="8">
        <f t="shared" si="1"/>
        <v>-50</v>
      </c>
    </row>
    <row r="19" spans="1:10" ht="19.95" customHeight="1" x14ac:dyDescent="0.3">
      <c r="A19" s="4">
        <v>250061</v>
      </c>
      <c r="B19" s="4">
        <v>304</v>
      </c>
      <c r="C19" s="6">
        <v>0.7</v>
      </c>
      <c r="D19" s="6" t="s">
        <v>19</v>
      </c>
      <c r="E19" s="7" t="s">
        <v>72</v>
      </c>
      <c r="F19" s="4"/>
      <c r="G19" s="4">
        <v>304</v>
      </c>
      <c r="H19" s="8">
        <v>15</v>
      </c>
      <c r="I19" s="9"/>
      <c r="J19" s="8">
        <f t="shared" si="1"/>
        <v>15</v>
      </c>
    </row>
    <row r="20" spans="1:10" ht="19.95" customHeight="1" x14ac:dyDescent="0.3">
      <c r="A20" s="4">
        <v>290925</v>
      </c>
      <c r="B20" s="4">
        <v>304</v>
      </c>
      <c r="C20" s="6">
        <v>0.8</v>
      </c>
      <c r="D20" s="6" t="s">
        <v>22</v>
      </c>
      <c r="E20" s="7" t="s">
        <v>67</v>
      </c>
      <c r="F20" s="4"/>
      <c r="G20" s="4" t="s">
        <v>22</v>
      </c>
      <c r="H20" s="8">
        <v>3000</v>
      </c>
      <c r="I20" s="9"/>
      <c r="J20" s="8">
        <f t="shared" si="1"/>
        <v>3000</v>
      </c>
    </row>
    <row r="21" spans="1:10" ht="19.95" customHeight="1" x14ac:dyDescent="0.3">
      <c r="A21" s="4"/>
      <c r="B21" s="4"/>
      <c r="C21" s="6"/>
      <c r="D21" s="6"/>
      <c r="E21" s="7"/>
      <c r="F21" s="4"/>
      <c r="G21" s="8"/>
      <c r="H21" s="8"/>
      <c r="I21" s="9"/>
      <c r="J21" s="8">
        <f t="shared" si="1"/>
        <v>0</v>
      </c>
    </row>
    <row r="22" spans="1:10" ht="19.95" customHeight="1" x14ac:dyDescent="0.3">
      <c r="A22" s="10"/>
      <c r="B22" s="10"/>
      <c r="C22" s="10"/>
      <c r="D22" s="10"/>
      <c r="E22" s="11"/>
      <c r="F22" s="10"/>
      <c r="G22" s="12"/>
      <c r="H22" s="8">
        <f>SUM(H15:H21)</f>
        <v>6545</v>
      </c>
      <c r="I22" s="9">
        <f>SUM(I15:I21)</f>
        <v>3500</v>
      </c>
      <c r="J22" s="8">
        <f>SUM(J15:J21)</f>
        <v>3045</v>
      </c>
    </row>
    <row r="23" spans="1:10" ht="19.95" customHeight="1" x14ac:dyDescent="0.3">
      <c r="A23" s="16"/>
      <c r="B23" s="16"/>
      <c r="C23" s="16"/>
      <c r="D23" s="16"/>
      <c r="E23" s="17"/>
      <c r="F23" s="16"/>
      <c r="G23" s="16"/>
      <c r="H23" s="18"/>
      <c r="I23" s="19"/>
      <c r="J23" s="18"/>
    </row>
    <row r="24" spans="1:10" ht="30" customHeight="1" x14ac:dyDescent="0.3">
      <c r="A24" s="31" t="s">
        <v>13</v>
      </c>
      <c r="B24" s="31"/>
      <c r="C24" s="31"/>
      <c r="D24" s="31"/>
      <c r="E24" s="31"/>
      <c r="F24" s="31"/>
      <c r="G24" s="31"/>
      <c r="H24" s="31"/>
      <c r="I24" s="31"/>
      <c r="J24" s="31"/>
    </row>
    <row r="25" spans="1:10" ht="30" customHeight="1" x14ac:dyDescent="0.3">
      <c r="A25" s="4" t="s">
        <v>2</v>
      </c>
      <c r="B25" s="4" t="s">
        <v>3</v>
      </c>
      <c r="C25" s="5" t="s">
        <v>4</v>
      </c>
      <c r="D25" s="5" t="s">
        <v>5</v>
      </c>
      <c r="E25" s="4" t="s">
        <v>6</v>
      </c>
      <c r="F25" s="5" t="s">
        <v>17</v>
      </c>
      <c r="G25" s="5" t="s">
        <v>7</v>
      </c>
      <c r="H25" s="4" t="s">
        <v>8</v>
      </c>
      <c r="I25" s="4" t="s">
        <v>9</v>
      </c>
      <c r="J25" s="4" t="s">
        <v>10</v>
      </c>
    </row>
    <row r="26" spans="1:10" ht="19.95" customHeight="1" x14ac:dyDescent="0.3">
      <c r="A26" s="4">
        <v>290925</v>
      </c>
      <c r="B26" s="4">
        <v>304</v>
      </c>
      <c r="C26" s="6">
        <v>0.8</v>
      </c>
      <c r="D26" s="6" t="s">
        <v>26</v>
      </c>
      <c r="E26" s="7" t="s">
        <v>66</v>
      </c>
      <c r="F26" s="4"/>
      <c r="G26" s="4">
        <v>430</v>
      </c>
      <c r="H26" s="8">
        <v>3000</v>
      </c>
      <c r="I26" s="9">
        <f>2150+900</f>
        <v>3050</v>
      </c>
      <c r="J26" s="8">
        <f t="shared" ref="J26:J33" si="2">H26-I26</f>
        <v>-50</v>
      </c>
    </row>
    <row r="27" spans="1:10" ht="19.95" customHeight="1" x14ac:dyDescent="0.3">
      <c r="A27" s="4">
        <v>131025</v>
      </c>
      <c r="B27" s="4">
        <v>304</v>
      </c>
      <c r="C27" s="6">
        <v>0.9</v>
      </c>
      <c r="D27" s="6" t="s">
        <v>22</v>
      </c>
      <c r="E27" s="7" t="s">
        <v>68</v>
      </c>
      <c r="F27" s="4"/>
      <c r="G27" s="4" t="s">
        <v>22</v>
      </c>
      <c r="H27" s="8">
        <v>2550</v>
      </c>
      <c r="I27" s="9"/>
      <c r="J27" s="8">
        <f t="shared" si="2"/>
        <v>2550</v>
      </c>
    </row>
    <row r="28" spans="1:10" ht="19.95" customHeight="1" x14ac:dyDescent="0.3">
      <c r="A28" s="4">
        <v>250057</v>
      </c>
      <c r="B28" s="4">
        <v>304</v>
      </c>
      <c r="C28" s="6">
        <v>0.7</v>
      </c>
      <c r="D28" s="6" t="s">
        <v>19</v>
      </c>
      <c r="E28" s="7" t="s">
        <v>69</v>
      </c>
      <c r="F28" s="4"/>
      <c r="G28" s="4">
        <v>304</v>
      </c>
      <c r="H28" s="8">
        <v>395</v>
      </c>
      <c r="I28" s="9"/>
      <c r="J28" s="8">
        <f t="shared" si="2"/>
        <v>395</v>
      </c>
    </row>
    <row r="29" spans="1:10" ht="19.95" customHeight="1" x14ac:dyDescent="0.3">
      <c r="A29" s="4">
        <v>250057</v>
      </c>
      <c r="B29" s="4">
        <v>304</v>
      </c>
      <c r="C29" s="6">
        <v>0.7</v>
      </c>
      <c r="D29" s="6" t="s">
        <v>19</v>
      </c>
      <c r="E29" s="7" t="s">
        <v>70</v>
      </c>
      <c r="F29" s="4"/>
      <c r="G29" s="4">
        <v>304</v>
      </c>
      <c r="H29" s="8">
        <v>15</v>
      </c>
      <c r="I29" s="9"/>
      <c r="J29" s="8">
        <f t="shared" si="2"/>
        <v>15</v>
      </c>
    </row>
    <row r="30" spans="1:10" ht="19.95" customHeight="1" x14ac:dyDescent="0.3">
      <c r="A30" s="4">
        <v>250061</v>
      </c>
      <c r="B30" s="4">
        <v>304</v>
      </c>
      <c r="C30" s="6">
        <v>0.7</v>
      </c>
      <c r="D30" s="6" t="s">
        <v>19</v>
      </c>
      <c r="E30" s="7" t="s">
        <v>71</v>
      </c>
      <c r="F30" s="4"/>
      <c r="G30" s="4">
        <v>304</v>
      </c>
      <c r="H30" s="8">
        <v>570</v>
      </c>
      <c r="I30" s="9"/>
      <c r="J30" s="8">
        <f t="shared" si="2"/>
        <v>570</v>
      </c>
    </row>
    <row r="31" spans="1:10" ht="19.95" customHeight="1" x14ac:dyDescent="0.3">
      <c r="A31" s="4">
        <v>250061</v>
      </c>
      <c r="B31" s="4">
        <v>304</v>
      </c>
      <c r="C31" s="6">
        <v>0.7</v>
      </c>
      <c r="D31" s="6" t="s">
        <v>19</v>
      </c>
      <c r="E31" s="7" t="s">
        <v>72</v>
      </c>
      <c r="F31" s="4"/>
      <c r="G31" s="4">
        <v>304</v>
      </c>
      <c r="H31" s="8">
        <v>15</v>
      </c>
      <c r="I31" s="9"/>
      <c r="J31" s="8">
        <f t="shared" si="2"/>
        <v>15</v>
      </c>
    </row>
    <row r="32" spans="1:10" ht="19.95" customHeight="1" x14ac:dyDescent="0.3">
      <c r="A32" s="4">
        <v>290925</v>
      </c>
      <c r="B32" s="4">
        <v>304</v>
      </c>
      <c r="C32" s="6">
        <v>0.8</v>
      </c>
      <c r="D32" s="6" t="s">
        <v>22</v>
      </c>
      <c r="E32" s="7" t="s">
        <v>67</v>
      </c>
      <c r="F32" s="4"/>
      <c r="G32" s="4" t="s">
        <v>22</v>
      </c>
      <c r="H32" s="8">
        <v>3000</v>
      </c>
      <c r="I32" s="9"/>
      <c r="J32" s="8">
        <f t="shared" si="2"/>
        <v>3000</v>
      </c>
    </row>
    <row r="33" spans="1:10" ht="19.95" customHeight="1" x14ac:dyDescent="0.3">
      <c r="A33" s="4"/>
      <c r="B33" s="4"/>
      <c r="C33" s="6"/>
      <c r="D33" s="6"/>
      <c r="E33" s="7"/>
      <c r="F33" s="4"/>
      <c r="G33" s="8"/>
      <c r="H33" s="8"/>
      <c r="I33" s="9"/>
      <c r="J33" s="8">
        <f t="shared" si="2"/>
        <v>0</v>
      </c>
    </row>
    <row r="34" spans="1:10" ht="19.95" customHeight="1" x14ac:dyDescent="0.3">
      <c r="A34" s="10"/>
      <c r="B34" s="10"/>
      <c r="C34" s="10"/>
      <c r="D34" s="10"/>
      <c r="E34" s="11"/>
      <c r="F34" s="10"/>
      <c r="G34" s="12"/>
      <c r="H34" s="8">
        <f>SUM(H26:H33)</f>
        <v>9545</v>
      </c>
      <c r="I34" s="9">
        <f>SUM(I26:I33)</f>
        <v>3050</v>
      </c>
      <c r="J34" s="8">
        <f>SUM(J26:J33)</f>
        <v>6495</v>
      </c>
    </row>
    <row r="35" spans="1:10" ht="19.95" customHeight="1" x14ac:dyDescent="0.3">
      <c r="A35" s="16"/>
      <c r="B35" s="16"/>
      <c r="C35" s="16"/>
      <c r="D35" s="16"/>
      <c r="E35" s="17"/>
      <c r="F35" s="16"/>
      <c r="G35" s="16"/>
      <c r="H35" s="18"/>
      <c r="I35" s="19"/>
      <c r="J35" s="18"/>
    </row>
    <row r="36" spans="1:10" ht="30" customHeight="1" x14ac:dyDescent="0.3">
      <c r="A36" s="31" t="s">
        <v>14</v>
      </c>
      <c r="B36" s="31"/>
      <c r="C36" s="31"/>
      <c r="D36" s="31"/>
      <c r="E36" s="31"/>
      <c r="F36" s="31"/>
      <c r="G36" s="31"/>
      <c r="H36" s="31"/>
      <c r="I36" s="31"/>
      <c r="J36" s="31"/>
    </row>
    <row r="37" spans="1:10" ht="30" customHeight="1" x14ac:dyDescent="0.3">
      <c r="A37" s="4" t="s">
        <v>2</v>
      </c>
      <c r="B37" s="4" t="s">
        <v>3</v>
      </c>
      <c r="C37" s="5" t="s">
        <v>4</v>
      </c>
      <c r="D37" s="5" t="s">
        <v>5</v>
      </c>
      <c r="E37" s="4" t="s">
        <v>6</v>
      </c>
      <c r="F37" s="5" t="s">
        <v>17</v>
      </c>
      <c r="G37" s="5" t="s">
        <v>7</v>
      </c>
      <c r="H37" s="4" t="s">
        <v>8</v>
      </c>
      <c r="I37" s="4" t="s">
        <v>9</v>
      </c>
      <c r="J37" s="4" t="s">
        <v>10</v>
      </c>
    </row>
    <row r="38" spans="1:10" ht="19.95" customHeight="1" x14ac:dyDescent="0.3">
      <c r="A38" s="4">
        <v>290925</v>
      </c>
      <c r="B38" s="4">
        <v>304</v>
      </c>
      <c r="C38" s="6">
        <v>0.8</v>
      </c>
      <c r="D38" s="6" t="s">
        <v>26</v>
      </c>
      <c r="E38" s="7" t="s">
        <v>66</v>
      </c>
      <c r="F38" s="4"/>
      <c r="G38" s="4">
        <v>430</v>
      </c>
      <c r="H38" s="8">
        <v>3000</v>
      </c>
      <c r="I38" s="9">
        <f>1380+1680</f>
        <v>3060</v>
      </c>
      <c r="J38" s="8">
        <f t="shared" ref="J38:J45" si="3">H38-I38</f>
        <v>-60</v>
      </c>
    </row>
    <row r="39" spans="1:10" ht="19.95" customHeight="1" x14ac:dyDescent="0.3">
      <c r="A39" s="4">
        <v>131025</v>
      </c>
      <c r="B39" s="4">
        <v>304</v>
      </c>
      <c r="C39" s="6">
        <v>0.9</v>
      </c>
      <c r="D39" s="6" t="s">
        <v>22</v>
      </c>
      <c r="E39" s="7" t="s">
        <v>68</v>
      </c>
      <c r="F39" s="4"/>
      <c r="G39" s="4" t="s">
        <v>22</v>
      </c>
      <c r="H39" s="8">
        <v>2550</v>
      </c>
      <c r="I39" s="9"/>
      <c r="J39" s="8">
        <f>H39-I39</f>
        <v>2550</v>
      </c>
    </row>
    <row r="40" spans="1:10" ht="19.95" customHeight="1" x14ac:dyDescent="0.3">
      <c r="A40" s="4">
        <v>250057</v>
      </c>
      <c r="B40" s="4">
        <v>304</v>
      </c>
      <c r="C40" s="6">
        <v>0.7</v>
      </c>
      <c r="D40" s="6" t="s">
        <v>19</v>
      </c>
      <c r="E40" s="7" t="s">
        <v>69</v>
      </c>
      <c r="F40" s="4"/>
      <c r="G40" s="4">
        <v>304</v>
      </c>
      <c r="H40" s="8">
        <v>395</v>
      </c>
      <c r="I40" s="9"/>
      <c r="J40" s="8">
        <f t="shared" ref="J40:J43" si="4">H40-I40</f>
        <v>395</v>
      </c>
    </row>
    <row r="41" spans="1:10" ht="19.95" customHeight="1" x14ac:dyDescent="0.3">
      <c r="A41" s="4">
        <v>250057</v>
      </c>
      <c r="B41" s="4">
        <v>304</v>
      </c>
      <c r="C41" s="6">
        <v>0.7</v>
      </c>
      <c r="D41" s="6" t="s">
        <v>19</v>
      </c>
      <c r="E41" s="7" t="s">
        <v>70</v>
      </c>
      <c r="F41" s="4"/>
      <c r="G41" s="4">
        <v>304</v>
      </c>
      <c r="H41" s="8">
        <v>15</v>
      </c>
      <c r="I41" s="9"/>
      <c r="J41" s="8">
        <f t="shared" si="4"/>
        <v>15</v>
      </c>
    </row>
    <row r="42" spans="1:10" ht="19.95" customHeight="1" x14ac:dyDescent="0.3">
      <c r="A42" s="4">
        <v>250061</v>
      </c>
      <c r="B42" s="4">
        <v>304</v>
      </c>
      <c r="C42" s="6">
        <v>0.7</v>
      </c>
      <c r="D42" s="6" t="s">
        <v>19</v>
      </c>
      <c r="E42" s="7" t="s">
        <v>71</v>
      </c>
      <c r="F42" s="4"/>
      <c r="G42" s="4">
        <v>304</v>
      </c>
      <c r="H42" s="8">
        <v>570</v>
      </c>
      <c r="I42" s="9"/>
      <c r="J42" s="8">
        <f t="shared" si="4"/>
        <v>570</v>
      </c>
    </row>
    <row r="43" spans="1:10" ht="19.95" customHeight="1" x14ac:dyDescent="0.3">
      <c r="A43" s="4">
        <v>250061</v>
      </c>
      <c r="B43" s="4">
        <v>304</v>
      </c>
      <c r="C43" s="6">
        <v>0.7</v>
      </c>
      <c r="D43" s="6" t="s">
        <v>19</v>
      </c>
      <c r="E43" s="7" t="s">
        <v>72</v>
      </c>
      <c r="F43" s="4"/>
      <c r="G43" s="4">
        <v>304</v>
      </c>
      <c r="H43" s="8">
        <v>15</v>
      </c>
      <c r="I43" s="9"/>
      <c r="J43" s="8">
        <f t="shared" si="4"/>
        <v>15</v>
      </c>
    </row>
    <row r="44" spans="1:10" ht="19.95" customHeight="1" x14ac:dyDescent="0.3">
      <c r="A44" s="4">
        <v>290925</v>
      </c>
      <c r="B44" s="4">
        <v>304</v>
      </c>
      <c r="C44" s="6">
        <v>0.8</v>
      </c>
      <c r="D44" s="6" t="s">
        <v>22</v>
      </c>
      <c r="E44" s="7" t="s">
        <v>67</v>
      </c>
      <c r="F44" s="4"/>
      <c r="G44" s="4" t="s">
        <v>22</v>
      </c>
      <c r="H44" s="8">
        <v>3000</v>
      </c>
      <c r="I44" s="9"/>
      <c r="J44" s="8">
        <f>H44-I44</f>
        <v>3000</v>
      </c>
    </row>
    <row r="45" spans="1:10" ht="19.95" customHeight="1" x14ac:dyDescent="0.3">
      <c r="A45" s="4"/>
      <c r="B45" s="4"/>
      <c r="C45" s="6"/>
      <c r="D45" s="6"/>
      <c r="E45" s="7"/>
      <c r="F45" s="4"/>
      <c r="G45" s="4"/>
      <c r="H45" s="8"/>
      <c r="I45" s="9"/>
      <c r="J45" s="8">
        <f t="shared" si="3"/>
        <v>0</v>
      </c>
    </row>
    <row r="46" spans="1:10" ht="19.95" customHeight="1" x14ac:dyDescent="0.3">
      <c r="A46" s="10"/>
      <c r="B46" s="10"/>
      <c r="C46" s="10"/>
      <c r="D46" s="10"/>
      <c r="E46" s="11"/>
      <c r="F46" s="10"/>
      <c r="G46" s="12"/>
      <c r="H46" s="8">
        <f>SUM(H38:H45)</f>
        <v>9545</v>
      </c>
      <c r="I46" s="9">
        <f>SUM(I38:I45)</f>
        <v>3060</v>
      </c>
      <c r="J46" s="8">
        <f>SUM(J38:J45)</f>
        <v>6485</v>
      </c>
    </row>
    <row r="47" spans="1:10" ht="19.95" customHeight="1" x14ac:dyDescent="0.3">
      <c r="A47" s="16"/>
      <c r="B47" s="16"/>
      <c r="C47" s="16"/>
      <c r="D47" s="16"/>
      <c r="E47" s="17"/>
      <c r="F47" s="16"/>
      <c r="G47" s="16"/>
      <c r="H47" s="18"/>
      <c r="I47" s="19"/>
      <c r="J47" s="18"/>
    </row>
    <row r="48" spans="1:10" ht="30" customHeight="1" x14ac:dyDescent="0.3">
      <c r="A48" s="31" t="s">
        <v>16</v>
      </c>
      <c r="B48" s="31"/>
      <c r="C48" s="31"/>
      <c r="D48" s="31"/>
      <c r="E48" s="31"/>
      <c r="F48" s="31"/>
      <c r="G48" s="31"/>
      <c r="H48" s="31"/>
      <c r="I48" s="31"/>
      <c r="J48" s="31"/>
    </row>
    <row r="49" spans="1:10" ht="30" customHeight="1" x14ac:dyDescent="0.3">
      <c r="A49" s="4" t="s">
        <v>2</v>
      </c>
      <c r="B49" s="4" t="s">
        <v>3</v>
      </c>
      <c r="C49" s="5" t="s">
        <v>4</v>
      </c>
      <c r="D49" s="5" t="s">
        <v>5</v>
      </c>
      <c r="E49" s="4" t="s">
        <v>6</v>
      </c>
      <c r="F49" s="5" t="s">
        <v>18</v>
      </c>
      <c r="G49" s="5" t="s">
        <v>7</v>
      </c>
      <c r="H49" s="4" t="s">
        <v>8</v>
      </c>
      <c r="I49" s="4" t="s">
        <v>9</v>
      </c>
      <c r="J49" s="4" t="s">
        <v>10</v>
      </c>
    </row>
    <row r="50" spans="1:10" ht="19.95" customHeight="1" x14ac:dyDescent="0.3">
      <c r="A50" s="4"/>
      <c r="B50" s="4"/>
      <c r="C50" s="6"/>
      <c r="D50" s="6"/>
      <c r="E50" s="7"/>
      <c r="F50" s="4"/>
      <c r="G50" s="4"/>
      <c r="H50" s="8"/>
      <c r="I50" s="9"/>
      <c r="J50" s="8">
        <f t="shared" ref="J50:J55" si="5">H50-I50</f>
        <v>0</v>
      </c>
    </row>
    <row r="51" spans="1:10" ht="19.95" customHeight="1" x14ac:dyDescent="0.3">
      <c r="A51" s="4"/>
      <c r="B51" s="4"/>
      <c r="C51" s="6"/>
      <c r="D51" s="6"/>
      <c r="E51" s="7"/>
      <c r="F51" s="4"/>
      <c r="G51" s="4"/>
      <c r="H51" s="8"/>
      <c r="I51" s="9"/>
      <c r="J51" s="8">
        <f t="shared" si="5"/>
        <v>0</v>
      </c>
    </row>
    <row r="52" spans="1:10" ht="19.95" customHeight="1" x14ac:dyDescent="0.3">
      <c r="A52" s="4"/>
      <c r="B52" s="4"/>
      <c r="C52" s="6"/>
      <c r="D52" s="6"/>
      <c r="E52" s="7"/>
      <c r="F52" s="4"/>
      <c r="G52" s="4"/>
      <c r="H52" s="8"/>
      <c r="I52" s="9"/>
      <c r="J52" s="8">
        <f t="shared" si="5"/>
        <v>0</v>
      </c>
    </row>
    <row r="53" spans="1:10" ht="19.95" customHeight="1" x14ac:dyDescent="0.3">
      <c r="A53" s="4"/>
      <c r="B53" s="4"/>
      <c r="C53" s="6"/>
      <c r="D53" s="6"/>
      <c r="E53" s="7"/>
      <c r="G53" s="8"/>
      <c r="H53" s="8"/>
      <c r="I53" s="9"/>
      <c r="J53" s="8">
        <f t="shared" si="5"/>
        <v>0</v>
      </c>
    </row>
    <row r="54" spans="1:10" ht="19.95" customHeight="1" x14ac:dyDescent="0.3">
      <c r="A54" s="4"/>
      <c r="B54" s="4"/>
      <c r="C54" s="6"/>
      <c r="D54" s="6"/>
      <c r="E54" s="7"/>
      <c r="F54" s="4"/>
      <c r="G54" s="4"/>
      <c r="H54" s="8"/>
      <c r="I54" s="9"/>
      <c r="J54" s="8">
        <f t="shared" si="5"/>
        <v>0</v>
      </c>
    </row>
    <row r="55" spans="1:10" ht="19.95" customHeight="1" x14ac:dyDescent="0.3">
      <c r="A55" s="4"/>
      <c r="B55" s="4"/>
      <c r="C55" s="6"/>
      <c r="D55" s="6"/>
      <c r="E55" s="7"/>
      <c r="F55" s="4"/>
      <c r="G55" s="4"/>
      <c r="H55" s="8"/>
      <c r="I55" s="9"/>
      <c r="J55" s="8">
        <f t="shared" si="5"/>
        <v>0</v>
      </c>
    </row>
    <row r="56" spans="1:10" ht="19.95" customHeight="1" x14ac:dyDescent="0.3">
      <c r="A56" s="10"/>
      <c r="B56" s="10"/>
      <c r="C56" s="10"/>
      <c r="D56" s="10"/>
      <c r="E56" s="11"/>
      <c r="F56" s="10"/>
      <c r="G56" s="12"/>
      <c r="H56" s="8">
        <f>SUM(H50:H55)</f>
        <v>0</v>
      </c>
      <c r="I56" s="9">
        <f>SUM(I50:I55)</f>
        <v>0</v>
      </c>
      <c r="J56" s="8">
        <f>SUM(J50:J55)</f>
        <v>0</v>
      </c>
    </row>
    <row r="57" spans="1:10" ht="19.95" customHeight="1" x14ac:dyDescent="0.3">
      <c r="A57" s="16"/>
      <c r="B57" s="16"/>
      <c r="C57" s="16"/>
      <c r="D57" s="16"/>
      <c r="E57" s="17"/>
      <c r="F57" s="16"/>
      <c r="G57" s="16"/>
      <c r="H57" s="18"/>
      <c r="I57" s="19"/>
      <c r="J57" s="18"/>
    </row>
    <row r="59" spans="1:10" ht="23.4" x14ac:dyDescent="0.3">
      <c r="A59" s="31" t="s">
        <v>11</v>
      </c>
      <c r="B59" s="31"/>
      <c r="C59" s="31"/>
      <c r="D59" s="31"/>
      <c r="E59" s="31"/>
      <c r="F59" s="31"/>
      <c r="G59" s="31"/>
      <c r="H59" s="31"/>
      <c r="I59" s="31"/>
      <c r="J59" s="31"/>
    </row>
  </sheetData>
  <mergeCells count="8">
    <mergeCell ref="A48:J48"/>
    <mergeCell ref="A59:J59"/>
    <mergeCell ref="I1:J1"/>
    <mergeCell ref="A2:J2"/>
    <mergeCell ref="A3:J3"/>
    <mergeCell ref="A13:J13"/>
    <mergeCell ref="A24:J24"/>
    <mergeCell ref="A36:J36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43" orientation="landscape" horizontalDpi="1200" verticalDpi="120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1"/>
  <sheetViews>
    <sheetView zoomScale="70" zoomScaleNormal="70" workbookViewId="0">
      <selection activeCell="I8" sqref="I8"/>
    </sheetView>
  </sheetViews>
  <sheetFormatPr defaultRowHeight="14.4" x14ac:dyDescent="0.3"/>
  <cols>
    <col min="1" max="1" width="15.6640625" style="24" customWidth="1"/>
    <col min="2" max="3" width="12.6640625" style="24" customWidth="1"/>
    <col min="4" max="4" width="15.6640625" style="24" customWidth="1"/>
    <col min="5" max="5" width="80.6640625" style="24" customWidth="1"/>
    <col min="6" max="6" width="22.77734375" style="15" customWidth="1"/>
    <col min="7" max="7" width="12.33203125" style="24" customWidth="1"/>
    <col min="8" max="10" width="15.6640625" style="24" customWidth="1"/>
    <col min="11" max="16384" width="8.88671875" style="24"/>
  </cols>
  <sheetData>
    <row r="1" spans="1:11" s="1" customFormat="1" ht="30" customHeight="1" x14ac:dyDescent="0.3">
      <c r="F1" s="2"/>
      <c r="G1" s="2"/>
      <c r="H1" s="3" t="s">
        <v>0</v>
      </c>
      <c r="I1" s="27">
        <v>45955</v>
      </c>
      <c r="J1" s="27"/>
    </row>
    <row r="2" spans="1:11" ht="40.049999999999997" customHeight="1" x14ac:dyDescent="0.3">
      <c r="A2" s="28" t="s">
        <v>1</v>
      </c>
      <c r="B2" s="29"/>
      <c r="C2" s="29"/>
      <c r="D2" s="29"/>
      <c r="E2" s="29"/>
      <c r="F2" s="29"/>
      <c r="G2" s="29"/>
      <c r="H2" s="29"/>
      <c r="I2" s="29"/>
      <c r="J2" s="30"/>
    </row>
    <row r="3" spans="1:11" ht="30" customHeight="1" x14ac:dyDescent="0.3">
      <c r="A3" s="31" t="s">
        <v>12</v>
      </c>
      <c r="B3" s="31"/>
      <c r="C3" s="31"/>
      <c r="D3" s="31"/>
      <c r="E3" s="31"/>
      <c r="F3" s="31"/>
      <c r="G3" s="31"/>
      <c r="H3" s="31"/>
      <c r="I3" s="31"/>
      <c r="J3" s="31"/>
    </row>
    <row r="4" spans="1:11" ht="30" customHeight="1" x14ac:dyDescent="0.3">
      <c r="A4" s="4" t="s">
        <v>2</v>
      </c>
      <c r="B4" s="4" t="s">
        <v>3</v>
      </c>
      <c r="C4" s="5" t="s">
        <v>4</v>
      </c>
      <c r="D4" s="5" t="s">
        <v>5</v>
      </c>
      <c r="E4" s="4" t="s">
        <v>6</v>
      </c>
      <c r="F4" s="5" t="s">
        <v>17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1" ht="19.95" customHeight="1" x14ac:dyDescent="0.3">
      <c r="A5" s="4">
        <v>250057</v>
      </c>
      <c r="B5" s="4">
        <v>304</v>
      </c>
      <c r="C5" s="6">
        <v>0.7</v>
      </c>
      <c r="D5" s="6" t="s">
        <v>19</v>
      </c>
      <c r="E5" s="7" t="s">
        <v>70</v>
      </c>
      <c r="F5" s="4"/>
      <c r="G5" s="4">
        <v>304</v>
      </c>
      <c r="H5" s="8">
        <v>15</v>
      </c>
      <c r="I5" s="9">
        <v>15</v>
      </c>
      <c r="J5" s="22">
        <f t="shared" ref="J5:J10" si="0">H5-I5</f>
        <v>0</v>
      </c>
      <c r="K5" s="20"/>
    </row>
    <row r="6" spans="1:11" ht="19.95" customHeight="1" x14ac:dyDescent="0.3">
      <c r="A6" s="4">
        <v>250061</v>
      </c>
      <c r="B6" s="4">
        <v>304</v>
      </c>
      <c r="C6" s="6">
        <v>0.7</v>
      </c>
      <c r="D6" s="6" t="s">
        <v>19</v>
      </c>
      <c r="E6" s="7" t="s">
        <v>72</v>
      </c>
      <c r="F6" s="4"/>
      <c r="G6" s="4">
        <v>304</v>
      </c>
      <c r="H6" s="8">
        <v>15</v>
      </c>
      <c r="I6" s="9">
        <v>15</v>
      </c>
      <c r="J6" s="22">
        <f t="shared" si="0"/>
        <v>0</v>
      </c>
      <c r="K6" s="20"/>
    </row>
    <row r="7" spans="1:11" ht="19.95" customHeight="1" x14ac:dyDescent="0.3">
      <c r="A7" s="4">
        <v>290925</v>
      </c>
      <c r="B7" s="4">
        <v>304</v>
      </c>
      <c r="C7" s="6">
        <v>0.8</v>
      </c>
      <c r="D7" s="6" t="s">
        <v>22</v>
      </c>
      <c r="E7" s="7" t="s">
        <v>67</v>
      </c>
      <c r="F7" s="4"/>
      <c r="G7" s="4" t="s">
        <v>22</v>
      </c>
      <c r="H7" s="8">
        <v>3000</v>
      </c>
      <c r="I7" s="9">
        <f>1000+1450</f>
        <v>2450</v>
      </c>
      <c r="J7" s="22">
        <f t="shared" si="0"/>
        <v>550</v>
      </c>
      <c r="K7" s="20"/>
    </row>
    <row r="8" spans="1:11" ht="19.95" customHeight="1" x14ac:dyDescent="0.3">
      <c r="A8" s="4">
        <v>230925</v>
      </c>
      <c r="B8" s="4">
        <v>430</v>
      </c>
      <c r="C8" s="6" t="s">
        <v>73</v>
      </c>
      <c r="D8" s="6" t="s">
        <v>74</v>
      </c>
      <c r="E8" s="7" t="s">
        <v>75</v>
      </c>
      <c r="F8" s="4"/>
      <c r="G8" s="4">
        <v>430</v>
      </c>
      <c r="H8" s="8">
        <v>6000</v>
      </c>
      <c r="I8" s="9"/>
      <c r="J8" s="22">
        <f t="shared" si="0"/>
        <v>6000</v>
      </c>
      <c r="K8" s="20"/>
    </row>
    <row r="9" spans="1:11" ht="19.95" customHeight="1" x14ac:dyDescent="0.3">
      <c r="A9" s="4">
        <v>230925</v>
      </c>
      <c r="B9" s="4">
        <v>430</v>
      </c>
      <c r="C9" s="6" t="s">
        <v>73</v>
      </c>
      <c r="D9" s="6" t="s">
        <v>74</v>
      </c>
      <c r="E9" s="7" t="s">
        <v>76</v>
      </c>
      <c r="F9" s="4"/>
      <c r="G9" s="4">
        <v>430</v>
      </c>
      <c r="H9" s="8">
        <v>5300</v>
      </c>
      <c r="I9" s="9"/>
      <c r="J9" s="22">
        <f t="shared" si="0"/>
        <v>5300</v>
      </c>
      <c r="K9" s="20"/>
    </row>
    <row r="10" spans="1:11" ht="19.95" customHeight="1" x14ac:dyDescent="0.3">
      <c r="A10" s="4"/>
      <c r="B10" s="4"/>
      <c r="C10" s="6"/>
      <c r="D10" s="6"/>
      <c r="E10" s="7"/>
      <c r="F10" s="4"/>
      <c r="G10" s="4"/>
      <c r="H10" s="8"/>
      <c r="I10" s="9"/>
      <c r="J10" s="8">
        <f t="shared" si="0"/>
        <v>0</v>
      </c>
    </row>
    <row r="11" spans="1:11" ht="19.95" customHeight="1" x14ac:dyDescent="0.3">
      <c r="A11" s="10"/>
      <c r="B11" s="10"/>
      <c r="C11" s="10"/>
      <c r="D11" s="10"/>
      <c r="E11" s="11"/>
      <c r="F11" s="10"/>
      <c r="G11" s="12"/>
      <c r="H11" s="13">
        <f>SUM(H5:H10)</f>
        <v>14330</v>
      </c>
      <c r="I11" s="14">
        <f>SUM(I5:I10)</f>
        <v>2480</v>
      </c>
      <c r="J11" s="8">
        <f>SUM(J5:J10)</f>
        <v>11850</v>
      </c>
    </row>
    <row r="13" spans="1:11" ht="30" customHeight="1" x14ac:dyDescent="0.3">
      <c r="A13" s="31" t="s">
        <v>15</v>
      </c>
      <c r="B13" s="31"/>
      <c r="C13" s="31"/>
      <c r="D13" s="31"/>
      <c r="E13" s="31"/>
      <c r="F13" s="31"/>
      <c r="G13" s="31"/>
      <c r="H13" s="31"/>
      <c r="I13" s="31"/>
      <c r="J13" s="31"/>
    </row>
    <row r="14" spans="1:11" ht="30" customHeight="1" x14ac:dyDescent="0.3">
      <c r="A14" s="4" t="s">
        <v>2</v>
      </c>
      <c r="B14" s="4" t="s">
        <v>3</v>
      </c>
      <c r="C14" s="5" t="s">
        <v>4</v>
      </c>
      <c r="D14" s="5" t="s">
        <v>5</v>
      </c>
      <c r="E14" s="4" t="s">
        <v>6</v>
      </c>
      <c r="F14" s="5" t="s">
        <v>17</v>
      </c>
      <c r="G14" s="5" t="s">
        <v>7</v>
      </c>
      <c r="H14" s="4" t="s">
        <v>8</v>
      </c>
      <c r="I14" s="4" t="s">
        <v>9</v>
      </c>
      <c r="J14" s="4" t="s">
        <v>10</v>
      </c>
    </row>
    <row r="15" spans="1:11" ht="19.95" customHeight="1" x14ac:dyDescent="0.3">
      <c r="A15" s="4">
        <v>250057</v>
      </c>
      <c r="B15" s="4">
        <v>304</v>
      </c>
      <c r="C15" s="6">
        <v>0.7</v>
      </c>
      <c r="D15" s="6" t="s">
        <v>19</v>
      </c>
      <c r="E15" s="7" t="s">
        <v>69</v>
      </c>
      <c r="F15" s="4"/>
      <c r="G15" s="4">
        <v>304</v>
      </c>
      <c r="H15" s="8">
        <v>395</v>
      </c>
      <c r="I15" s="9">
        <f>330+140</f>
        <v>470</v>
      </c>
      <c r="J15" s="8">
        <f t="shared" ref="J15:J21" si="1">H15-I15</f>
        <v>-75</v>
      </c>
    </row>
    <row r="16" spans="1:11" ht="19.95" customHeight="1" x14ac:dyDescent="0.3">
      <c r="A16" s="4">
        <v>250057</v>
      </c>
      <c r="B16" s="4">
        <v>304</v>
      </c>
      <c r="C16" s="6">
        <v>0.7</v>
      </c>
      <c r="D16" s="6" t="s">
        <v>19</v>
      </c>
      <c r="E16" s="7" t="s">
        <v>70</v>
      </c>
      <c r="F16" s="4"/>
      <c r="G16" s="4">
        <v>304</v>
      </c>
      <c r="H16" s="8">
        <v>15</v>
      </c>
      <c r="I16" s="9">
        <v>15</v>
      </c>
      <c r="J16" s="8">
        <f t="shared" si="1"/>
        <v>0</v>
      </c>
    </row>
    <row r="17" spans="1:10" ht="19.95" customHeight="1" x14ac:dyDescent="0.3">
      <c r="A17" s="4">
        <v>250061</v>
      </c>
      <c r="B17" s="4">
        <v>304</v>
      </c>
      <c r="C17" s="6">
        <v>0.7</v>
      </c>
      <c r="D17" s="6" t="s">
        <v>19</v>
      </c>
      <c r="E17" s="7" t="s">
        <v>72</v>
      </c>
      <c r="F17" s="4"/>
      <c r="G17" s="4">
        <v>304</v>
      </c>
      <c r="H17" s="8">
        <v>15</v>
      </c>
      <c r="I17" s="9">
        <v>15</v>
      </c>
      <c r="J17" s="8">
        <f t="shared" si="1"/>
        <v>0</v>
      </c>
    </row>
    <row r="18" spans="1:10" ht="19.95" customHeight="1" x14ac:dyDescent="0.3">
      <c r="A18" s="4">
        <v>290925</v>
      </c>
      <c r="B18" s="4">
        <v>304</v>
      </c>
      <c r="C18" s="6">
        <v>0.8</v>
      </c>
      <c r="D18" s="6" t="s">
        <v>22</v>
      </c>
      <c r="E18" s="7" t="s">
        <v>67</v>
      </c>
      <c r="F18" s="4"/>
      <c r="G18" s="4" t="s">
        <v>22</v>
      </c>
      <c r="H18" s="8">
        <v>3000</v>
      </c>
      <c r="I18" s="9">
        <v>925</v>
      </c>
      <c r="J18" s="8">
        <f t="shared" si="1"/>
        <v>2075</v>
      </c>
    </row>
    <row r="19" spans="1:10" ht="19.95" customHeight="1" x14ac:dyDescent="0.3">
      <c r="A19" s="4">
        <v>230925</v>
      </c>
      <c r="B19" s="4">
        <v>430</v>
      </c>
      <c r="C19" s="6" t="s">
        <v>73</v>
      </c>
      <c r="D19" s="6" t="s">
        <v>74</v>
      </c>
      <c r="E19" s="7" t="s">
        <v>75</v>
      </c>
      <c r="F19" s="4"/>
      <c r="G19" s="4">
        <v>430</v>
      </c>
      <c r="H19" s="8">
        <v>6000</v>
      </c>
      <c r="I19" s="9"/>
      <c r="J19" s="8">
        <f t="shared" si="1"/>
        <v>6000</v>
      </c>
    </row>
    <row r="20" spans="1:10" ht="19.95" customHeight="1" x14ac:dyDescent="0.3">
      <c r="A20" s="4">
        <v>230925</v>
      </c>
      <c r="B20" s="4">
        <v>430</v>
      </c>
      <c r="C20" s="6" t="s">
        <v>73</v>
      </c>
      <c r="D20" s="6" t="s">
        <v>74</v>
      </c>
      <c r="E20" s="7" t="s">
        <v>76</v>
      </c>
      <c r="F20" s="4"/>
      <c r="G20" s="4">
        <v>430</v>
      </c>
      <c r="H20" s="8">
        <v>5300</v>
      </c>
      <c r="I20" s="9"/>
      <c r="J20" s="8">
        <f t="shared" si="1"/>
        <v>5300</v>
      </c>
    </row>
    <row r="21" spans="1:10" ht="19.95" customHeight="1" x14ac:dyDescent="0.3">
      <c r="A21" s="4"/>
      <c r="B21" s="4"/>
      <c r="C21" s="6"/>
      <c r="D21" s="6"/>
      <c r="E21" s="7"/>
      <c r="F21" s="4"/>
      <c r="G21" s="8"/>
      <c r="H21" s="8"/>
      <c r="I21" s="9"/>
      <c r="J21" s="8">
        <f t="shared" si="1"/>
        <v>0</v>
      </c>
    </row>
    <row r="22" spans="1:10" ht="19.95" customHeight="1" x14ac:dyDescent="0.3">
      <c r="A22" s="10"/>
      <c r="B22" s="10"/>
      <c r="C22" s="10"/>
      <c r="D22" s="10"/>
      <c r="E22" s="11"/>
      <c r="F22" s="10"/>
      <c r="G22" s="12"/>
      <c r="H22" s="8">
        <f>SUM(H15:H21)</f>
        <v>14725</v>
      </c>
      <c r="I22" s="9">
        <f>SUM(I15:I21)</f>
        <v>1425</v>
      </c>
      <c r="J22" s="8">
        <f>SUM(J15:J21)</f>
        <v>13300</v>
      </c>
    </row>
    <row r="23" spans="1:10" ht="19.95" customHeight="1" x14ac:dyDescent="0.3">
      <c r="A23" s="16"/>
      <c r="B23" s="16"/>
      <c r="C23" s="16"/>
      <c r="D23" s="16"/>
      <c r="E23" s="17"/>
      <c r="F23" s="16"/>
      <c r="G23" s="16"/>
      <c r="H23" s="18"/>
      <c r="I23" s="19"/>
      <c r="J23" s="18"/>
    </row>
    <row r="24" spans="1:10" ht="30" customHeight="1" x14ac:dyDescent="0.3">
      <c r="A24" s="31" t="s">
        <v>13</v>
      </c>
      <c r="B24" s="31"/>
      <c r="C24" s="31"/>
      <c r="D24" s="31"/>
      <c r="E24" s="31"/>
      <c r="F24" s="31"/>
      <c r="G24" s="31"/>
      <c r="H24" s="31"/>
      <c r="I24" s="31"/>
      <c r="J24" s="31"/>
    </row>
    <row r="25" spans="1:10" ht="30" customHeight="1" x14ac:dyDescent="0.3">
      <c r="A25" s="4" t="s">
        <v>2</v>
      </c>
      <c r="B25" s="4" t="s">
        <v>3</v>
      </c>
      <c r="C25" s="5" t="s">
        <v>4</v>
      </c>
      <c r="D25" s="5" t="s">
        <v>5</v>
      </c>
      <c r="E25" s="4" t="s">
        <v>6</v>
      </c>
      <c r="F25" s="5" t="s">
        <v>17</v>
      </c>
      <c r="G25" s="5" t="s">
        <v>7</v>
      </c>
      <c r="H25" s="4" t="s">
        <v>8</v>
      </c>
      <c r="I25" s="4" t="s">
        <v>9</v>
      </c>
      <c r="J25" s="4" t="s">
        <v>10</v>
      </c>
    </row>
    <row r="26" spans="1:10" ht="19.95" customHeight="1" x14ac:dyDescent="0.3">
      <c r="A26" s="4">
        <v>131025</v>
      </c>
      <c r="B26" s="4">
        <v>304</v>
      </c>
      <c r="C26" s="6">
        <v>0.9</v>
      </c>
      <c r="D26" s="6" t="s">
        <v>22</v>
      </c>
      <c r="E26" s="7" t="s">
        <v>68</v>
      </c>
      <c r="F26" s="4"/>
      <c r="G26" s="4" t="s">
        <v>22</v>
      </c>
      <c r="H26" s="8">
        <v>2550</v>
      </c>
      <c r="I26" s="9">
        <v>50</v>
      </c>
      <c r="J26" s="8">
        <f t="shared" ref="J26:J34" si="2">H26-I26</f>
        <v>2500</v>
      </c>
    </row>
    <row r="27" spans="1:10" ht="19.95" customHeight="1" x14ac:dyDescent="0.3">
      <c r="A27" s="4">
        <v>250057</v>
      </c>
      <c r="B27" s="4">
        <v>304</v>
      </c>
      <c r="C27" s="6">
        <v>0.7</v>
      </c>
      <c r="D27" s="6" t="s">
        <v>19</v>
      </c>
      <c r="E27" s="7" t="s">
        <v>69</v>
      </c>
      <c r="F27" s="4"/>
      <c r="G27" s="4">
        <v>304</v>
      </c>
      <c r="H27" s="8">
        <v>395</v>
      </c>
      <c r="I27" s="9"/>
      <c r="J27" s="8">
        <f t="shared" si="2"/>
        <v>395</v>
      </c>
    </row>
    <row r="28" spans="1:10" ht="19.95" customHeight="1" x14ac:dyDescent="0.3">
      <c r="A28" s="4">
        <v>250057</v>
      </c>
      <c r="B28" s="4">
        <v>304</v>
      </c>
      <c r="C28" s="6">
        <v>0.7</v>
      </c>
      <c r="D28" s="6" t="s">
        <v>19</v>
      </c>
      <c r="E28" s="7" t="s">
        <v>70</v>
      </c>
      <c r="F28" s="4"/>
      <c r="G28" s="4">
        <v>304</v>
      </c>
      <c r="H28" s="8">
        <v>15</v>
      </c>
      <c r="I28" s="9"/>
      <c r="J28" s="8">
        <f t="shared" si="2"/>
        <v>15</v>
      </c>
    </row>
    <row r="29" spans="1:10" ht="19.95" customHeight="1" x14ac:dyDescent="0.3">
      <c r="A29" s="4">
        <v>250061</v>
      </c>
      <c r="B29" s="4">
        <v>304</v>
      </c>
      <c r="C29" s="6">
        <v>0.7</v>
      </c>
      <c r="D29" s="6" t="s">
        <v>19</v>
      </c>
      <c r="E29" s="7" t="s">
        <v>71</v>
      </c>
      <c r="F29" s="4"/>
      <c r="G29" s="4">
        <v>304</v>
      </c>
      <c r="H29" s="8">
        <v>570</v>
      </c>
      <c r="I29" s="9"/>
      <c r="J29" s="8">
        <f t="shared" si="2"/>
        <v>570</v>
      </c>
    </row>
    <row r="30" spans="1:10" ht="19.95" customHeight="1" x14ac:dyDescent="0.3">
      <c r="A30" s="4">
        <v>250061</v>
      </c>
      <c r="B30" s="4">
        <v>304</v>
      </c>
      <c r="C30" s="6">
        <v>0.7</v>
      </c>
      <c r="D30" s="6" t="s">
        <v>19</v>
      </c>
      <c r="E30" s="7" t="s">
        <v>72</v>
      </c>
      <c r="F30" s="4"/>
      <c r="G30" s="4">
        <v>304</v>
      </c>
      <c r="H30" s="8">
        <v>15</v>
      </c>
      <c r="I30" s="9"/>
      <c r="J30" s="8">
        <f t="shared" si="2"/>
        <v>15</v>
      </c>
    </row>
    <row r="31" spans="1:10" ht="19.95" customHeight="1" x14ac:dyDescent="0.3">
      <c r="A31" s="4">
        <v>290925</v>
      </c>
      <c r="B31" s="4">
        <v>304</v>
      </c>
      <c r="C31" s="6">
        <v>0.8</v>
      </c>
      <c r="D31" s="6" t="s">
        <v>22</v>
      </c>
      <c r="E31" s="7" t="s">
        <v>67</v>
      </c>
      <c r="F31" s="4"/>
      <c r="G31" s="4" t="s">
        <v>22</v>
      </c>
      <c r="H31" s="8">
        <v>3000</v>
      </c>
      <c r="I31" s="9"/>
      <c r="J31" s="8">
        <f t="shared" si="2"/>
        <v>3000</v>
      </c>
    </row>
    <row r="32" spans="1:10" ht="19.95" customHeight="1" x14ac:dyDescent="0.3">
      <c r="A32" s="4">
        <v>230925</v>
      </c>
      <c r="B32" s="4">
        <v>430</v>
      </c>
      <c r="C32" s="6" t="s">
        <v>73</v>
      </c>
      <c r="D32" s="6" t="s">
        <v>74</v>
      </c>
      <c r="E32" s="7" t="s">
        <v>75</v>
      </c>
      <c r="F32" s="4"/>
      <c r="G32" s="4">
        <v>430</v>
      </c>
      <c r="H32" s="8">
        <v>6000</v>
      </c>
      <c r="I32" s="9"/>
      <c r="J32" s="8">
        <f t="shared" si="2"/>
        <v>6000</v>
      </c>
    </row>
    <row r="33" spans="1:10" ht="19.95" customHeight="1" x14ac:dyDescent="0.3">
      <c r="A33" s="4">
        <v>230925</v>
      </c>
      <c r="B33" s="4">
        <v>430</v>
      </c>
      <c r="C33" s="6" t="s">
        <v>73</v>
      </c>
      <c r="D33" s="6" t="s">
        <v>74</v>
      </c>
      <c r="E33" s="7" t="s">
        <v>76</v>
      </c>
      <c r="F33" s="4"/>
      <c r="G33" s="4">
        <v>430</v>
      </c>
      <c r="H33" s="8">
        <v>5300</v>
      </c>
      <c r="I33" s="9"/>
      <c r="J33" s="8">
        <f t="shared" si="2"/>
        <v>5300</v>
      </c>
    </row>
    <row r="34" spans="1:10" ht="19.95" customHeight="1" x14ac:dyDescent="0.3">
      <c r="A34" s="4"/>
      <c r="B34" s="4"/>
      <c r="C34" s="6"/>
      <c r="D34" s="6"/>
      <c r="E34" s="7"/>
      <c r="F34" s="4"/>
      <c r="G34" s="8"/>
      <c r="H34" s="8"/>
      <c r="I34" s="9"/>
      <c r="J34" s="8">
        <f t="shared" si="2"/>
        <v>0</v>
      </c>
    </row>
    <row r="35" spans="1:10" ht="19.95" customHeight="1" x14ac:dyDescent="0.3">
      <c r="A35" s="10"/>
      <c r="B35" s="10"/>
      <c r="C35" s="10"/>
      <c r="D35" s="10"/>
      <c r="E35" s="11"/>
      <c r="F35" s="10"/>
      <c r="G35" s="12"/>
      <c r="H35" s="8">
        <f>SUM(H26:H34)</f>
        <v>17845</v>
      </c>
      <c r="I35" s="9">
        <f>SUM(I26:I34)</f>
        <v>50</v>
      </c>
      <c r="J35" s="8">
        <f>SUM(J26:J34)</f>
        <v>17795</v>
      </c>
    </row>
    <row r="36" spans="1:10" ht="19.95" customHeight="1" x14ac:dyDescent="0.3">
      <c r="A36" s="16"/>
      <c r="B36" s="16"/>
      <c r="C36" s="16"/>
      <c r="D36" s="16"/>
      <c r="E36" s="17"/>
      <c r="F36" s="16"/>
      <c r="G36" s="16"/>
      <c r="H36" s="18"/>
      <c r="I36" s="19"/>
      <c r="J36" s="18"/>
    </row>
    <row r="37" spans="1:10" ht="30" customHeight="1" x14ac:dyDescent="0.3">
      <c r="A37" s="31" t="s">
        <v>14</v>
      </c>
      <c r="B37" s="31"/>
      <c r="C37" s="31"/>
      <c r="D37" s="31"/>
      <c r="E37" s="31"/>
      <c r="F37" s="31"/>
      <c r="G37" s="31"/>
      <c r="H37" s="31"/>
      <c r="I37" s="31"/>
      <c r="J37" s="31"/>
    </row>
    <row r="38" spans="1:10" ht="30" customHeight="1" x14ac:dyDescent="0.3">
      <c r="A38" s="4" t="s">
        <v>2</v>
      </c>
      <c r="B38" s="4" t="s">
        <v>3</v>
      </c>
      <c r="C38" s="5" t="s">
        <v>4</v>
      </c>
      <c r="D38" s="5" t="s">
        <v>5</v>
      </c>
      <c r="E38" s="4" t="s">
        <v>6</v>
      </c>
      <c r="F38" s="5" t="s">
        <v>17</v>
      </c>
      <c r="G38" s="5" t="s">
        <v>7</v>
      </c>
      <c r="H38" s="4" t="s">
        <v>8</v>
      </c>
      <c r="I38" s="4" t="s">
        <v>9</v>
      </c>
      <c r="J38" s="4" t="s">
        <v>10</v>
      </c>
    </row>
    <row r="39" spans="1:10" ht="19.95" customHeight="1" x14ac:dyDescent="0.3">
      <c r="A39" s="4">
        <v>131025</v>
      </c>
      <c r="B39" s="4">
        <v>304</v>
      </c>
      <c r="C39" s="6">
        <v>0.9</v>
      </c>
      <c r="D39" s="6" t="s">
        <v>22</v>
      </c>
      <c r="E39" s="7" t="s">
        <v>68</v>
      </c>
      <c r="F39" s="4"/>
      <c r="G39" s="4" t="s">
        <v>22</v>
      </c>
      <c r="H39" s="8">
        <v>2550</v>
      </c>
      <c r="I39" s="9"/>
      <c r="J39" s="8">
        <f t="shared" ref="J39:J47" si="3">H39-I39</f>
        <v>2550</v>
      </c>
    </row>
    <row r="40" spans="1:10" ht="19.95" customHeight="1" x14ac:dyDescent="0.3">
      <c r="A40" s="4">
        <v>250057</v>
      </c>
      <c r="B40" s="4">
        <v>304</v>
      </c>
      <c r="C40" s="6">
        <v>0.7</v>
      </c>
      <c r="D40" s="6" t="s">
        <v>19</v>
      </c>
      <c r="E40" s="7" t="s">
        <v>69</v>
      </c>
      <c r="F40" s="4"/>
      <c r="G40" s="4">
        <v>304</v>
      </c>
      <c r="H40" s="8">
        <v>395</v>
      </c>
      <c r="I40" s="9"/>
      <c r="J40" s="8">
        <f>H40-I40</f>
        <v>395</v>
      </c>
    </row>
    <row r="41" spans="1:10" ht="19.95" customHeight="1" x14ac:dyDescent="0.3">
      <c r="A41" s="4">
        <v>250057</v>
      </c>
      <c r="B41" s="4">
        <v>304</v>
      </c>
      <c r="C41" s="6">
        <v>0.7</v>
      </c>
      <c r="D41" s="6" t="s">
        <v>19</v>
      </c>
      <c r="E41" s="7" t="s">
        <v>70</v>
      </c>
      <c r="F41" s="4"/>
      <c r="G41" s="4">
        <v>304</v>
      </c>
      <c r="H41" s="8">
        <v>15</v>
      </c>
      <c r="I41" s="9"/>
      <c r="J41" s="8">
        <f t="shared" ref="J41:J45" si="4">H41-I41</f>
        <v>15</v>
      </c>
    </row>
    <row r="42" spans="1:10" ht="19.95" customHeight="1" x14ac:dyDescent="0.3">
      <c r="A42" s="4">
        <v>250061</v>
      </c>
      <c r="B42" s="4">
        <v>304</v>
      </c>
      <c r="C42" s="6">
        <v>0.7</v>
      </c>
      <c r="D42" s="6" t="s">
        <v>19</v>
      </c>
      <c r="E42" s="7" t="s">
        <v>71</v>
      </c>
      <c r="F42" s="4"/>
      <c r="G42" s="4">
        <v>304</v>
      </c>
      <c r="H42" s="8">
        <v>570</v>
      </c>
      <c r="I42" s="9"/>
      <c r="J42" s="8">
        <f t="shared" si="4"/>
        <v>570</v>
      </c>
    </row>
    <row r="43" spans="1:10" ht="19.95" customHeight="1" x14ac:dyDescent="0.3">
      <c r="A43" s="4">
        <v>250061</v>
      </c>
      <c r="B43" s="4">
        <v>304</v>
      </c>
      <c r="C43" s="6">
        <v>0.7</v>
      </c>
      <c r="D43" s="6" t="s">
        <v>19</v>
      </c>
      <c r="E43" s="7" t="s">
        <v>72</v>
      </c>
      <c r="F43" s="4"/>
      <c r="G43" s="4">
        <v>304</v>
      </c>
      <c r="H43" s="8">
        <v>15</v>
      </c>
      <c r="I43" s="9"/>
      <c r="J43" s="8">
        <f t="shared" si="4"/>
        <v>15</v>
      </c>
    </row>
    <row r="44" spans="1:10" ht="19.95" customHeight="1" x14ac:dyDescent="0.3">
      <c r="A44" s="4">
        <v>290925</v>
      </c>
      <c r="B44" s="4">
        <v>304</v>
      </c>
      <c r="C44" s="6">
        <v>0.8</v>
      </c>
      <c r="D44" s="6" t="s">
        <v>22</v>
      </c>
      <c r="E44" s="7" t="s">
        <v>67</v>
      </c>
      <c r="F44" s="4"/>
      <c r="G44" s="4" t="s">
        <v>22</v>
      </c>
      <c r="H44" s="8">
        <v>3000</v>
      </c>
      <c r="I44" s="9"/>
      <c r="J44" s="8">
        <f t="shared" si="4"/>
        <v>3000</v>
      </c>
    </row>
    <row r="45" spans="1:10" ht="19.95" customHeight="1" x14ac:dyDescent="0.3">
      <c r="A45" s="4">
        <v>230925</v>
      </c>
      <c r="B45" s="4">
        <v>430</v>
      </c>
      <c r="C45" s="6" t="s">
        <v>73</v>
      </c>
      <c r="D45" s="6" t="s">
        <v>74</v>
      </c>
      <c r="E45" s="7" t="s">
        <v>75</v>
      </c>
      <c r="F45" s="4"/>
      <c r="G45" s="4">
        <v>430</v>
      </c>
      <c r="H45" s="8">
        <v>6000</v>
      </c>
      <c r="I45" s="9"/>
      <c r="J45" s="8">
        <f t="shared" si="4"/>
        <v>6000</v>
      </c>
    </row>
    <row r="46" spans="1:10" ht="19.95" customHeight="1" x14ac:dyDescent="0.3">
      <c r="A46" s="4">
        <v>230925</v>
      </c>
      <c r="B46" s="4">
        <v>430</v>
      </c>
      <c r="C46" s="6" t="s">
        <v>73</v>
      </c>
      <c r="D46" s="6" t="s">
        <v>74</v>
      </c>
      <c r="E46" s="7" t="s">
        <v>76</v>
      </c>
      <c r="F46" s="4"/>
      <c r="G46" s="4">
        <v>430</v>
      </c>
      <c r="H46" s="8">
        <v>5300</v>
      </c>
      <c r="I46" s="9"/>
      <c r="J46" s="8">
        <f>H46-I46</f>
        <v>5300</v>
      </c>
    </row>
    <row r="47" spans="1:10" ht="19.95" customHeight="1" x14ac:dyDescent="0.3">
      <c r="A47" s="4"/>
      <c r="B47" s="4"/>
      <c r="C47" s="6"/>
      <c r="D47" s="6"/>
      <c r="E47" s="7"/>
      <c r="F47" s="4"/>
      <c r="G47" s="4"/>
      <c r="H47" s="8"/>
      <c r="I47" s="9"/>
      <c r="J47" s="8">
        <f t="shared" si="3"/>
        <v>0</v>
      </c>
    </row>
    <row r="48" spans="1:10" ht="19.95" customHeight="1" x14ac:dyDescent="0.3">
      <c r="A48" s="10"/>
      <c r="B48" s="10"/>
      <c r="C48" s="10"/>
      <c r="D48" s="10"/>
      <c r="E48" s="11"/>
      <c r="F48" s="10"/>
      <c r="G48" s="12"/>
      <c r="H48" s="8">
        <f>SUM(H39:H47)</f>
        <v>17845</v>
      </c>
      <c r="I48" s="9">
        <f>SUM(I39:I47)</f>
        <v>0</v>
      </c>
      <c r="J48" s="8">
        <f>SUM(J39:J47)</f>
        <v>17845</v>
      </c>
    </row>
    <row r="49" spans="1:10" ht="19.95" customHeight="1" x14ac:dyDescent="0.3">
      <c r="A49" s="16"/>
      <c r="B49" s="16"/>
      <c r="C49" s="16"/>
      <c r="D49" s="16"/>
      <c r="E49" s="17"/>
      <c r="F49" s="16"/>
      <c r="G49" s="16"/>
      <c r="H49" s="18"/>
      <c r="I49" s="19"/>
      <c r="J49" s="18"/>
    </row>
    <row r="50" spans="1:10" ht="30" customHeight="1" x14ac:dyDescent="0.3">
      <c r="A50" s="31" t="s">
        <v>16</v>
      </c>
      <c r="B50" s="31"/>
      <c r="C50" s="31"/>
      <c r="D50" s="31"/>
      <c r="E50" s="31"/>
      <c r="F50" s="31"/>
      <c r="G50" s="31"/>
      <c r="H50" s="31"/>
      <c r="I50" s="31"/>
      <c r="J50" s="31"/>
    </row>
    <row r="51" spans="1:10" ht="30" customHeight="1" x14ac:dyDescent="0.3">
      <c r="A51" s="4" t="s">
        <v>2</v>
      </c>
      <c r="B51" s="4" t="s">
        <v>3</v>
      </c>
      <c r="C51" s="5" t="s">
        <v>4</v>
      </c>
      <c r="D51" s="5" t="s">
        <v>5</v>
      </c>
      <c r="E51" s="4" t="s">
        <v>6</v>
      </c>
      <c r="F51" s="5" t="s">
        <v>18</v>
      </c>
      <c r="G51" s="5" t="s">
        <v>7</v>
      </c>
      <c r="H51" s="4" t="s">
        <v>8</v>
      </c>
      <c r="I51" s="4" t="s">
        <v>9</v>
      </c>
      <c r="J51" s="4" t="s">
        <v>10</v>
      </c>
    </row>
    <row r="52" spans="1:10" ht="19.95" customHeight="1" x14ac:dyDescent="0.3">
      <c r="A52" s="4"/>
      <c r="B52" s="4"/>
      <c r="C52" s="6"/>
      <c r="D52" s="6"/>
      <c r="E52" s="7"/>
      <c r="F52" s="4"/>
      <c r="G52" s="4"/>
      <c r="H52" s="8"/>
      <c r="I52" s="9"/>
      <c r="J52" s="8">
        <f t="shared" ref="J52:J57" si="5">H52-I52</f>
        <v>0</v>
      </c>
    </row>
    <row r="53" spans="1:10" ht="19.95" customHeight="1" x14ac:dyDescent="0.3">
      <c r="A53" s="4"/>
      <c r="B53" s="4"/>
      <c r="C53" s="6"/>
      <c r="D53" s="6"/>
      <c r="E53" s="7"/>
      <c r="F53" s="4"/>
      <c r="G53" s="4"/>
      <c r="H53" s="8"/>
      <c r="I53" s="9"/>
      <c r="J53" s="8">
        <f t="shared" si="5"/>
        <v>0</v>
      </c>
    </row>
    <row r="54" spans="1:10" ht="19.95" customHeight="1" x14ac:dyDescent="0.3">
      <c r="A54" s="4"/>
      <c r="B54" s="4"/>
      <c r="C54" s="6"/>
      <c r="D54" s="6"/>
      <c r="E54" s="7"/>
      <c r="F54" s="4"/>
      <c r="G54" s="4"/>
      <c r="H54" s="8"/>
      <c r="I54" s="9"/>
      <c r="J54" s="8">
        <f t="shared" si="5"/>
        <v>0</v>
      </c>
    </row>
    <row r="55" spans="1:10" ht="19.95" customHeight="1" x14ac:dyDescent="0.3">
      <c r="A55" s="4"/>
      <c r="B55" s="4"/>
      <c r="C55" s="6"/>
      <c r="D55" s="6"/>
      <c r="E55" s="7"/>
      <c r="G55" s="8"/>
      <c r="H55" s="8"/>
      <c r="I55" s="9"/>
      <c r="J55" s="8">
        <f t="shared" si="5"/>
        <v>0</v>
      </c>
    </row>
    <row r="56" spans="1:10" ht="19.95" customHeight="1" x14ac:dyDescent="0.3">
      <c r="A56" s="4"/>
      <c r="B56" s="4"/>
      <c r="C56" s="6"/>
      <c r="D56" s="6"/>
      <c r="E56" s="7"/>
      <c r="F56" s="4"/>
      <c r="G56" s="4"/>
      <c r="H56" s="8"/>
      <c r="I56" s="9"/>
      <c r="J56" s="8">
        <f t="shared" si="5"/>
        <v>0</v>
      </c>
    </row>
    <row r="57" spans="1:10" ht="19.95" customHeight="1" x14ac:dyDescent="0.3">
      <c r="A57" s="4"/>
      <c r="B57" s="4"/>
      <c r="C57" s="6"/>
      <c r="D57" s="6"/>
      <c r="E57" s="7"/>
      <c r="F57" s="4"/>
      <c r="G57" s="4"/>
      <c r="H57" s="8"/>
      <c r="I57" s="9"/>
      <c r="J57" s="8">
        <f t="shared" si="5"/>
        <v>0</v>
      </c>
    </row>
    <row r="58" spans="1:10" ht="19.95" customHeight="1" x14ac:dyDescent="0.3">
      <c r="A58" s="10"/>
      <c r="B58" s="10"/>
      <c r="C58" s="10"/>
      <c r="D58" s="10"/>
      <c r="E58" s="11"/>
      <c r="F58" s="10"/>
      <c r="G58" s="12"/>
      <c r="H58" s="8">
        <f>SUM(H52:H57)</f>
        <v>0</v>
      </c>
      <c r="I58" s="9">
        <f>SUM(I52:I57)</f>
        <v>0</v>
      </c>
      <c r="J58" s="8">
        <f>SUM(J52:J57)</f>
        <v>0</v>
      </c>
    </row>
    <row r="59" spans="1:10" ht="19.95" customHeight="1" x14ac:dyDescent="0.3">
      <c r="A59" s="16"/>
      <c r="B59" s="16"/>
      <c r="C59" s="16"/>
      <c r="D59" s="16"/>
      <c r="E59" s="17"/>
      <c r="F59" s="16"/>
      <c r="G59" s="16"/>
      <c r="H59" s="18"/>
      <c r="I59" s="19"/>
      <c r="J59" s="18"/>
    </row>
    <row r="61" spans="1:10" ht="23.4" x14ac:dyDescent="0.3">
      <c r="A61" s="31" t="s">
        <v>11</v>
      </c>
      <c r="B61" s="31"/>
      <c r="C61" s="31"/>
      <c r="D61" s="31"/>
      <c r="E61" s="31"/>
      <c r="F61" s="31"/>
      <c r="G61" s="31"/>
      <c r="H61" s="31"/>
      <c r="I61" s="31"/>
      <c r="J61" s="31"/>
    </row>
  </sheetData>
  <mergeCells count="8">
    <mergeCell ref="A50:J50"/>
    <mergeCell ref="A61:J61"/>
    <mergeCell ref="I1:J1"/>
    <mergeCell ref="A2:J2"/>
    <mergeCell ref="A3:J3"/>
    <mergeCell ref="A13:J13"/>
    <mergeCell ref="A24:J24"/>
    <mergeCell ref="A37:J37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46" orientation="portrait" horizontalDpi="1200" verticalDpi="120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1"/>
  <sheetViews>
    <sheetView zoomScale="70" zoomScaleNormal="70" workbookViewId="0">
      <selection activeCell="I16" sqref="I16"/>
    </sheetView>
  </sheetViews>
  <sheetFormatPr defaultRowHeight="14.4" x14ac:dyDescent="0.3"/>
  <cols>
    <col min="1" max="1" width="15.6640625" style="24" customWidth="1"/>
    <col min="2" max="3" width="12.6640625" style="24" customWidth="1"/>
    <col min="4" max="4" width="15.6640625" style="24" customWidth="1"/>
    <col min="5" max="5" width="80.6640625" style="24" customWidth="1"/>
    <col min="6" max="6" width="22.77734375" style="15" customWidth="1"/>
    <col min="7" max="7" width="12.33203125" style="24" customWidth="1"/>
    <col min="8" max="10" width="15.6640625" style="24" customWidth="1"/>
    <col min="11" max="16384" width="8.88671875" style="24"/>
  </cols>
  <sheetData>
    <row r="1" spans="1:11" s="1" customFormat="1" ht="30" customHeight="1" x14ac:dyDescent="0.3">
      <c r="F1" s="2"/>
      <c r="G1" s="2"/>
      <c r="H1" s="3" t="s">
        <v>0</v>
      </c>
      <c r="I1" s="27">
        <v>45957</v>
      </c>
      <c r="J1" s="27"/>
    </row>
    <row r="2" spans="1:11" ht="40.049999999999997" customHeight="1" x14ac:dyDescent="0.3">
      <c r="A2" s="28" t="s">
        <v>30</v>
      </c>
      <c r="B2" s="29"/>
      <c r="C2" s="29"/>
      <c r="D2" s="29"/>
      <c r="E2" s="29"/>
      <c r="F2" s="29"/>
      <c r="G2" s="29"/>
      <c r="H2" s="29"/>
      <c r="I2" s="29"/>
      <c r="J2" s="30"/>
    </row>
    <row r="3" spans="1:11" ht="30" customHeight="1" x14ac:dyDescent="0.3">
      <c r="A3" s="31" t="s">
        <v>12</v>
      </c>
      <c r="B3" s="31"/>
      <c r="C3" s="31"/>
      <c r="D3" s="31"/>
      <c r="E3" s="31"/>
      <c r="F3" s="31"/>
      <c r="G3" s="31"/>
      <c r="H3" s="31"/>
      <c r="I3" s="31"/>
      <c r="J3" s="31"/>
    </row>
    <row r="4" spans="1:11" ht="30" customHeight="1" x14ac:dyDescent="0.3">
      <c r="A4" s="4" t="s">
        <v>2</v>
      </c>
      <c r="B4" s="4" t="s">
        <v>3</v>
      </c>
      <c r="C4" s="5" t="s">
        <v>4</v>
      </c>
      <c r="D4" s="5" t="s">
        <v>5</v>
      </c>
      <c r="E4" s="4" t="s">
        <v>6</v>
      </c>
      <c r="F4" s="5" t="s">
        <v>17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1" ht="19.95" customHeight="1" x14ac:dyDescent="0.3">
      <c r="A5" s="4">
        <v>290925</v>
      </c>
      <c r="B5" s="4">
        <v>304</v>
      </c>
      <c r="C5" s="6">
        <v>0.8</v>
      </c>
      <c r="D5" s="6" t="s">
        <v>22</v>
      </c>
      <c r="E5" s="7" t="s">
        <v>67</v>
      </c>
      <c r="F5" s="4"/>
      <c r="G5" s="4" t="s">
        <v>22</v>
      </c>
      <c r="H5" s="8">
        <v>3000</v>
      </c>
      <c r="I5" s="9">
        <f>2450+655</f>
        <v>3105</v>
      </c>
      <c r="J5" s="22">
        <f t="shared" ref="J5:J10" si="0">H5-I5</f>
        <v>-105</v>
      </c>
      <c r="K5" s="20"/>
    </row>
    <row r="6" spans="1:11" ht="19.95" customHeight="1" x14ac:dyDescent="0.3">
      <c r="A6" s="4">
        <v>230925</v>
      </c>
      <c r="B6" s="4">
        <v>430</v>
      </c>
      <c r="C6" s="6" t="s">
        <v>73</v>
      </c>
      <c r="D6" s="6" t="s">
        <v>74</v>
      </c>
      <c r="E6" s="7" t="s">
        <v>75</v>
      </c>
      <c r="F6" s="4"/>
      <c r="G6" s="4">
        <v>430</v>
      </c>
      <c r="H6" s="8">
        <v>6000</v>
      </c>
      <c r="I6" s="9">
        <v>600</v>
      </c>
      <c r="J6" s="22">
        <f t="shared" si="0"/>
        <v>5400</v>
      </c>
      <c r="K6" s="20"/>
    </row>
    <row r="7" spans="1:11" ht="19.95" customHeight="1" x14ac:dyDescent="0.3">
      <c r="A7" s="4">
        <v>230925</v>
      </c>
      <c r="B7" s="4">
        <v>430</v>
      </c>
      <c r="C7" s="6" t="s">
        <v>73</v>
      </c>
      <c r="D7" s="6" t="s">
        <v>74</v>
      </c>
      <c r="E7" s="7" t="s">
        <v>76</v>
      </c>
      <c r="F7" s="4"/>
      <c r="G7" s="4">
        <v>430</v>
      </c>
      <c r="H7" s="8">
        <v>5300</v>
      </c>
      <c r="I7" s="9"/>
      <c r="J7" s="22">
        <f t="shared" si="0"/>
        <v>5300</v>
      </c>
      <c r="K7" s="20"/>
    </row>
    <row r="8" spans="1:11" ht="19.95" customHeight="1" x14ac:dyDescent="0.3">
      <c r="A8" s="4">
        <v>250079</v>
      </c>
      <c r="B8" s="4">
        <v>304</v>
      </c>
      <c r="C8" s="6">
        <v>0.7</v>
      </c>
      <c r="D8" s="6" t="s">
        <v>74</v>
      </c>
      <c r="E8" s="7" t="s">
        <v>77</v>
      </c>
      <c r="F8" s="4"/>
      <c r="G8" s="4">
        <v>304</v>
      </c>
      <c r="H8" s="8">
        <v>964</v>
      </c>
      <c r="I8" s="9"/>
      <c r="J8" s="22">
        <f t="shared" si="0"/>
        <v>964</v>
      </c>
      <c r="K8" s="20"/>
    </row>
    <row r="9" spans="1:11" ht="19.95" customHeight="1" x14ac:dyDescent="0.3">
      <c r="A9" s="4">
        <v>250079</v>
      </c>
      <c r="B9" s="4">
        <v>304</v>
      </c>
      <c r="C9" s="6">
        <v>0.7</v>
      </c>
      <c r="D9" s="6" t="s">
        <v>74</v>
      </c>
      <c r="E9" s="7" t="s">
        <v>78</v>
      </c>
      <c r="F9" s="4"/>
      <c r="G9" s="4">
        <v>304</v>
      </c>
      <c r="H9" s="8">
        <v>36</v>
      </c>
      <c r="I9" s="9"/>
      <c r="J9" s="22">
        <f t="shared" si="0"/>
        <v>36</v>
      </c>
      <c r="K9" s="20"/>
    </row>
    <row r="10" spans="1:11" ht="19.95" customHeight="1" x14ac:dyDescent="0.3">
      <c r="A10" s="4"/>
      <c r="B10" s="4"/>
      <c r="C10" s="6"/>
      <c r="D10" s="6"/>
      <c r="E10" s="7"/>
      <c r="F10" s="4"/>
      <c r="G10" s="4"/>
      <c r="H10" s="8"/>
      <c r="I10" s="9"/>
      <c r="J10" s="8">
        <f t="shared" si="0"/>
        <v>0</v>
      </c>
    </row>
    <row r="11" spans="1:11" ht="19.95" customHeight="1" x14ac:dyDescent="0.3">
      <c r="A11" s="10"/>
      <c r="B11" s="10"/>
      <c r="C11" s="10"/>
      <c r="D11" s="10"/>
      <c r="E11" s="11"/>
      <c r="F11" s="10"/>
      <c r="G11" s="12"/>
      <c r="H11" s="13">
        <f>SUM(H5:H10)</f>
        <v>15300</v>
      </c>
      <c r="I11" s="14">
        <f>SUM(I5:I10)</f>
        <v>3705</v>
      </c>
      <c r="J11" s="8">
        <f>SUM(J5:J10)</f>
        <v>11595</v>
      </c>
    </row>
    <row r="13" spans="1:11" ht="30" customHeight="1" x14ac:dyDescent="0.3">
      <c r="A13" s="31" t="s">
        <v>15</v>
      </c>
      <c r="B13" s="31"/>
      <c r="C13" s="31"/>
      <c r="D13" s="31"/>
      <c r="E13" s="31"/>
      <c r="F13" s="31"/>
      <c r="G13" s="31"/>
      <c r="H13" s="31"/>
      <c r="I13" s="31"/>
      <c r="J13" s="31"/>
    </row>
    <row r="14" spans="1:11" ht="30" customHeight="1" x14ac:dyDescent="0.3">
      <c r="A14" s="4" t="s">
        <v>2</v>
      </c>
      <c r="B14" s="4" t="s">
        <v>3</v>
      </c>
      <c r="C14" s="5" t="s">
        <v>4</v>
      </c>
      <c r="D14" s="5" t="s">
        <v>5</v>
      </c>
      <c r="E14" s="4" t="s">
        <v>6</v>
      </c>
      <c r="F14" s="5" t="s">
        <v>17</v>
      </c>
      <c r="G14" s="5" t="s">
        <v>7</v>
      </c>
      <c r="H14" s="4" t="s">
        <v>8</v>
      </c>
      <c r="I14" s="4" t="s">
        <v>9</v>
      </c>
      <c r="J14" s="4" t="s">
        <v>10</v>
      </c>
    </row>
    <row r="15" spans="1:11" ht="19.95" customHeight="1" x14ac:dyDescent="0.3">
      <c r="A15" s="4">
        <v>290925</v>
      </c>
      <c r="B15" s="4">
        <v>304</v>
      </c>
      <c r="C15" s="6">
        <v>0.8</v>
      </c>
      <c r="D15" s="6" t="s">
        <v>22</v>
      </c>
      <c r="E15" s="7" t="s">
        <v>67</v>
      </c>
      <c r="F15" s="4"/>
      <c r="G15" s="4" t="s">
        <v>22</v>
      </c>
      <c r="H15" s="8">
        <v>3000</v>
      </c>
      <c r="I15" s="9">
        <f>925+2000</f>
        <v>2925</v>
      </c>
      <c r="J15" s="8">
        <f t="shared" ref="J15:J21" si="1">H15-I15</f>
        <v>75</v>
      </c>
    </row>
    <row r="16" spans="1:11" ht="19.95" customHeight="1" x14ac:dyDescent="0.3">
      <c r="A16" s="4">
        <v>230925</v>
      </c>
      <c r="B16" s="4">
        <v>430</v>
      </c>
      <c r="C16" s="6" t="s">
        <v>73</v>
      </c>
      <c r="D16" s="6" t="s">
        <v>74</v>
      </c>
      <c r="E16" s="7" t="s">
        <v>75</v>
      </c>
      <c r="F16" s="4"/>
      <c r="G16" s="4">
        <v>430</v>
      </c>
      <c r="H16" s="8">
        <v>6000</v>
      </c>
      <c r="I16" s="9"/>
      <c r="J16" s="8">
        <f t="shared" si="1"/>
        <v>6000</v>
      </c>
    </row>
    <row r="17" spans="1:10" ht="19.95" customHeight="1" x14ac:dyDescent="0.3">
      <c r="A17" s="4">
        <v>230925</v>
      </c>
      <c r="B17" s="4">
        <v>430</v>
      </c>
      <c r="C17" s="6" t="s">
        <v>73</v>
      </c>
      <c r="D17" s="6" t="s">
        <v>74</v>
      </c>
      <c r="E17" s="7" t="s">
        <v>76</v>
      </c>
      <c r="F17" s="4"/>
      <c r="G17" s="4">
        <v>430</v>
      </c>
      <c r="H17" s="8">
        <v>5300</v>
      </c>
      <c r="I17" s="9"/>
      <c r="J17" s="8">
        <f t="shared" si="1"/>
        <v>5300</v>
      </c>
    </row>
    <row r="18" spans="1:10" ht="19.95" customHeight="1" x14ac:dyDescent="0.3">
      <c r="A18" s="4">
        <v>250079</v>
      </c>
      <c r="B18" s="4">
        <v>304</v>
      </c>
      <c r="C18" s="6">
        <v>0.7</v>
      </c>
      <c r="D18" s="6" t="s">
        <v>74</v>
      </c>
      <c r="E18" s="7" t="s">
        <v>77</v>
      </c>
      <c r="F18" s="4"/>
      <c r="G18" s="4">
        <v>304</v>
      </c>
      <c r="H18" s="8">
        <v>964</v>
      </c>
      <c r="I18" s="9"/>
      <c r="J18" s="8">
        <f t="shared" si="1"/>
        <v>964</v>
      </c>
    </row>
    <row r="19" spans="1:10" ht="19.95" customHeight="1" x14ac:dyDescent="0.3">
      <c r="A19" s="4">
        <v>250079</v>
      </c>
      <c r="B19" s="4">
        <v>304</v>
      </c>
      <c r="C19" s="6">
        <v>0.7</v>
      </c>
      <c r="D19" s="6" t="s">
        <v>74</v>
      </c>
      <c r="E19" s="7" t="s">
        <v>78</v>
      </c>
      <c r="F19" s="4"/>
      <c r="G19" s="4">
        <v>304</v>
      </c>
      <c r="H19" s="8">
        <v>36</v>
      </c>
      <c r="I19" s="9"/>
      <c r="J19" s="8">
        <f t="shared" si="1"/>
        <v>36</v>
      </c>
    </row>
    <row r="20" spans="1:10" ht="19.95" customHeight="1" x14ac:dyDescent="0.3">
      <c r="A20" s="4"/>
      <c r="B20" s="4"/>
      <c r="C20" s="6"/>
      <c r="D20" s="6"/>
      <c r="E20" s="7"/>
      <c r="F20" s="4"/>
      <c r="G20" s="4"/>
      <c r="H20" s="8"/>
      <c r="I20" s="9"/>
      <c r="J20" s="8">
        <f t="shared" si="1"/>
        <v>0</v>
      </c>
    </row>
    <row r="21" spans="1:10" ht="19.95" customHeight="1" x14ac:dyDescent="0.3">
      <c r="A21" s="4"/>
      <c r="B21" s="4"/>
      <c r="C21" s="6"/>
      <c r="D21" s="6"/>
      <c r="E21" s="7"/>
      <c r="F21" s="4"/>
      <c r="G21" s="8"/>
      <c r="H21" s="8"/>
      <c r="I21" s="9"/>
      <c r="J21" s="8">
        <f t="shared" si="1"/>
        <v>0</v>
      </c>
    </row>
    <row r="22" spans="1:10" ht="19.95" customHeight="1" x14ac:dyDescent="0.3">
      <c r="A22" s="10"/>
      <c r="B22" s="10"/>
      <c r="C22" s="10"/>
      <c r="D22" s="10"/>
      <c r="E22" s="11"/>
      <c r="F22" s="10"/>
      <c r="G22" s="12"/>
      <c r="H22" s="8">
        <f>SUM(H15:H21)</f>
        <v>15300</v>
      </c>
      <c r="I22" s="9">
        <f>SUM(I15:I21)</f>
        <v>2925</v>
      </c>
      <c r="J22" s="8">
        <f>SUM(J15:J21)</f>
        <v>12375</v>
      </c>
    </row>
    <row r="23" spans="1:10" ht="19.95" customHeight="1" x14ac:dyDescent="0.3">
      <c r="A23" s="16"/>
      <c r="B23" s="16"/>
      <c r="C23" s="16"/>
      <c r="D23" s="16"/>
      <c r="E23" s="17"/>
      <c r="F23" s="16"/>
      <c r="G23" s="16"/>
      <c r="H23" s="18"/>
      <c r="I23" s="19"/>
      <c r="J23" s="18"/>
    </row>
    <row r="24" spans="1:10" ht="30" customHeight="1" x14ac:dyDescent="0.3">
      <c r="A24" s="31" t="s">
        <v>13</v>
      </c>
      <c r="B24" s="31"/>
      <c r="C24" s="31"/>
      <c r="D24" s="31"/>
      <c r="E24" s="31"/>
      <c r="F24" s="31"/>
      <c r="G24" s="31"/>
      <c r="H24" s="31"/>
      <c r="I24" s="31"/>
      <c r="J24" s="31"/>
    </row>
    <row r="25" spans="1:10" ht="30" customHeight="1" x14ac:dyDescent="0.3">
      <c r="A25" s="4" t="s">
        <v>2</v>
      </c>
      <c r="B25" s="4" t="s">
        <v>3</v>
      </c>
      <c r="C25" s="5" t="s">
        <v>4</v>
      </c>
      <c r="D25" s="5" t="s">
        <v>5</v>
      </c>
      <c r="E25" s="4" t="s">
        <v>6</v>
      </c>
      <c r="F25" s="5" t="s">
        <v>17</v>
      </c>
      <c r="G25" s="5" t="s">
        <v>7</v>
      </c>
      <c r="H25" s="4" t="s">
        <v>8</v>
      </c>
      <c r="I25" s="4" t="s">
        <v>9</v>
      </c>
      <c r="J25" s="4" t="s">
        <v>10</v>
      </c>
    </row>
    <row r="26" spans="1:10" ht="19.95" customHeight="1" x14ac:dyDescent="0.3">
      <c r="A26" s="4">
        <v>131025</v>
      </c>
      <c r="B26" s="4">
        <v>304</v>
      </c>
      <c r="C26" s="6">
        <v>0.9</v>
      </c>
      <c r="D26" s="6" t="s">
        <v>22</v>
      </c>
      <c r="E26" s="7" t="s">
        <v>68</v>
      </c>
      <c r="F26" s="4"/>
      <c r="G26" s="4" t="s">
        <v>22</v>
      </c>
      <c r="H26" s="8">
        <v>2550</v>
      </c>
      <c r="I26" s="9">
        <f>50+2500</f>
        <v>2550</v>
      </c>
      <c r="J26" s="8">
        <f t="shared" ref="J26:J34" si="2">H26-I26</f>
        <v>0</v>
      </c>
    </row>
    <row r="27" spans="1:10" ht="19.95" customHeight="1" x14ac:dyDescent="0.3">
      <c r="A27" s="4">
        <v>250057</v>
      </c>
      <c r="B27" s="4">
        <v>304</v>
      </c>
      <c r="C27" s="6">
        <v>0.7</v>
      </c>
      <c r="D27" s="6" t="s">
        <v>19</v>
      </c>
      <c r="E27" s="7" t="s">
        <v>69</v>
      </c>
      <c r="F27" s="4"/>
      <c r="G27" s="4">
        <v>304</v>
      </c>
      <c r="H27" s="8">
        <v>395</v>
      </c>
      <c r="I27" s="9"/>
      <c r="J27" s="8">
        <f t="shared" si="2"/>
        <v>395</v>
      </c>
    </row>
    <row r="28" spans="1:10" ht="19.95" customHeight="1" x14ac:dyDescent="0.3">
      <c r="A28" s="4">
        <v>250057</v>
      </c>
      <c r="B28" s="4">
        <v>304</v>
      </c>
      <c r="C28" s="6">
        <v>0.7</v>
      </c>
      <c r="D28" s="6" t="s">
        <v>19</v>
      </c>
      <c r="E28" s="7" t="s">
        <v>70</v>
      </c>
      <c r="F28" s="4"/>
      <c r="G28" s="4">
        <v>304</v>
      </c>
      <c r="H28" s="8">
        <v>15</v>
      </c>
      <c r="I28" s="9"/>
      <c r="J28" s="8">
        <f t="shared" si="2"/>
        <v>15</v>
      </c>
    </row>
    <row r="29" spans="1:10" ht="19.95" customHeight="1" x14ac:dyDescent="0.3">
      <c r="A29" s="4">
        <v>250061</v>
      </c>
      <c r="B29" s="4">
        <v>304</v>
      </c>
      <c r="C29" s="6">
        <v>0.7</v>
      </c>
      <c r="D29" s="6" t="s">
        <v>19</v>
      </c>
      <c r="E29" s="7" t="s">
        <v>71</v>
      </c>
      <c r="F29" s="4"/>
      <c r="G29" s="4">
        <v>304</v>
      </c>
      <c r="H29" s="8">
        <v>570</v>
      </c>
      <c r="I29" s="9"/>
      <c r="J29" s="8">
        <f t="shared" si="2"/>
        <v>570</v>
      </c>
    </row>
    <row r="30" spans="1:10" ht="19.95" customHeight="1" x14ac:dyDescent="0.3">
      <c r="A30" s="4">
        <v>250061</v>
      </c>
      <c r="B30" s="4">
        <v>304</v>
      </c>
      <c r="C30" s="6">
        <v>0.7</v>
      </c>
      <c r="D30" s="6" t="s">
        <v>19</v>
      </c>
      <c r="E30" s="7" t="s">
        <v>72</v>
      </c>
      <c r="F30" s="4"/>
      <c r="G30" s="4">
        <v>304</v>
      </c>
      <c r="H30" s="8">
        <v>15</v>
      </c>
      <c r="I30" s="9"/>
      <c r="J30" s="8">
        <f t="shared" si="2"/>
        <v>15</v>
      </c>
    </row>
    <row r="31" spans="1:10" ht="19.95" customHeight="1" x14ac:dyDescent="0.3">
      <c r="A31" s="4">
        <v>290925</v>
      </c>
      <c r="B31" s="4">
        <v>304</v>
      </c>
      <c r="C31" s="6">
        <v>0.8</v>
      </c>
      <c r="D31" s="6" t="s">
        <v>22</v>
      </c>
      <c r="E31" s="7" t="s">
        <v>67</v>
      </c>
      <c r="F31" s="4"/>
      <c r="G31" s="4" t="s">
        <v>22</v>
      </c>
      <c r="H31" s="8">
        <v>3000</v>
      </c>
      <c r="I31" s="9"/>
      <c r="J31" s="8">
        <f t="shared" si="2"/>
        <v>3000</v>
      </c>
    </row>
    <row r="32" spans="1:10" ht="19.95" customHeight="1" x14ac:dyDescent="0.3">
      <c r="A32" s="4">
        <v>230925</v>
      </c>
      <c r="B32" s="4">
        <v>430</v>
      </c>
      <c r="C32" s="6" t="s">
        <v>73</v>
      </c>
      <c r="D32" s="6" t="s">
        <v>74</v>
      </c>
      <c r="E32" s="7" t="s">
        <v>75</v>
      </c>
      <c r="F32" s="4"/>
      <c r="G32" s="4">
        <v>430</v>
      </c>
      <c r="H32" s="8">
        <v>6000</v>
      </c>
      <c r="I32" s="9"/>
      <c r="J32" s="8">
        <f t="shared" si="2"/>
        <v>6000</v>
      </c>
    </row>
    <row r="33" spans="1:10" ht="19.95" customHeight="1" x14ac:dyDescent="0.3">
      <c r="A33" s="4">
        <v>230925</v>
      </c>
      <c r="B33" s="4">
        <v>430</v>
      </c>
      <c r="C33" s="6" t="s">
        <v>73</v>
      </c>
      <c r="D33" s="6" t="s">
        <v>74</v>
      </c>
      <c r="E33" s="7" t="s">
        <v>76</v>
      </c>
      <c r="F33" s="4"/>
      <c r="G33" s="4">
        <v>430</v>
      </c>
      <c r="H33" s="8">
        <v>5300</v>
      </c>
      <c r="I33" s="9"/>
      <c r="J33" s="8">
        <f t="shared" si="2"/>
        <v>5300</v>
      </c>
    </row>
    <row r="34" spans="1:10" ht="19.95" customHeight="1" x14ac:dyDescent="0.3">
      <c r="A34" s="4"/>
      <c r="B34" s="4"/>
      <c r="C34" s="6"/>
      <c r="D34" s="6"/>
      <c r="E34" s="7"/>
      <c r="F34" s="4"/>
      <c r="G34" s="8"/>
      <c r="H34" s="8"/>
      <c r="I34" s="9"/>
      <c r="J34" s="8">
        <f t="shared" si="2"/>
        <v>0</v>
      </c>
    </row>
    <row r="35" spans="1:10" ht="19.95" customHeight="1" x14ac:dyDescent="0.3">
      <c r="A35" s="10"/>
      <c r="B35" s="10"/>
      <c r="C35" s="10"/>
      <c r="D35" s="10"/>
      <c r="E35" s="11"/>
      <c r="F35" s="10"/>
      <c r="G35" s="12"/>
      <c r="H35" s="8">
        <f>SUM(H26:H34)</f>
        <v>17845</v>
      </c>
      <c r="I35" s="9">
        <f>SUM(I26:I34)</f>
        <v>2550</v>
      </c>
      <c r="J35" s="8">
        <f>SUM(J26:J34)</f>
        <v>15295</v>
      </c>
    </row>
    <row r="36" spans="1:10" ht="19.95" customHeight="1" x14ac:dyDescent="0.3">
      <c r="A36" s="16"/>
      <c r="B36" s="16"/>
      <c r="C36" s="16"/>
      <c r="D36" s="16"/>
      <c r="E36" s="17"/>
      <c r="F36" s="16"/>
      <c r="G36" s="16"/>
      <c r="H36" s="18"/>
      <c r="I36" s="19"/>
      <c r="J36" s="18"/>
    </row>
    <row r="37" spans="1:10" ht="30" customHeight="1" x14ac:dyDescent="0.3">
      <c r="A37" s="31" t="s">
        <v>14</v>
      </c>
      <c r="B37" s="31"/>
      <c r="C37" s="31"/>
      <c r="D37" s="31"/>
      <c r="E37" s="31"/>
      <c r="F37" s="31"/>
      <c r="G37" s="31"/>
      <c r="H37" s="31"/>
      <c r="I37" s="31"/>
      <c r="J37" s="31"/>
    </row>
    <row r="38" spans="1:10" ht="30" customHeight="1" x14ac:dyDescent="0.3">
      <c r="A38" s="4" t="s">
        <v>2</v>
      </c>
      <c r="B38" s="4" t="s">
        <v>3</v>
      </c>
      <c r="C38" s="5" t="s">
        <v>4</v>
      </c>
      <c r="D38" s="5" t="s">
        <v>5</v>
      </c>
      <c r="E38" s="4" t="s">
        <v>6</v>
      </c>
      <c r="F38" s="5" t="s">
        <v>17</v>
      </c>
      <c r="G38" s="5" t="s">
        <v>7</v>
      </c>
      <c r="H38" s="4" t="s">
        <v>8</v>
      </c>
      <c r="I38" s="4" t="s">
        <v>9</v>
      </c>
      <c r="J38" s="4" t="s">
        <v>10</v>
      </c>
    </row>
    <row r="39" spans="1:10" ht="19.95" customHeight="1" x14ac:dyDescent="0.3">
      <c r="A39" s="4">
        <v>131025</v>
      </c>
      <c r="B39" s="4">
        <v>304</v>
      </c>
      <c r="C39" s="6">
        <v>0.9</v>
      </c>
      <c r="D39" s="6" t="s">
        <v>22</v>
      </c>
      <c r="E39" s="7" t="s">
        <v>68</v>
      </c>
      <c r="F39" s="4"/>
      <c r="G39" s="4" t="s">
        <v>22</v>
      </c>
      <c r="H39" s="8">
        <v>2550</v>
      </c>
      <c r="I39" s="9">
        <v>2000</v>
      </c>
      <c r="J39" s="8">
        <f t="shared" ref="J39:J47" si="3">H39-I39</f>
        <v>550</v>
      </c>
    </row>
    <row r="40" spans="1:10" ht="19.95" customHeight="1" x14ac:dyDescent="0.3">
      <c r="A40" s="4">
        <v>250057</v>
      </c>
      <c r="B40" s="4">
        <v>304</v>
      </c>
      <c r="C40" s="6">
        <v>0.7</v>
      </c>
      <c r="D40" s="6" t="s">
        <v>19</v>
      </c>
      <c r="E40" s="7" t="s">
        <v>69</v>
      </c>
      <c r="F40" s="4"/>
      <c r="G40" s="4">
        <v>304</v>
      </c>
      <c r="H40" s="8">
        <v>395</v>
      </c>
      <c r="I40" s="9"/>
      <c r="J40" s="8">
        <f>H40-I40</f>
        <v>395</v>
      </c>
    </row>
    <row r="41" spans="1:10" ht="19.95" customHeight="1" x14ac:dyDescent="0.3">
      <c r="A41" s="4">
        <v>250057</v>
      </c>
      <c r="B41" s="4">
        <v>304</v>
      </c>
      <c r="C41" s="6">
        <v>0.7</v>
      </c>
      <c r="D41" s="6" t="s">
        <v>19</v>
      </c>
      <c r="E41" s="7" t="s">
        <v>70</v>
      </c>
      <c r="F41" s="4"/>
      <c r="G41" s="4">
        <v>304</v>
      </c>
      <c r="H41" s="8">
        <v>15</v>
      </c>
      <c r="I41" s="9"/>
      <c r="J41" s="8">
        <f t="shared" ref="J41:J45" si="4">H41-I41</f>
        <v>15</v>
      </c>
    </row>
    <row r="42" spans="1:10" ht="19.95" customHeight="1" x14ac:dyDescent="0.3">
      <c r="A42" s="4">
        <v>250061</v>
      </c>
      <c r="B42" s="4">
        <v>304</v>
      </c>
      <c r="C42" s="6">
        <v>0.7</v>
      </c>
      <c r="D42" s="6" t="s">
        <v>19</v>
      </c>
      <c r="E42" s="7" t="s">
        <v>71</v>
      </c>
      <c r="F42" s="4"/>
      <c r="G42" s="4">
        <v>304</v>
      </c>
      <c r="H42" s="8">
        <v>570</v>
      </c>
      <c r="I42" s="9"/>
      <c r="J42" s="8">
        <f t="shared" si="4"/>
        <v>570</v>
      </c>
    </row>
    <row r="43" spans="1:10" ht="19.95" customHeight="1" x14ac:dyDescent="0.3">
      <c r="A43" s="4">
        <v>250061</v>
      </c>
      <c r="B43" s="4">
        <v>304</v>
      </c>
      <c r="C43" s="6">
        <v>0.7</v>
      </c>
      <c r="D43" s="6" t="s">
        <v>19</v>
      </c>
      <c r="E43" s="7" t="s">
        <v>72</v>
      </c>
      <c r="F43" s="4"/>
      <c r="G43" s="4">
        <v>304</v>
      </c>
      <c r="H43" s="8">
        <v>15</v>
      </c>
      <c r="I43" s="9"/>
      <c r="J43" s="8">
        <f t="shared" si="4"/>
        <v>15</v>
      </c>
    </row>
    <row r="44" spans="1:10" ht="19.95" customHeight="1" x14ac:dyDescent="0.3">
      <c r="A44" s="4">
        <v>290925</v>
      </c>
      <c r="B44" s="4">
        <v>304</v>
      </c>
      <c r="C44" s="6">
        <v>0.8</v>
      </c>
      <c r="D44" s="6" t="s">
        <v>22</v>
      </c>
      <c r="E44" s="7" t="s">
        <v>67</v>
      </c>
      <c r="F44" s="4"/>
      <c r="G44" s="4" t="s">
        <v>22</v>
      </c>
      <c r="H44" s="8">
        <v>3000</v>
      </c>
      <c r="I44" s="9"/>
      <c r="J44" s="8">
        <f t="shared" si="4"/>
        <v>3000</v>
      </c>
    </row>
    <row r="45" spans="1:10" ht="19.95" customHeight="1" x14ac:dyDescent="0.3">
      <c r="A45" s="4">
        <v>230925</v>
      </c>
      <c r="B45" s="4">
        <v>430</v>
      </c>
      <c r="C45" s="6" t="s">
        <v>73</v>
      </c>
      <c r="D45" s="6" t="s">
        <v>74</v>
      </c>
      <c r="E45" s="7" t="s">
        <v>75</v>
      </c>
      <c r="F45" s="4"/>
      <c r="G45" s="4">
        <v>430</v>
      </c>
      <c r="H45" s="8">
        <v>6000</v>
      </c>
      <c r="I45" s="9"/>
      <c r="J45" s="8">
        <f t="shared" si="4"/>
        <v>6000</v>
      </c>
    </row>
    <row r="46" spans="1:10" ht="19.95" customHeight="1" x14ac:dyDescent="0.3">
      <c r="A46" s="4">
        <v>230925</v>
      </c>
      <c r="B46" s="4">
        <v>430</v>
      </c>
      <c r="C46" s="6" t="s">
        <v>73</v>
      </c>
      <c r="D46" s="6" t="s">
        <v>74</v>
      </c>
      <c r="E46" s="7" t="s">
        <v>76</v>
      </c>
      <c r="F46" s="4"/>
      <c r="G46" s="4">
        <v>430</v>
      </c>
      <c r="H46" s="8">
        <v>5300</v>
      </c>
      <c r="I46" s="9"/>
      <c r="J46" s="8">
        <f>H46-I46</f>
        <v>5300</v>
      </c>
    </row>
    <row r="47" spans="1:10" ht="19.95" customHeight="1" x14ac:dyDescent="0.3">
      <c r="A47" s="4"/>
      <c r="B47" s="4"/>
      <c r="C47" s="6"/>
      <c r="D47" s="6"/>
      <c r="E47" s="7"/>
      <c r="F47" s="4"/>
      <c r="G47" s="4"/>
      <c r="H47" s="8"/>
      <c r="I47" s="9"/>
      <c r="J47" s="8">
        <f t="shared" si="3"/>
        <v>0</v>
      </c>
    </row>
    <row r="48" spans="1:10" ht="19.95" customHeight="1" x14ac:dyDescent="0.3">
      <c r="A48" s="10"/>
      <c r="B48" s="10"/>
      <c r="C48" s="10"/>
      <c r="D48" s="10"/>
      <c r="E48" s="11"/>
      <c r="F48" s="10"/>
      <c r="G48" s="12"/>
      <c r="H48" s="8">
        <f>SUM(H39:H47)</f>
        <v>17845</v>
      </c>
      <c r="I48" s="9">
        <f>SUM(I39:I47)</f>
        <v>2000</v>
      </c>
      <c r="J48" s="8">
        <f>SUM(J39:J47)</f>
        <v>15845</v>
      </c>
    </row>
    <row r="49" spans="1:10" ht="19.95" customHeight="1" x14ac:dyDescent="0.3">
      <c r="A49" s="16"/>
      <c r="B49" s="16"/>
      <c r="C49" s="16"/>
      <c r="D49" s="16"/>
      <c r="E49" s="17"/>
      <c r="F49" s="16"/>
      <c r="G49" s="16"/>
      <c r="H49" s="18"/>
      <c r="I49" s="19"/>
      <c r="J49" s="18"/>
    </row>
    <row r="50" spans="1:10" ht="30" customHeight="1" x14ac:dyDescent="0.3">
      <c r="A50" s="31" t="s">
        <v>16</v>
      </c>
      <c r="B50" s="31"/>
      <c r="C50" s="31"/>
      <c r="D50" s="31"/>
      <c r="E50" s="31"/>
      <c r="F50" s="31"/>
      <c r="G50" s="31"/>
      <c r="H50" s="31"/>
      <c r="I50" s="31"/>
      <c r="J50" s="31"/>
    </row>
    <row r="51" spans="1:10" ht="30" customHeight="1" x14ac:dyDescent="0.3">
      <c r="A51" s="4" t="s">
        <v>2</v>
      </c>
      <c r="B51" s="4" t="s">
        <v>3</v>
      </c>
      <c r="C51" s="5" t="s">
        <v>4</v>
      </c>
      <c r="D51" s="5" t="s">
        <v>5</v>
      </c>
      <c r="E51" s="4" t="s">
        <v>6</v>
      </c>
      <c r="F51" s="5" t="s">
        <v>18</v>
      </c>
      <c r="G51" s="5" t="s">
        <v>7</v>
      </c>
      <c r="H51" s="4" t="s">
        <v>8</v>
      </c>
      <c r="I51" s="4" t="s">
        <v>9</v>
      </c>
      <c r="J51" s="4" t="s">
        <v>10</v>
      </c>
    </row>
    <row r="52" spans="1:10" ht="19.95" customHeight="1" x14ac:dyDescent="0.3">
      <c r="A52" s="4"/>
      <c r="B52" s="4"/>
      <c r="C52" s="6"/>
      <c r="D52" s="6"/>
      <c r="E52" s="7"/>
      <c r="F52" s="4"/>
      <c r="G52" s="4"/>
      <c r="H52" s="8"/>
      <c r="I52" s="9"/>
      <c r="J52" s="8">
        <f t="shared" ref="J52:J57" si="5">H52-I52</f>
        <v>0</v>
      </c>
    </row>
    <row r="53" spans="1:10" ht="19.95" customHeight="1" x14ac:dyDescent="0.3">
      <c r="A53" s="4"/>
      <c r="B53" s="4"/>
      <c r="C53" s="6"/>
      <c r="D53" s="6"/>
      <c r="E53" s="7"/>
      <c r="F53" s="4"/>
      <c r="G53" s="4"/>
      <c r="H53" s="8"/>
      <c r="I53" s="9"/>
      <c r="J53" s="8">
        <f t="shared" si="5"/>
        <v>0</v>
      </c>
    </row>
    <row r="54" spans="1:10" ht="19.95" customHeight="1" x14ac:dyDescent="0.3">
      <c r="A54" s="4"/>
      <c r="B54" s="4"/>
      <c r="C54" s="6"/>
      <c r="D54" s="6"/>
      <c r="E54" s="7"/>
      <c r="F54" s="4"/>
      <c r="G54" s="4"/>
      <c r="H54" s="8"/>
      <c r="I54" s="9"/>
      <c r="J54" s="8">
        <f t="shared" si="5"/>
        <v>0</v>
      </c>
    </row>
    <row r="55" spans="1:10" ht="19.95" customHeight="1" x14ac:dyDescent="0.3">
      <c r="A55" s="4"/>
      <c r="B55" s="4"/>
      <c r="C55" s="6"/>
      <c r="D55" s="6"/>
      <c r="E55" s="7"/>
      <c r="G55" s="8"/>
      <c r="H55" s="8"/>
      <c r="I55" s="9"/>
      <c r="J55" s="8">
        <f t="shared" si="5"/>
        <v>0</v>
      </c>
    </row>
    <row r="56" spans="1:10" ht="19.95" customHeight="1" x14ac:dyDescent="0.3">
      <c r="A56" s="4"/>
      <c r="B56" s="4"/>
      <c r="C56" s="6"/>
      <c r="D56" s="6"/>
      <c r="E56" s="7"/>
      <c r="F56" s="4"/>
      <c r="G56" s="4"/>
      <c r="H56" s="8"/>
      <c r="I56" s="9"/>
      <c r="J56" s="8">
        <f t="shared" si="5"/>
        <v>0</v>
      </c>
    </row>
    <row r="57" spans="1:10" ht="19.95" customHeight="1" x14ac:dyDescent="0.3">
      <c r="A57" s="4"/>
      <c r="B57" s="4"/>
      <c r="C57" s="6"/>
      <c r="D57" s="6"/>
      <c r="E57" s="7"/>
      <c r="F57" s="4"/>
      <c r="G57" s="4"/>
      <c r="H57" s="8"/>
      <c r="I57" s="9"/>
      <c r="J57" s="8">
        <f t="shared" si="5"/>
        <v>0</v>
      </c>
    </row>
    <row r="58" spans="1:10" ht="19.95" customHeight="1" x14ac:dyDescent="0.3">
      <c r="A58" s="10"/>
      <c r="B58" s="10"/>
      <c r="C58" s="10"/>
      <c r="D58" s="10"/>
      <c r="E58" s="11"/>
      <c r="F58" s="10"/>
      <c r="G58" s="12"/>
      <c r="H58" s="8">
        <f>SUM(H52:H57)</f>
        <v>0</v>
      </c>
      <c r="I58" s="9">
        <f>SUM(I52:I57)</f>
        <v>0</v>
      </c>
      <c r="J58" s="8">
        <f>SUM(J52:J57)</f>
        <v>0</v>
      </c>
    </row>
    <row r="59" spans="1:10" ht="19.95" customHeight="1" x14ac:dyDescent="0.3">
      <c r="A59" s="16"/>
      <c r="B59" s="16"/>
      <c r="C59" s="16"/>
      <c r="D59" s="16"/>
      <c r="E59" s="17"/>
      <c r="F59" s="16"/>
      <c r="G59" s="16"/>
      <c r="H59" s="18"/>
      <c r="I59" s="19"/>
      <c r="J59" s="18"/>
    </row>
    <row r="61" spans="1:10" ht="23.4" x14ac:dyDescent="0.3">
      <c r="A61" s="31" t="s">
        <v>11</v>
      </c>
      <c r="B61" s="31"/>
      <c r="C61" s="31"/>
      <c r="D61" s="31"/>
      <c r="E61" s="31"/>
      <c r="F61" s="31"/>
      <c r="G61" s="31"/>
      <c r="H61" s="31"/>
      <c r="I61" s="31"/>
      <c r="J61" s="31"/>
    </row>
  </sheetData>
  <mergeCells count="8">
    <mergeCell ref="A50:J50"/>
    <mergeCell ref="A61:J61"/>
    <mergeCell ref="I1:J1"/>
    <mergeCell ref="A2:J2"/>
    <mergeCell ref="A3:J3"/>
    <mergeCell ref="A13:J13"/>
    <mergeCell ref="A24:J24"/>
    <mergeCell ref="A37:J37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46" orientation="portrait" horizontalDpi="1200" verticalDpi="120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8"/>
  <sheetViews>
    <sheetView topLeftCell="A28" zoomScale="70" zoomScaleNormal="70" workbookViewId="0">
      <selection activeCell="S38" sqref="S38"/>
    </sheetView>
  </sheetViews>
  <sheetFormatPr defaultRowHeight="14.4" x14ac:dyDescent="0.3"/>
  <cols>
    <col min="1" max="1" width="15.6640625" style="24" customWidth="1"/>
    <col min="2" max="3" width="12.6640625" style="24" customWidth="1"/>
    <col min="4" max="4" width="15.6640625" style="24" customWidth="1"/>
    <col min="5" max="5" width="80.6640625" style="24" customWidth="1"/>
    <col min="6" max="6" width="22.77734375" style="15" customWidth="1"/>
    <col min="7" max="7" width="12.33203125" style="24" customWidth="1"/>
    <col min="8" max="10" width="15.6640625" style="24" customWidth="1"/>
    <col min="11" max="16384" width="8.88671875" style="24"/>
  </cols>
  <sheetData>
    <row r="1" spans="1:11" s="1" customFormat="1" ht="30" customHeight="1" x14ac:dyDescent="0.3">
      <c r="F1" s="2"/>
      <c r="G1" s="2"/>
      <c r="H1" s="3" t="s">
        <v>0</v>
      </c>
      <c r="I1" s="27">
        <v>45958</v>
      </c>
      <c r="J1" s="27"/>
    </row>
    <row r="2" spans="1:11" ht="40.049999999999997" customHeight="1" x14ac:dyDescent="0.3">
      <c r="A2" s="28" t="s">
        <v>35</v>
      </c>
      <c r="B2" s="29"/>
      <c r="C2" s="29"/>
      <c r="D2" s="29"/>
      <c r="E2" s="29"/>
      <c r="F2" s="29"/>
      <c r="G2" s="29"/>
      <c r="H2" s="29"/>
      <c r="I2" s="29"/>
      <c r="J2" s="30"/>
    </row>
    <row r="3" spans="1:11" ht="30" customHeight="1" x14ac:dyDescent="0.3">
      <c r="A3" s="31" t="s">
        <v>12</v>
      </c>
      <c r="B3" s="31"/>
      <c r="C3" s="31"/>
      <c r="D3" s="31"/>
      <c r="E3" s="31"/>
      <c r="F3" s="31"/>
      <c r="G3" s="31"/>
      <c r="H3" s="31"/>
      <c r="I3" s="31"/>
      <c r="J3" s="31"/>
    </row>
    <row r="4" spans="1:11" ht="30" customHeight="1" x14ac:dyDescent="0.3">
      <c r="A4" s="4" t="s">
        <v>2</v>
      </c>
      <c r="B4" s="4" t="s">
        <v>3</v>
      </c>
      <c r="C4" s="5" t="s">
        <v>4</v>
      </c>
      <c r="D4" s="5" t="s">
        <v>5</v>
      </c>
      <c r="E4" s="4" t="s">
        <v>6</v>
      </c>
      <c r="F4" s="5" t="s">
        <v>17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1" ht="19.95" customHeight="1" x14ac:dyDescent="0.3">
      <c r="A5" s="4">
        <v>230925</v>
      </c>
      <c r="B5" s="4">
        <v>430</v>
      </c>
      <c r="C5" s="6" t="s">
        <v>73</v>
      </c>
      <c r="D5" s="6" t="s">
        <v>74</v>
      </c>
      <c r="E5" s="7" t="s">
        <v>75</v>
      </c>
      <c r="F5" s="4"/>
      <c r="G5" s="4">
        <v>430</v>
      </c>
      <c r="H5" s="8">
        <v>6000</v>
      </c>
      <c r="I5" s="9">
        <f>600+1665</f>
        <v>2265</v>
      </c>
      <c r="J5" s="22">
        <f t="shared" ref="J5:J9" si="0">H5-I5</f>
        <v>3735</v>
      </c>
      <c r="K5" s="20"/>
    </row>
    <row r="6" spans="1:11" ht="19.95" customHeight="1" x14ac:dyDescent="0.3">
      <c r="A6" s="4">
        <v>230925</v>
      </c>
      <c r="B6" s="4">
        <v>430</v>
      </c>
      <c r="C6" s="6" t="s">
        <v>73</v>
      </c>
      <c r="D6" s="6" t="s">
        <v>74</v>
      </c>
      <c r="E6" s="7" t="s">
        <v>76</v>
      </c>
      <c r="F6" s="4"/>
      <c r="G6" s="4">
        <v>430</v>
      </c>
      <c r="H6" s="8">
        <v>5300</v>
      </c>
      <c r="I6" s="9"/>
      <c r="J6" s="22">
        <f t="shared" si="0"/>
        <v>5300</v>
      </c>
      <c r="K6" s="20"/>
    </row>
    <row r="7" spans="1:11" ht="19.95" customHeight="1" x14ac:dyDescent="0.3">
      <c r="A7" s="4">
        <v>250079</v>
      </c>
      <c r="B7" s="4">
        <v>304</v>
      </c>
      <c r="C7" s="6">
        <v>0.7</v>
      </c>
      <c r="D7" s="6" t="s">
        <v>74</v>
      </c>
      <c r="E7" s="7" t="s">
        <v>77</v>
      </c>
      <c r="F7" s="4"/>
      <c r="G7" s="4">
        <v>304</v>
      </c>
      <c r="H7" s="8">
        <v>964</v>
      </c>
      <c r="I7" s="9"/>
      <c r="J7" s="22">
        <f t="shared" si="0"/>
        <v>964</v>
      </c>
      <c r="K7" s="20"/>
    </row>
    <row r="8" spans="1:11" ht="19.95" customHeight="1" x14ac:dyDescent="0.3">
      <c r="A8" s="4">
        <v>250079</v>
      </c>
      <c r="B8" s="4">
        <v>304</v>
      </c>
      <c r="C8" s="6">
        <v>0.7</v>
      </c>
      <c r="D8" s="6" t="s">
        <v>74</v>
      </c>
      <c r="E8" s="7" t="s">
        <v>78</v>
      </c>
      <c r="F8" s="4"/>
      <c r="G8" s="4">
        <v>304</v>
      </c>
      <c r="H8" s="8">
        <v>36</v>
      </c>
      <c r="I8" s="9"/>
      <c r="J8" s="22">
        <f t="shared" si="0"/>
        <v>36</v>
      </c>
      <c r="K8" s="20"/>
    </row>
    <row r="9" spans="1:11" ht="19.95" customHeight="1" x14ac:dyDescent="0.3">
      <c r="A9" s="4"/>
      <c r="B9" s="4"/>
      <c r="C9" s="6"/>
      <c r="D9" s="6"/>
      <c r="E9" s="7"/>
      <c r="F9" s="4"/>
      <c r="G9" s="4"/>
      <c r="H9" s="8"/>
      <c r="I9" s="9"/>
      <c r="J9" s="8">
        <f t="shared" si="0"/>
        <v>0</v>
      </c>
    </row>
    <row r="10" spans="1:11" ht="19.95" customHeight="1" x14ac:dyDescent="0.3">
      <c r="A10" s="10"/>
      <c r="B10" s="10"/>
      <c r="C10" s="10"/>
      <c r="D10" s="10"/>
      <c r="E10" s="11"/>
      <c r="F10" s="10"/>
      <c r="G10" s="12"/>
      <c r="H10" s="13">
        <f>SUM(H5:H9)</f>
        <v>12300</v>
      </c>
      <c r="I10" s="14">
        <f>SUM(I5:I9)</f>
        <v>2265</v>
      </c>
      <c r="J10" s="8">
        <f>SUM(J5:J9)</f>
        <v>10035</v>
      </c>
    </row>
    <row r="12" spans="1:11" ht="30" customHeight="1" x14ac:dyDescent="0.3">
      <c r="A12" s="31" t="s">
        <v>15</v>
      </c>
      <c r="B12" s="31"/>
      <c r="C12" s="31"/>
      <c r="D12" s="31"/>
      <c r="E12" s="31"/>
      <c r="F12" s="31"/>
      <c r="G12" s="31"/>
      <c r="H12" s="31"/>
      <c r="I12" s="31"/>
      <c r="J12" s="31"/>
    </row>
    <row r="13" spans="1:11" ht="30" customHeight="1" x14ac:dyDescent="0.3">
      <c r="A13" s="4" t="s">
        <v>2</v>
      </c>
      <c r="B13" s="4" t="s">
        <v>3</v>
      </c>
      <c r="C13" s="5" t="s">
        <v>4</v>
      </c>
      <c r="D13" s="5" t="s">
        <v>5</v>
      </c>
      <c r="E13" s="4" t="s">
        <v>6</v>
      </c>
      <c r="F13" s="5" t="s">
        <v>17</v>
      </c>
      <c r="G13" s="5" t="s">
        <v>7</v>
      </c>
      <c r="H13" s="4" t="s">
        <v>8</v>
      </c>
      <c r="I13" s="4" t="s">
        <v>9</v>
      </c>
      <c r="J13" s="4" t="s">
        <v>10</v>
      </c>
    </row>
    <row r="14" spans="1:11" ht="19.95" customHeight="1" x14ac:dyDescent="0.3">
      <c r="A14" s="4">
        <v>290925</v>
      </c>
      <c r="B14" s="4">
        <v>304</v>
      </c>
      <c r="C14" s="6">
        <v>0.8</v>
      </c>
      <c r="D14" s="6" t="s">
        <v>22</v>
      </c>
      <c r="E14" s="7" t="s">
        <v>67</v>
      </c>
      <c r="F14" s="4"/>
      <c r="G14" s="4" t="s">
        <v>22</v>
      </c>
      <c r="H14" s="8">
        <v>3000</v>
      </c>
      <c r="I14" s="9">
        <f>925+2000+160</f>
        <v>3085</v>
      </c>
      <c r="J14" s="8">
        <f t="shared" ref="J14:J19" si="1">H14-I14</f>
        <v>-85</v>
      </c>
    </row>
    <row r="15" spans="1:11" ht="19.95" customHeight="1" x14ac:dyDescent="0.3">
      <c r="A15" s="4">
        <v>230925</v>
      </c>
      <c r="B15" s="4">
        <v>430</v>
      </c>
      <c r="C15" s="6" t="s">
        <v>73</v>
      </c>
      <c r="D15" s="6" t="s">
        <v>74</v>
      </c>
      <c r="E15" s="7" t="s">
        <v>75</v>
      </c>
      <c r="F15" s="4"/>
      <c r="G15" s="4">
        <v>430</v>
      </c>
      <c r="H15" s="8">
        <v>6000</v>
      </c>
      <c r="I15" s="9">
        <f>1725</f>
        <v>1725</v>
      </c>
      <c r="J15" s="8">
        <f t="shared" si="1"/>
        <v>4275</v>
      </c>
    </row>
    <row r="16" spans="1:11" ht="19.95" customHeight="1" x14ac:dyDescent="0.3">
      <c r="A16" s="4">
        <v>230925</v>
      </c>
      <c r="B16" s="4">
        <v>430</v>
      </c>
      <c r="C16" s="6" t="s">
        <v>73</v>
      </c>
      <c r="D16" s="6" t="s">
        <v>74</v>
      </c>
      <c r="E16" s="7" t="s">
        <v>76</v>
      </c>
      <c r="F16" s="4"/>
      <c r="G16" s="4">
        <v>430</v>
      </c>
      <c r="H16" s="8">
        <v>5300</v>
      </c>
      <c r="I16" s="9"/>
      <c r="J16" s="8">
        <f t="shared" si="1"/>
        <v>5300</v>
      </c>
    </row>
    <row r="17" spans="1:10" ht="19.95" customHeight="1" x14ac:dyDescent="0.3">
      <c r="A17" s="4">
        <v>250079</v>
      </c>
      <c r="B17" s="4">
        <v>304</v>
      </c>
      <c r="C17" s="6">
        <v>0.7</v>
      </c>
      <c r="D17" s="6" t="s">
        <v>74</v>
      </c>
      <c r="E17" s="7" t="s">
        <v>77</v>
      </c>
      <c r="F17" s="4"/>
      <c r="G17" s="4">
        <v>304</v>
      </c>
      <c r="H17" s="8">
        <v>964</v>
      </c>
      <c r="I17" s="9"/>
      <c r="J17" s="8">
        <f t="shared" si="1"/>
        <v>964</v>
      </c>
    </row>
    <row r="18" spans="1:10" ht="19.95" customHeight="1" x14ac:dyDescent="0.3">
      <c r="A18" s="4">
        <v>250079</v>
      </c>
      <c r="B18" s="4">
        <v>304</v>
      </c>
      <c r="C18" s="6">
        <v>0.7</v>
      </c>
      <c r="D18" s="6" t="s">
        <v>74</v>
      </c>
      <c r="E18" s="7" t="s">
        <v>78</v>
      </c>
      <c r="F18" s="4"/>
      <c r="G18" s="4">
        <v>304</v>
      </c>
      <c r="H18" s="8">
        <v>36</v>
      </c>
      <c r="I18" s="9"/>
      <c r="J18" s="8">
        <f t="shared" si="1"/>
        <v>36</v>
      </c>
    </row>
    <row r="19" spans="1:10" ht="19.95" customHeight="1" x14ac:dyDescent="0.3">
      <c r="A19" s="4"/>
      <c r="B19" s="4"/>
      <c r="C19" s="6"/>
      <c r="D19" s="6"/>
      <c r="E19" s="7"/>
      <c r="F19" s="4"/>
      <c r="G19" s="8"/>
      <c r="H19" s="8"/>
      <c r="I19" s="9"/>
      <c r="J19" s="8">
        <f t="shared" si="1"/>
        <v>0</v>
      </c>
    </row>
    <row r="20" spans="1:10" ht="19.95" customHeight="1" x14ac:dyDescent="0.3">
      <c r="A20" s="10"/>
      <c r="B20" s="10"/>
      <c r="C20" s="10"/>
      <c r="D20" s="10"/>
      <c r="E20" s="11"/>
      <c r="F20" s="10"/>
      <c r="G20" s="12"/>
      <c r="H20" s="8">
        <f>SUM(H14:H19)</f>
        <v>15300</v>
      </c>
      <c r="I20" s="9">
        <f>SUM(I14:I19)</f>
        <v>4810</v>
      </c>
      <c r="J20" s="8">
        <f>SUM(J14:J19)</f>
        <v>10490</v>
      </c>
    </row>
    <row r="21" spans="1:10" ht="19.95" customHeight="1" x14ac:dyDescent="0.3">
      <c r="A21" s="16"/>
      <c r="B21" s="16"/>
      <c r="C21" s="16"/>
      <c r="D21" s="16"/>
      <c r="E21" s="17"/>
      <c r="F21" s="16"/>
      <c r="G21" s="16"/>
      <c r="H21" s="18"/>
      <c r="I21" s="19"/>
      <c r="J21" s="18"/>
    </row>
    <row r="22" spans="1:10" ht="30" customHeight="1" x14ac:dyDescent="0.3">
      <c r="A22" s="31" t="s">
        <v>13</v>
      </c>
      <c r="B22" s="31"/>
      <c r="C22" s="31"/>
      <c r="D22" s="31"/>
      <c r="E22" s="31"/>
      <c r="F22" s="31"/>
      <c r="G22" s="31"/>
      <c r="H22" s="31"/>
      <c r="I22" s="31"/>
      <c r="J22" s="31"/>
    </row>
    <row r="23" spans="1:10" ht="30" customHeight="1" x14ac:dyDescent="0.3">
      <c r="A23" s="4" t="s">
        <v>2</v>
      </c>
      <c r="B23" s="4" t="s">
        <v>3</v>
      </c>
      <c r="C23" s="5" t="s">
        <v>4</v>
      </c>
      <c r="D23" s="5" t="s">
        <v>5</v>
      </c>
      <c r="E23" s="4" t="s">
        <v>6</v>
      </c>
      <c r="F23" s="5" t="s">
        <v>17</v>
      </c>
      <c r="G23" s="5" t="s">
        <v>7</v>
      </c>
      <c r="H23" s="4" t="s">
        <v>8</v>
      </c>
      <c r="I23" s="4" t="s">
        <v>9</v>
      </c>
      <c r="J23" s="4" t="s">
        <v>10</v>
      </c>
    </row>
    <row r="24" spans="1:10" ht="19.95" customHeight="1" x14ac:dyDescent="0.3">
      <c r="A24" s="4">
        <v>250057</v>
      </c>
      <c r="B24" s="4">
        <v>304</v>
      </c>
      <c r="C24" s="6">
        <v>0.7</v>
      </c>
      <c r="D24" s="6" t="s">
        <v>19</v>
      </c>
      <c r="E24" s="7" t="s">
        <v>69</v>
      </c>
      <c r="F24" s="4"/>
      <c r="G24" s="4">
        <v>304</v>
      </c>
      <c r="H24" s="8">
        <v>395</v>
      </c>
      <c r="I24" s="9">
        <v>455</v>
      </c>
      <c r="J24" s="8">
        <f t="shared" ref="J24:J31" si="2">H24-I24</f>
        <v>-60</v>
      </c>
    </row>
    <row r="25" spans="1:10" ht="19.95" customHeight="1" x14ac:dyDescent="0.3">
      <c r="A25" s="4">
        <v>250057</v>
      </c>
      <c r="B25" s="4">
        <v>304</v>
      </c>
      <c r="C25" s="6">
        <v>0.7</v>
      </c>
      <c r="D25" s="6" t="s">
        <v>19</v>
      </c>
      <c r="E25" s="7" t="s">
        <v>70</v>
      </c>
      <c r="F25" s="4"/>
      <c r="G25" s="4">
        <v>304</v>
      </c>
      <c r="H25" s="8">
        <v>15</v>
      </c>
      <c r="I25" s="9">
        <v>15</v>
      </c>
      <c r="J25" s="8">
        <f t="shared" si="2"/>
        <v>0</v>
      </c>
    </row>
    <row r="26" spans="1:10" ht="19.95" customHeight="1" x14ac:dyDescent="0.3">
      <c r="A26" s="4">
        <v>250061</v>
      </c>
      <c r="B26" s="4">
        <v>304</v>
      </c>
      <c r="C26" s="6">
        <v>0.7</v>
      </c>
      <c r="D26" s="6" t="s">
        <v>19</v>
      </c>
      <c r="E26" s="7" t="s">
        <v>71</v>
      </c>
      <c r="F26" s="4"/>
      <c r="G26" s="4">
        <v>304</v>
      </c>
      <c r="H26" s="8">
        <v>570</v>
      </c>
      <c r="I26" s="9">
        <v>595</v>
      </c>
      <c r="J26" s="8">
        <f t="shared" si="2"/>
        <v>-25</v>
      </c>
    </row>
    <row r="27" spans="1:10" ht="19.95" customHeight="1" x14ac:dyDescent="0.3">
      <c r="A27" s="4">
        <v>250061</v>
      </c>
      <c r="B27" s="4">
        <v>304</v>
      </c>
      <c r="C27" s="6">
        <v>0.7</v>
      </c>
      <c r="D27" s="6" t="s">
        <v>19</v>
      </c>
      <c r="E27" s="7" t="s">
        <v>72</v>
      </c>
      <c r="F27" s="4"/>
      <c r="G27" s="4">
        <v>304</v>
      </c>
      <c r="H27" s="8">
        <v>15</v>
      </c>
      <c r="I27" s="9">
        <v>15</v>
      </c>
      <c r="J27" s="8">
        <f t="shared" si="2"/>
        <v>0</v>
      </c>
    </row>
    <row r="28" spans="1:10" ht="19.95" customHeight="1" x14ac:dyDescent="0.3">
      <c r="A28" s="4">
        <v>290925</v>
      </c>
      <c r="B28" s="4">
        <v>304</v>
      </c>
      <c r="C28" s="6">
        <v>0.8</v>
      </c>
      <c r="D28" s="6" t="s">
        <v>22</v>
      </c>
      <c r="E28" s="7" t="s">
        <v>67</v>
      </c>
      <c r="F28" s="4"/>
      <c r="G28" s="4" t="s">
        <v>22</v>
      </c>
      <c r="H28" s="8">
        <v>3000</v>
      </c>
      <c r="I28" s="9">
        <v>1310</v>
      </c>
      <c r="J28" s="8">
        <f t="shared" si="2"/>
        <v>1690</v>
      </c>
    </row>
    <row r="29" spans="1:10" ht="19.95" customHeight="1" x14ac:dyDescent="0.3">
      <c r="A29" s="4">
        <v>230925</v>
      </c>
      <c r="B29" s="4">
        <v>430</v>
      </c>
      <c r="C29" s="6" t="s">
        <v>73</v>
      </c>
      <c r="D29" s="6" t="s">
        <v>74</v>
      </c>
      <c r="E29" s="7" t="s">
        <v>75</v>
      </c>
      <c r="F29" s="4"/>
      <c r="G29" s="4">
        <v>430</v>
      </c>
      <c r="H29" s="8">
        <v>6000</v>
      </c>
      <c r="I29" s="9"/>
      <c r="J29" s="8">
        <f t="shared" si="2"/>
        <v>6000</v>
      </c>
    </row>
    <row r="30" spans="1:10" ht="19.95" customHeight="1" x14ac:dyDescent="0.3">
      <c r="A30" s="4">
        <v>230925</v>
      </c>
      <c r="B30" s="4">
        <v>430</v>
      </c>
      <c r="C30" s="6" t="s">
        <v>73</v>
      </c>
      <c r="D30" s="6" t="s">
        <v>74</v>
      </c>
      <c r="E30" s="7" t="s">
        <v>76</v>
      </c>
      <c r="F30" s="4"/>
      <c r="G30" s="4">
        <v>430</v>
      </c>
      <c r="H30" s="8">
        <v>5300</v>
      </c>
      <c r="I30" s="9"/>
      <c r="J30" s="8">
        <f t="shared" si="2"/>
        <v>5300</v>
      </c>
    </row>
    <row r="31" spans="1:10" ht="19.95" customHeight="1" x14ac:dyDescent="0.3">
      <c r="A31" s="4"/>
      <c r="B31" s="4"/>
      <c r="C31" s="6"/>
      <c r="D31" s="6"/>
      <c r="E31" s="7"/>
      <c r="F31" s="4"/>
      <c r="G31" s="8"/>
      <c r="H31" s="8"/>
      <c r="I31" s="9"/>
      <c r="J31" s="8">
        <f t="shared" si="2"/>
        <v>0</v>
      </c>
    </row>
    <row r="32" spans="1:10" ht="19.95" customHeight="1" x14ac:dyDescent="0.3">
      <c r="A32" s="10"/>
      <c r="B32" s="10"/>
      <c r="C32" s="10"/>
      <c r="D32" s="10"/>
      <c r="E32" s="11"/>
      <c r="F32" s="10"/>
      <c r="G32" s="12"/>
      <c r="H32" s="8">
        <f>SUM(H24:H31)</f>
        <v>15295</v>
      </c>
      <c r="I32" s="9">
        <f>SUM(I24:I31)</f>
        <v>2390</v>
      </c>
      <c r="J32" s="8">
        <f>SUM(J24:J31)</f>
        <v>12905</v>
      </c>
    </row>
    <row r="33" spans="1:10" ht="19.95" customHeight="1" x14ac:dyDescent="0.3">
      <c r="A33" s="16"/>
      <c r="B33" s="16"/>
      <c r="C33" s="16"/>
      <c r="D33" s="16"/>
      <c r="E33" s="17"/>
      <c r="F33" s="16"/>
      <c r="G33" s="16"/>
      <c r="H33" s="18"/>
      <c r="I33" s="19"/>
      <c r="J33" s="18"/>
    </row>
    <row r="34" spans="1:10" ht="30" customHeight="1" x14ac:dyDescent="0.3">
      <c r="A34" s="31" t="s">
        <v>14</v>
      </c>
      <c r="B34" s="31"/>
      <c r="C34" s="31"/>
      <c r="D34" s="31"/>
      <c r="E34" s="31"/>
      <c r="F34" s="31"/>
      <c r="G34" s="31"/>
      <c r="H34" s="31"/>
      <c r="I34" s="31"/>
      <c r="J34" s="31"/>
    </row>
    <row r="35" spans="1:10" ht="30" customHeight="1" x14ac:dyDescent="0.3">
      <c r="A35" s="4" t="s">
        <v>2</v>
      </c>
      <c r="B35" s="4" t="s">
        <v>3</v>
      </c>
      <c r="C35" s="5" t="s">
        <v>4</v>
      </c>
      <c r="D35" s="5" t="s">
        <v>5</v>
      </c>
      <c r="E35" s="4" t="s">
        <v>6</v>
      </c>
      <c r="F35" s="5" t="s">
        <v>17</v>
      </c>
      <c r="G35" s="5" t="s">
        <v>7</v>
      </c>
      <c r="H35" s="4" t="s">
        <v>8</v>
      </c>
      <c r="I35" s="4" t="s">
        <v>9</v>
      </c>
      <c r="J35" s="4" t="s">
        <v>10</v>
      </c>
    </row>
    <row r="36" spans="1:10" ht="19.95" customHeight="1" x14ac:dyDescent="0.3">
      <c r="A36" s="4">
        <v>131025</v>
      </c>
      <c r="B36" s="4">
        <v>304</v>
      </c>
      <c r="C36" s="6">
        <v>0.9</v>
      </c>
      <c r="D36" s="6" t="s">
        <v>22</v>
      </c>
      <c r="E36" s="7" t="s">
        <v>68</v>
      </c>
      <c r="F36" s="4"/>
      <c r="G36" s="4" t="s">
        <v>22</v>
      </c>
      <c r="H36" s="8">
        <v>2550</v>
      </c>
      <c r="I36" s="9">
        <f>2000+525</f>
        <v>2525</v>
      </c>
      <c r="J36" s="8">
        <f t="shared" ref="J36:J44" si="3">H36-I36</f>
        <v>25</v>
      </c>
    </row>
    <row r="37" spans="1:10" ht="19.95" customHeight="1" x14ac:dyDescent="0.3">
      <c r="A37" s="4">
        <v>250057</v>
      </c>
      <c r="B37" s="4">
        <v>304</v>
      </c>
      <c r="C37" s="6">
        <v>0.7</v>
      </c>
      <c r="D37" s="6" t="s">
        <v>19</v>
      </c>
      <c r="E37" s="7" t="s">
        <v>69</v>
      </c>
      <c r="F37" s="4"/>
      <c r="G37" s="4">
        <v>304</v>
      </c>
      <c r="H37" s="8">
        <v>395</v>
      </c>
      <c r="I37" s="9">
        <v>455</v>
      </c>
      <c r="J37" s="8">
        <f>H37-I37</f>
        <v>-60</v>
      </c>
    </row>
    <row r="38" spans="1:10" ht="19.95" customHeight="1" x14ac:dyDescent="0.3">
      <c r="A38" s="4">
        <v>250057</v>
      </c>
      <c r="B38" s="4">
        <v>304</v>
      </c>
      <c r="C38" s="6">
        <v>0.7</v>
      </c>
      <c r="D38" s="6" t="s">
        <v>19</v>
      </c>
      <c r="E38" s="7" t="s">
        <v>70</v>
      </c>
      <c r="F38" s="4"/>
      <c r="G38" s="4">
        <v>304</v>
      </c>
      <c r="H38" s="8">
        <v>15</v>
      </c>
      <c r="I38" s="9">
        <v>15</v>
      </c>
      <c r="J38" s="8">
        <f t="shared" ref="J38:J42" si="4">H38-I38</f>
        <v>0</v>
      </c>
    </row>
    <row r="39" spans="1:10" ht="19.95" customHeight="1" x14ac:dyDescent="0.3">
      <c r="A39" s="4">
        <v>250061</v>
      </c>
      <c r="B39" s="4">
        <v>304</v>
      </c>
      <c r="C39" s="6">
        <v>0.7</v>
      </c>
      <c r="D39" s="6" t="s">
        <v>19</v>
      </c>
      <c r="E39" s="7" t="s">
        <v>71</v>
      </c>
      <c r="F39" s="4"/>
      <c r="G39" s="4">
        <v>304</v>
      </c>
      <c r="H39" s="8">
        <v>570</v>
      </c>
      <c r="I39" s="9">
        <v>600</v>
      </c>
      <c r="J39" s="8">
        <f t="shared" si="4"/>
        <v>-30</v>
      </c>
    </row>
    <row r="40" spans="1:10" ht="19.95" customHeight="1" x14ac:dyDescent="0.3">
      <c r="A40" s="4">
        <v>250061</v>
      </c>
      <c r="B40" s="4">
        <v>304</v>
      </c>
      <c r="C40" s="6">
        <v>0.7</v>
      </c>
      <c r="D40" s="6" t="s">
        <v>19</v>
      </c>
      <c r="E40" s="7" t="s">
        <v>72</v>
      </c>
      <c r="F40" s="4"/>
      <c r="G40" s="4">
        <v>304</v>
      </c>
      <c r="H40" s="8">
        <v>15</v>
      </c>
      <c r="I40" s="9">
        <v>15</v>
      </c>
      <c r="J40" s="8">
        <f t="shared" si="4"/>
        <v>0</v>
      </c>
    </row>
    <row r="41" spans="1:10" ht="19.95" customHeight="1" x14ac:dyDescent="0.3">
      <c r="A41" s="4">
        <v>290925</v>
      </c>
      <c r="B41" s="4">
        <v>304</v>
      </c>
      <c r="C41" s="6">
        <v>0.8</v>
      </c>
      <c r="D41" s="6" t="s">
        <v>22</v>
      </c>
      <c r="E41" s="7" t="s">
        <v>67</v>
      </c>
      <c r="F41" s="4"/>
      <c r="G41" s="4" t="s">
        <v>22</v>
      </c>
      <c r="H41" s="8">
        <v>3000</v>
      </c>
      <c r="I41" s="9"/>
      <c r="J41" s="8">
        <f t="shared" si="4"/>
        <v>3000</v>
      </c>
    </row>
    <row r="42" spans="1:10" ht="19.95" customHeight="1" x14ac:dyDescent="0.3">
      <c r="A42" s="4">
        <v>230925</v>
      </c>
      <c r="B42" s="4">
        <v>430</v>
      </c>
      <c r="C42" s="6" t="s">
        <v>73</v>
      </c>
      <c r="D42" s="6" t="s">
        <v>74</v>
      </c>
      <c r="E42" s="7" t="s">
        <v>75</v>
      </c>
      <c r="F42" s="4"/>
      <c r="G42" s="4">
        <v>430</v>
      </c>
      <c r="H42" s="8">
        <v>6000</v>
      </c>
      <c r="I42" s="9"/>
      <c r="J42" s="8">
        <f t="shared" si="4"/>
        <v>6000</v>
      </c>
    </row>
    <row r="43" spans="1:10" ht="19.95" customHeight="1" x14ac:dyDescent="0.3">
      <c r="A43" s="4">
        <v>230925</v>
      </c>
      <c r="B43" s="4">
        <v>430</v>
      </c>
      <c r="C43" s="6" t="s">
        <v>73</v>
      </c>
      <c r="D43" s="6" t="s">
        <v>74</v>
      </c>
      <c r="E43" s="7" t="s">
        <v>76</v>
      </c>
      <c r="F43" s="4"/>
      <c r="G43" s="4">
        <v>430</v>
      </c>
      <c r="H43" s="8">
        <v>5300</v>
      </c>
      <c r="I43" s="9"/>
      <c r="J43" s="8">
        <f>H43-I43</f>
        <v>5300</v>
      </c>
    </row>
    <row r="44" spans="1:10" ht="19.95" customHeight="1" x14ac:dyDescent="0.3">
      <c r="A44" s="4"/>
      <c r="B44" s="4"/>
      <c r="C44" s="6"/>
      <c r="D44" s="6"/>
      <c r="E44" s="7"/>
      <c r="F44" s="4"/>
      <c r="G44" s="4"/>
      <c r="H44" s="8"/>
      <c r="I44" s="9"/>
      <c r="J44" s="8">
        <f t="shared" si="3"/>
        <v>0</v>
      </c>
    </row>
    <row r="45" spans="1:10" ht="19.95" customHeight="1" x14ac:dyDescent="0.3">
      <c r="A45" s="10"/>
      <c r="B45" s="10"/>
      <c r="C45" s="10"/>
      <c r="D45" s="10"/>
      <c r="E45" s="11"/>
      <c r="F45" s="10"/>
      <c r="G45" s="12"/>
      <c r="H45" s="8">
        <f>SUM(H36:H44)</f>
        <v>17845</v>
      </c>
      <c r="I45" s="9">
        <f>SUM(I36:I44)</f>
        <v>3610</v>
      </c>
      <c r="J45" s="8">
        <f>SUM(J36:J44)</f>
        <v>14235</v>
      </c>
    </row>
    <row r="46" spans="1:10" ht="19.95" customHeight="1" x14ac:dyDescent="0.3">
      <c r="A46" s="16"/>
      <c r="B46" s="16"/>
      <c r="C46" s="16"/>
      <c r="D46" s="16"/>
      <c r="E46" s="17"/>
      <c r="F46" s="16"/>
      <c r="G46" s="16"/>
      <c r="H46" s="18"/>
      <c r="I46" s="19"/>
      <c r="J46" s="18"/>
    </row>
    <row r="47" spans="1:10" ht="30" customHeight="1" x14ac:dyDescent="0.3">
      <c r="A47" s="31" t="s">
        <v>16</v>
      </c>
      <c r="B47" s="31"/>
      <c r="C47" s="31"/>
      <c r="D47" s="31"/>
      <c r="E47" s="31"/>
      <c r="F47" s="31"/>
      <c r="G47" s="31"/>
      <c r="H47" s="31"/>
      <c r="I47" s="31"/>
      <c r="J47" s="31"/>
    </row>
    <row r="48" spans="1:10" ht="30" customHeight="1" x14ac:dyDescent="0.3">
      <c r="A48" s="4" t="s">
        <v>2</v>
      </c>
      <c r="B48" s="4" t="s">
        <v>3</v>
      </c>
      <c r="C48" s="5" t="s">
        <v>4</v>
      </c>
      <c r="D48" s="5" t="s">
        <v>5</v>
      </c>
      <c r="E48" s="4" t="s">
        <v>6</v>
      </c>
      <c r="F48" s="5" t="s">
        <v>18</v>
      </c>
      <c r="G48" s="5" t="s">
        <v>7</v>
      </c>
      <c r="H48" s="4" t="s">
        <v>8</v>
      </c>
      <c r="I48" s="4" t="s">
        <v>9</v>
      </c>
      <c r="J48" s="4" t="s">
        <v>10</v>
      </c>
    </row>
    <row r="49" spans="1:10" ht="19.95" customHeight="1" x14ac:dyDescent="0.3">
      <c r="A49" s="4"/>
      <c r="B49" s="4"/>
      <c r="C49" s="6"/>
      <c r="D49" s="6"/>
      <c r="E49" s="7"/>
      <c r="F49" s="4"/>
      <c r="G49" s="4"/>
      <c r="H49" s="8"/>
      <c r="I49" s="9"/>
      <c r="J49" s="8">
        <f t="shared" ref="J49:J54" si="5">H49-I49</f>
        <v>0</v>
      </c>
    </row>
    <row r="50" spans="1:10" ht="19.95" customHeight="1" x14ac:dyDescent="0.3">
      <c r="A50" s="4"/>
      <c r="B50" s="4"/>
      <c r="C50" s="6"/>
      <c r="D50" s="6"/>
      <c r="E50" s="7"/>
      <c r="F50" s="4"/>
      <c r="G50" s="4"/>
      <c r="H50" s="8"/>
      <c r="I50" s="9"/>
      <c r="J50" s="8">
        <f t="shared" si="5"/>
        <v>0</v>
      </c>
    </row>
    <row r="51" spans="1:10" ht="19.95" customHeight="1" x14ac:dyDescent="0.3">
      <c r="A51" s="4"/>
      <c r="B51" s="4"/>
      <c r="C51" s="6"/>
      <c r="D51" s="6"/>
      <c r="E51" s="7"/>
      <c r="F51" s="4"/>
      <c r="G51" s="4"/>
      <c r="H51" s="8"/>
      <c r="I51" s="9"/>
      <c r="J51" s="8">
        <f t="shared" si="5"/>
        <v>0</v>
      </c>
    </row>
    <row r="52" spans="1:10" ht="19.95" customHeight="1" x14ac:dyDescent="0.3">
      <c r="A52" s="4"/>
      <c r="B52" s="4"/>
      <c r="C52" s="6"/>
      <c r="D52" s="6"/>
      <c r="E52" s="7"/>
      <c r="G52" s="8"/>
      <c r="H52" s="8"/>
      <c r="I52" s="9"/>
      <c r="J52" s="8">
        <f t="shared" si="5"/>
        <v>0</v>
      </c>
    </row>
    <row r="53" spans="1:10" ht="19.95" customHeight="1" x14ac:dyDescent="0.3">
      <c r="A53" s="4"/>
      <c r="B53" s="4"/>
      <c r="C53" s="6"/>
      <c r="D53" s="6"/>
      <c r="E53" s="7"/>
      <c r="F53" s="4"/>
      <c r="G53" s="4"/>
      <c r="H53" s="8"/>
      <c r="I53" s="9"/>
      <c r="J53" s="8">
        <f t="shared" si="5"/>
        <v>0</v>
      </c>
    </row>
    <row r="54" spans="1:10" ht="19.95" customHeight="1" x14ac:dyDescent="0.3">
      <c r="A54" s="4"/>
      <c r="B54" s="4"/>
      <c r="C54" s="6"/>
      <c r="D54" s="6"/>
      <c r="E54" s="7"/>
      <c r="F54" s="4"/>
      <c r="G54" s="4"/>
      <c r="H54" s="8"/>
      <c r="I54" s="9"/>
      <c r="J54" s="8">
        <f t="shared" si="5"/>
        <v>0</v>
      </c>
    </row>
    <row r="55" spans="1:10" ht="19.95" customHeight="1" x14ac:dyDescent="0.3">
      <c r="A55" s="10"/>
      <c r="B55" s="10"/>
      <c r="C55" s="10"/>
      <c r="D55" s="10"/>
      <c r="E55" s="11"/>
      <c r="F55" s="10"/>
      <c r="G55" s="12"/>
      <c r="H55" s="8">
        <f>SUM(H49:H54)</f>
        <v>0</v>
      </c>
      <c r="I55" s="9">
        <f>SUM(I49:I54)</f>
        <v>0</v>
      </c>
      <c r="J55" s="8">
        <f>SUM(J49:J54)</f>
        <v>0</v>
      </c>
    </row>
    <row r="56" spans="1:10" ht="19.95" customHeight="1" x14ac:dyDescent="0.3">
      <c r="A56" s="16"/>
      <c r="B56" s="16"/>
      <c r="C56" s="16"/>
      <c r="D56" s="16"/>
      <c r="E56" s="17"/>
      <c r="F56" s="16"/>
      <c r="G56" s="16"/>
      <c r="H56" s="18"/>
      <c r="I56" s="19"/>
      <c r="J56" s="18"/>
    </row>
    <row r="58" spans="1:10" ht="23.4" x14ac:dyDescent="0.3">
      <c r="A58" s="31" t="s">
        <v>11</v>
      </c>
      <c r="B58" s="31"/>
      <c r="C58" s="31"/>
      <c r="D58" s="31"/>
      <c r="E58" s="31"/>
      <c r="F58" s="31"/>
      <c r="G58" s="31"/>
      <c r="H58" s="31"/>
      <c r="I58" s="31"/>
      <c r="J58" s="31"/>
    </row>
  </sheetData>
  <mergeCells count="8">
    <mergeCell ref="A47:J47"/>
    <mergeCell ref="A58:J58"/>
    <mergeCell ref="I1:J1"/>
    <mergeCell ref="A2:J2"/>
    <mergeCell ref="A3:J3"/>
    <mergeCell ref="A12:J12"/>
    <mergeCell ref="A22:J22"/>
    <mergeCell ref="A34:J34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46" orientation="portrait" horizontalDpi="1200" verticalDpi="120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2"/>
  <sheetViews>
    <sheetView zoomScale="70" zoomScaleNormal="70" workbookViewId="0">
      <selection activeCell="I34" sqref="I34"/>
    </sheetView>
  </sheetViews>
  <sheetFormatPr defaultRowHeight="14.4" x14ac:dyDescent="0.3"/>
  <cols>
    <col min="1" max="1" width="15.6640625" style="24" customWidth="1"/>
    <col min="2" max="3" width="12.6640625" style="24" customWidth="1"/>
    <col min="4" max="4" width="15.6640625" style="24" customWidth="1"/>
    <col min="5" max="5" width="80.6640625" style="24" customWidth="1"/>
    <col min="6" max="6" width="22.77734375" style="15" customWidth="1"/>
    <col min="7" max="7" width="12.33203125" style="24" customWidth="1"/>
    <col min="8" max="10" width="15.6640625" style="24" customWidth="1"/>
    <col min="11" max="16384" width="8.88671875" style="24"/>
  </cols>
  <sheetData>
    <row r="1" spans="1:11" s="1" customFormat="1" ht="30" customHeight="1" x14ac:dyDescent="0.3">
      <c r="F1" s="2"/>
      <c r="G1" s="2"/>
      <c r="H1" s="3" t="s">
        <v>0</v>
      </c>
      <c r="I1" s="27">
        <v>45960</v>
      </c>
      <c r="J1" s="27"/>
    </row>
    <row r="2" spans="1:11" ht="40.049999999999997" customHeight="1" x14ac:dyDescent="0.3">
      <c r="A2" s="28" t="s">
        <v>44</v>
      </c>
      <c r="B2" s="29"/>
      <c r="C2" s="29"/>
      <c r="D2" s="29"/>
      <c r="E2" s="29"/>
      <c r="F2" s="29"/>
      <c r="G2" s="29"/>
      <c r="H2" s="29"/>
      <c r="I2" s="29"/>
      <c r="J2" s="30"/>
    </row>
    <row r="3" spans="1:11" ht="30" customHeight="1" x14ac:dyDescent="0.3">
      <c r="A3" s="31" t="s">
        <v>12</v>
      </c>
      <c r="B3" s="31"/>
      <c r="C3" s="31"/>
      <c r="D3" s="31"/>
      <c r="E3" s="31"/>
      <c r="F3" s="31"/>
      <c r="G3" s="31"/>
      <c r="H3" s="31"/>
      <c r="I3" s="31"/>
      <c r="J3" s="31"/>
    </row>
    <row r="4" spans="1:11" ht="30" customHeight="1" x14ac:dyDescent="0.3">
      <c r="A4" s="4" t="s">
        <v>2</v>
      </c>
      <c r="B4" s="4" t="s">
        <v>3</v>
      </c>
      <c r="C4" s="5" t="s">
        <v>4</v>
      </c>
      <c r="D4" s="5" t="s">
        <v>5</v>
      </c>
      <c r="E4" s="4" t="s">
        <v>6</v>
      </c>
      <c r="F4" s="5" t="s">
        <v>17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1" ht="19.95" customHeight="1" x14ac:dyDescent="0.3">
      <c r="A5" s="4">
        <v>230925</v>
      </c>
      <c r="B5" s="4">
        <v>430</v>
      </c>
      <c r="C5" s="6" t="s">
        <v>73</v>
      </c>
      <c r="D5" s="6" t="s">
        <v>74</v>
      </c>
      <c r="E5" s="7" t="s">
        <v>75</v>
      </c>
      <c r="F5" s="4"/>
      <c r="G5" s="4">
        <v>430</v>
      </c>
      <c r="H5" s="8">
        <v>6000</v>
      </c>
      <c r="I5" s="9">
        <f>600+1665+1800</f>
        <v>4065</v>
      </c>
      <c r="J5" s="22">
        <f t="shared" ref="J5:J9" si="0">H5-I5</f>
        <v>1935</v>
      </c>
      <c r="K5" s="20"/>
    </row>
    <row r="6" spans="1:11" ht="19.95" customHeight="1" x14ac:dyDescent="0.3">
      <c r="A6" s="4">
        <v>230925</v>
      </c>
      <c r="B6" s="4">
        <v>430</v>
      </c>
      <c r="C6" s="6" t="s">
        <v>73</v>
      </c>
      <c r="D6" s="6" t="s">
        <v>74</v>
      </c>
      <c r="E6" s="7" t="s">
        <v>76</v>
      </c>
      <c r="F6" s="4"/>
      <c r="G6" s="4">
        <v>430</v>
      </c>
      <c r="H6" s="8">
        <v>5300</v>
      </c>
      <c r="I6" s="9"/>
      <c r="J6" s="22">
        <f t="shared" si="0"/>
        <v>5300</v>
      </c>
      <c r="K6" s="20"/>
    </row>
    <row r="7" spans="1:11" ht="19.95" customHeight="1" x14ac:dyDescent="0.3">
      <c r="A7" s="4">
        <v>250079</v>
      </c>
      <c r="B7" s="4">
        <v>304</v>
      </c>
      <c r="C7" s="6">
        <v>0.7</v>
      </c>
      <c r="D7" s="6" t="s">
        <v>74</v>
      </c>
      <c r="E7" s="7" t="s">
        <v>77</v>
      </c>
      <c r="F7" s="4"/>
      <c r="G7" s="4">
        <v>304</v>
      </c>
      <c r="H7" s="8">
        <v>964</v>
      </c>
      <c r="I7" s="9"/>
      <c r="J7" s="22">
        <f t="shared" si="0"/>
        <v>964</v>
      </c>
      <c r="K7" s="20"/>
    </row>
    <row r="8" spans="1:11" ht="19.95" customHeight="1" x14ac:dyDescent="0.3">
      <c r="A8" s="4">
        <v>250079</v>
      </c>
      <c r="B8" s="4">
        <v>304</v>
      </c>
      <c r="C8" s="6">
        <v>0.7</v>
      </c>
      <c r="D8" s="6" t="s">
        <v>74</v>
      </c>
      <c r="E8" s="7" t="s">
        <v>78</v>
      </c>
      <c r="F8" s="4"/>
      <c r="G8" s="4">
        <v>304</v>
      </c>
      <c r="H8" s="8">
        <v>36</v>
      </c>
      <c r="I8" s="9"/>
      <c r="J8" s="22">
        <f t="shared" si="0"/>
        <v>36</v>
      </c>
      <c r="K8" s="20"/>
    </row>
    <row r="9" spans="1:11" ht="19.95" customHeight="1" x14ac:dyDescent="0.3">
      <c r="A9" s="4"/>
      <c r="B9" s="4"/>
      <c r="C9" s="6"/>
      <c r="D9" s="6"/>
      <c r="E9" s="7"/>
      <c r="F9" s="4"/>
      <c r="G9" s="4"/>
      <c r="H9" s="8"/>
      <c r="I9" s="9"/>
      <c r="J9" s="8">
        <f t="shared" si="0"/>
        <v>0</v>
      </c>
    </row>
    <row r="10" spans="1:11" ht="19.95" customHeight="1" x14ac:dyDescent="0.3">
      <c r="A10" s="10"/>
      <c r="B10" s="10"/>
      <c r="C10" s="10"/>
      <c r="D10" s="10"/>
      <c r="E10" s="11"/>
      <c r="F10" s="10"/>
      <c r="G10" s="12"/>
      <c r="H10" s="13">
        <f>SUM(H5:H9)</f>
        <v>12300</v>
      </c>
      <c r="I10" s="14">
        <f>SUM(I5:I9)</f>
        <v>4065</v>
      </c>
      <c r="J10" s="8">
        <f>SUM(J5:J9)</f>
        <v>8235</v>
      </c>
    </row>
    <row r="12" spans="1:11" ht="30" customHeight="1" x14ac:dyDescent="0.3">
      <c r="A12" s="31" t="s">
        <v>15</v>
      </c>
      <c r="B12" s="31"/>
      <c r="C12" s="31"/>
      <c r="D12" s="31"/>
      <c r="E12" s="31"/>
      <c r="F12" s="31"/>
      <c r="G12" s="31"/>
      <c r="H12" s="31"/>
      <c r="I12" s="31"/>
      <c r="J12" s="31"/>
    </row>
    <row r="13" spans="1:11" ht="30" customHeight="1" x14ac:dyDescent="0.3">
      <c r="A13" s="4" t="s">
        <v>2</v>
      </c>
      <c r="B13" s="4" t="s">
        <v>3</v>
      </c>
      <c r="C13" s="5" t="s">
        <v>4</v>
      </c>
      <c r="D13" s="5" t="s">
        <v>5</v>
      </c>
      <c r="E13" s="4" t="s">
        <v>6</v>
      </c>
      <c r="F13" s="5" t="s">
        <v>17</v>
      </c>
      <c r="G13" s="5" t="s">
        <v>7</v>
      </c>
      <c r="H13" s="4" t="s">
        <v>8</v>
      </c>
      <c r="I13" s="4" t="s">
        <v>9</v>
      </c>
      <c r="J13" s="4" t="s">
        <v>10</v>
      </c>
    </row>
    <row r="14" spans="1:11" ht="19.95" customHeight="1" x14ac:dyDescent="0.3">
      <c r="A14" s="4">
        <v>230925</v>
      </c>
      <c r="B14" s="4">
        <v>430</v>
      </c>
      <c r="C14" s="6" t="s">
        <v>73</v>
      </c>
      <c r="D14" s="6" t="s">
        <v>74</v>
      </c>
      <c r="E14" s="7" t="s">
        <v>75</v>
      </c>
      <c r="F14" s="4"/>
      <c r="G14" s="4">
        <v>430</v>
      </c>
      <c r="H14" s="8">
        <v>6000</v>
      </c>
      <c r="I14" s="9">
        <f>1725+1800</f>
        <v>3525</v>
      </c>
      <c r="J14" s="8">
        <f t="shared" ref="J14:J18" si="1">H14-I14</f>
        <v>2475</v>
      </c>
    </row>
    <row r="15" spans="1:11" ht="19.95" customHeight="1" x14ac:dyDescent="0.3">
      <c r="A15" s="4">
        <v>230925</v>
      </c>
      <c r="B15" s="4">
        <v>430</v>
      </c>
      <c r="C15" s="6" t="s">
        <v>73</v>
      </c>
      <c r="D15" s="6" t="s">
        <v>74</v>
      </c>
      <c r="E15" s="7" t="s">
        <v>76</v>
      </c>
      <c r="F15" s="4"/>
      <c r="G15" s="4">
        <v>430</v>
      </c>
      <c r="H15" s="8">
        <v>5300</v>
      </c>
      <c r="I15" s="9"/>
      <c r="J15" s="8">
        <f t="shared" si="1"/>
        <v>5300</v>
      </c>
    </row>
    <row r="16" spans="1:11" ht="19.95" customHeight="1" x14ac:dyDescent="0.3">
      <c r="A16" s="4">
        <v>250079</v>
      </c>
      <c r="B16" s="4">
        <v>304</v>
      </c>
      <c r="C16" s="6">
        <v>0.7</v>
      </c>
      <c r="D16" s="6" t="s">
        <v>74</v>
      </c>
      <c r="E16" s="7" t="s">
        <v>77</v>
      </c>
      <c r="F16" s="4"/>
      <c r="G16" s="4">
        <v>304</v>
      </c>
      <c r="H16" s="8">
        <v>964</v>
      </c>
      <c r="I16" s="9"/>
      <c r="J16" s="8">
        <f t="shared" si="1"/>
        <v>964</v>
      </c>
    </row>
    <row r="17" spans="1:10" ht="19.95" customHeight="1" x14ac:dyDescent="0.3">
      <c r="A17" s="4">
        <v>250079</v>
      </c>
      <c r="B17" s="4">
        <v>304</v>
      </c>
      <c r="C17" s="6">
        <v>0.7</v>
      </c>
      <c r="D17" s="6" t="s">
        <v>74</v>
      </c>
      <c r="E17" s="7" t="s">
        <v>78</v>
      </c>
      <c r="F17" s="4"/>
      <c r="G17" s="4">
        <v>304</v>
      </c>
      <c r="H17" s="8">
        <v>36</v>
      </c>
      <c r="I17" s="9"/>
      <c r="J17" s="8">
        <f t="shared" si="1"/>
        <v>36</v>
      </c>
    </row>
    <row r="18" spans="1:10" ht="19.95" customHeight="1" x14ac:dyDescent="0.3">
      <c r="A18" s="4"/>
      <c r="B18" s="4"/>
      <c r="C18" s="6"/>
      <c r="D18" s="6"/>
      <c r="E18" s="7"/>
      <c r="F18" s="4"/>
      <c r="G18" s="8"/>
      <c r="H18" s="8"/>
      <c r="I18" s="9"/>
      <c r="J18" s="8">
        <f t="shared" si="1"/>
        <v>0</v>
      </c>
    </row>
    <row r="19" spans="1:10" ht="19.95" customHeight="1" x14ac:dyDescent="0.3">
      <c r="A19" s="10"/>
      <c r="B19" s="10"/>
      <c r="C19" s="10"/>
      <c r="D19" s="10"/>
      <c r="E19" s="11"/>
      <c r="F19" s="10"/>
      <c r="G19" s="12"/>
      <c r="H19" s="8">
        <f>SUM(H14:H18)</f>
        <v>12300</v>
      </c>
      <c r="I19" s="9">
        <f>SUM(I14:I18)</f>
        <v>3525</v>
      </c>
      <c r="J19" s="8">
        <f>SUM(J14:J18)</f>
        <v>8775</v>
      </c>
    </row>
    <row r="20" spans="1:10" ht="19.95" customHeight="1" x14ac:dyDescent="0.3">
      <c r="A20" s="16"/>
      <c r="B20" s="16"/>
      <c r="C20" s="16"/>
      <c r="D20" s="16"/>
      <c r="E20" s="17"/>
      <c r="F20" s="16"/>
      <c r="G20" s="16"/>
      <c r="H20" s="18"/>
      <c r="I20" s="19"/>
      <c r="J20" s="18"/>
    </row>
    <row r="21" spans="1:10" ht="30" customHeight="1" x14ac:dyDescent="0.3">
      <c r="A21" s="31" t="s">
        <v>13</v>
      </c>
      <c r="B21" s="31"/>
      <c r="C21" s="31"/>
      <c r="D21" s="31"/>
      <c r="E21" s="31"/>
      <c r="F21" s="31"/>
      <c r="G21" s="31"/>
      <c r="H21" s="31"/>
      <c r="I21" s="31"/>
      <c r="J21" s="31"/>
    </row>
    <row r="22" spans="1:10" ht="30" customHeight="1" x14ac:dyDescent="0.3">
      <c r="A22" s="4" t="s">
        <v>2</v>
      </c>
      <c r="B22" s="4" t="s">
        <v>3</v>
      </c>
      <c r="C22" s="5" t="s">
        <v>4</v>
      </c>
      <c r="D22" s="5" t="s">
        <v>5</v>
      </c>
      <c r="E22" s="4" t="s">
        <v>6</v>
      </c>
      <c r="F22" s="5" t="s">
        <v>17</v>
      </c>
      <c r="G22" s="5" t="s">
        <v>7</v>
      </c>
      <c r="H22" s="4" t="s">
        <v>8</v>
      </c>
      <c r="I22" s="4" t="s">
        <v>9</v>
      </c>
      <c r="J22" s="4" t="s">
        <v>10</v>
      </c>
    </row>
    <row r="23" spans="1:10" ht="19.95" customHeight="1" x14ac:dyDescent="0.3">
      <c r="A23" s="4">
        <v>290925</v>
      </c>
      <c r="B23" s="4">
        <v>304</v>
      </c>
      <c r="C23" s="6">
        <v>0.8</v>
      </c>
      <c r="D23" s="6" t="s">
        <v>22</v>
      </c>
      <c r="E23" s="7" t="s">
        <v>67</v>
      </c>
      <c r="F23" s="4"/>
      <c r="G23" s="4" t="s">
        <v>22</v>
      </c>
      <c r="H23" s="8">
        <v>3000</v>
      </c>
      <c r="I23" s="9">
        <f>1310+1730</f>
        <v>3040</v>
      </c>
      <c r="J23" s="8">
        <f t="shared" ref="J23:J28" si="2">H23-I23</f>
        <v>-40</v>
      </c>
    </row>
    <row r="24" spans="1:10" ht="19.95" customHeight="1" x14ac:dyDescent="0.3">
      <c r="A24" s="4">
        <v>230925</v>
      </c>
      <c r="B24" s="4">
        <v>430</v>
      </c>
      <c r="C24" s="6" t="s">
        <v>73</v>
      </c>
      <c r="D24" s="6" t="s">
        <v>74</v>
      </c>
      <c r="E24" s="7" t="s">
        <v>75</v>
      </c>
      <c r="F24" s="4"/>
      <c r="G24" s="4">
        <v>430</v>
      </c>
      <c r="H24" s="8">
        <v>6000</v>
      </c>
      <c r="I24" s="9"/>
      <c r="J24" s="8">
        <f t="shared" si="2"/>
        <v>6000</v>
      </c>
    </row>
    <row r="25" spans="1:10" ht="19.95" customHeight="1" x14ac:dyDescent="0.3">
      <c r="A25" s="4">
        <v>230925</v>
      </c>
      <c r="B25" s="4">
        <v>430</v>
      </c>
      <c r="C25" s="6" t="s">
        <v>73</v>
      </c>
      <c r="D25" s="6" t="s">
        <v>74</v>
      </c>
      <c r="E25" s="7" t="s">
        <v>76</v>
      </c>
      <c r="F25" s="4"/>
      <c r="G25" s="4">
        <v>430</v>
      </c>
      <c r="H25" s="8">
        <v>5300</v>
      </c>
      <c r="I25" s="9"/>
      <c r="J25" s="8">
        <f t="shared" si="2"/>
        <v>5300</v>
      </c>
    </row>
    <row r="26" spans="1:10" ht="19.95" customHeight="1" x14ac:dyDescent="0.3">
      <c r="A26" s="4">
        <v>250079</v>
      </c>
      <c r="B26" s="4">
        <v>304</v>
      </c>
      <c r="C26" s="6">
        <v>0.7</v>
      </c>
      <c r="D26" s="6" t="s">
        <v>74</v>
      </c>
      <c r="E26" s="7" t="s">
        <v>77</v>
      </c>
      <c r="F26" s="4"/>
      <c r="G26" s="4">
        <v>304</v>
      </c>
      <c r="H26" s="8">
        <v>964</v>
      </c>
      <c r="I26" s="9"/>
      <c r="J26" s="8">
        <f t="shared" si="2"/>
        <v>964</v>
      </c>
    </row>
    <row r="27" spans="1:10" ht="19.95" customHeight="1" x14ac:dyDescent="0.3">
      <c r="A27" s="4">
        <v>250079</v>
      </c>
      <c r="B27" s="4">
        <v>304</v>
      </c>
      <c r="C27" s="6">
        <v>0.7</v>
      </c>
      <c r="D27" s="6" t="s">
        <v>74</v>
      </c>
      <c r="E27" s="7" t="s">
        <v>78</v>
      </c>
      <c r="F27" s="4"/>
      <c r="G27" s="4">
        <v>304</v>
      </c>
      <c r="H27" s="8">
        <v>36</v>
      </c>
      <c r="I27" s="9"/>
      <c r="J27" s="8">
        <f t="shared" si="2"/>
        <v>36</v>
      </c>
    </row>
    <row r="28" spans="1:10" ht="19.95" customHeight="1" x14ac:dyDescent="0.3">
      <c r="A28" s="4"/>
      <c r="B28" s="4"/>
      <c r="C28" s="6"/>
      <c r="D28" s="6"/>
      <c r="E28" s="7"/>
      <c r="F28" s="4"/>
      <c r="G28" s="8"/>
      <c r="H28" s="8"/>
      <c r="I28" s="9"/>
      <c r="J28" s="8">
        <f t="shared" si="2"/>
        <v>0</v>
      </c>
    </row>
    <row r="29" spans="1:10" ht="19.95" customHeight="1" x14ac:dyDescent="0.3">
      <c r="A29" s="10"/>
      <c r="B29" s="10"/>
      <c r="C29" s="10"/>
      <c r="D29" s="10"/>
      <c r="E29" s="11"/>
      <c r="F29" s="10"/>
      <c r="G29" s="12"/>
      <c r="H29" s="8">
        <f>SUM(H23:H28)</f>
        <v>15300</v>
      </c>
      <c r="I29" s="9">
        <f>SUM(I23:I28)</f>
        <v>3040</v>
      </c>
      <c r="J29" s="8">
        <f>SUM(J23:J28)</f>
        <v>12260</v>
      </c>
    </row>
    <row r="30" spans="1:10" ht="19.95" customHeight="1" x14ac:dyDescent="0.3">
      <c r="A30" s="16"/>
      <c r="B30" s="16"/>
      <c r="C30" s="16"/>
      <c r="D30" s="16"/>
      <c r="E30" s="17"/>
      <c r="F30" s="16"/>
      <c r="G30" s="16"/>
      <c r="H30" s="18"/>
      <c r="I30" s="19"/>
      <c r="J30" s="18"/>
    </row>
    <row r="31" spans="1:10" ht="30" customHeight="1" x14ac:dyDescent="0.3">
      <c r="A31" s="31" t="s">
        <v>14</v>
      </c>
      <c r="B31" s="31"/>
      <c r="C31" s="31"/>
      <c r="D31" s="31"/>
      <c r="E31" s="31"/>
      <c r="F31" s="31"/>
      <c r="G31" s="31"/>
      <c r="H31" s="31"/>
      <c r="I31" s="31"/>
      <c r="J31" s="31"/>
    </row>
    <row r="32" spans="1:10" ht="30" customHeight="1" x14ac:dyDescent="0.3">
      <c r="A32" s="4" t="s">
        <v>2</v>
      </c>
      <c r="B32" s="4" t="s">
        <v>3</v>
      </c>
      <c r="C32" s="5" t="s">
        <v>4</v>
      </c>
      <c r="D32" s="5" t="s">
        <v>5</v>
      </c>
      <c r="E32" s="4" t="s">
        <v>6</v>
      </c>
      <c r="F32" s="5" t="s">
        <v>17</v>
      </c>
      <c r="G32" s="5" t="s">
        <v>7</v>
      </c>
      <c r="H32" s="4" t="s">
        <v>8</v>
      </c>
      <c r="I32" s="4" t="s">
        <v>9</v>
      </c>
      <c r="J32" s="4" t="s">
        <v>10</v>
      </c>
    </row>
    <row r="33" spans="1:10" ht="19.95" customHeight="1" x14ac:dyDescent="0.3">
      <c r="A33" s="4">
        <v>290925</v>
      </c>
      <c r="B33" s="4">
        <v>304</v>
      </c>
      <c r="C33" s="6">
        <v>0.8</v>
      </c>
      <c r="D33" s="6" t="s">
        <v>22</v>
      </c>
      <c r="E33" s="7" t="s">
        <v>67</v>
      </c>
      <c r="F33" s="4"/>
      <c r="G33" s="4" t="s">
        <v>22</v>
      </c>
      <c r="H33" s="8">
        <v>3000</v>
      </c>
      <c r="I33" s="9">
        <f>500+2580</f>
        <v>3080</v>
      </c>
      <c r="J33" s="8">
        <f t="shared" ref="J33:J38" si="3">H33-I33</f>
        <v>-80</v>
      </c>
    </row>
    <row r="34" spans="1:10" ht="19.95" customHeight="1" x14ac:dyDescent="0.3">
      <c r="A34" s="4">
        <v>230925</v>
      </c>
      <c r="B34" s="4">
        <v>430</v>
      </c>
      <c r="C34" s="6" t="s">
        <v>73</v>
      </c>
      <c r="D34" s="6" t="s">
        <v>74</v>
      </c>
      <c r="E34" s="7" t="s">
        <v>75</v>
      </c>
      <c r="F34" s="4"/>
      <c r="G34" s="4">
        <v>430</v>
      </c>
      <c r="H34" s="8">
        <v>6000</v>
      </c>
      <c r="I34" s="9"/>
      <c r="J34" s="8">
        <f>H34-I34</f>
        <v>6000</v>
      </c>
    </row>
    <row r="35" spans="1:10" ht="19.95" customHeight="1" x14ac:dyDescent="0.3">
      <c r="A35" s="4">
        <v>230925</v>
      </c>
      <c r="B35" s="4">
        <v>430</v>
      </c>
      <c r="C35" s="6" t="s">
        <v>73</v>
      </c>
      <c r="D35" s="6" t="s">
        <v>74</v>
      </c>
      <c r="E35" s="7" t="s">
        <v>76</v>
      </c>
      <c r="F35" s="4"/>
      <c r="G35" s="4">
        <v>430</v>
      </c>
      <c r="H35" s="8">
        <v>5300</v>
      </c>
      <c r="I35" s="9"/>
      <c r="J35" s="8">
        <f t="shared" ref="J35:J37" si="4">H35-I35</f>
        <v>5300</v>
      </c>
    </row>
    <row r="36" spans="1:10" ht="19.95" customHeight="1" x14ac:dyDescent="0.3">
      <c r="A36" s="4">
        <v>250079</v>
      </c>
      <c r="B36" s="4">
        <v>304</v>
      </c>
      <c r="C36" s="6">
        <v>0.7</v>
      </c>
      <c r="D36" s="6" t="s">
        <v>74</v>
      </c>
      <c r="E36" s="7" t="s">
        <v>77</v>
      </c>
      <c r="F36" s="4"/>
      <c r="G36" s="4">
        <v>304</v>
      </c>
      <c r="H36" s="8">
        <v>964</v>
      </c>
      <c r="I36" s="9"/>
      <c r="J36" s="8">
        <f t="shared" si="4"/>
        <v>964</v>
      </c>
    </row>
    <row r="37" spans="1:10" ht="19.95" customHeight="1" x14ac:dyDescent="0.3">
      <c r="A37" s="4">
        <v>250079</v>
      </c>
      <c r="B37" s="4">
        <v>304</v>
      </c>
      <c r="C37" s="6">
        <v>0.7</v>
      </c>
      <c r="D37" s="6" t="s">
        <v>74</v>
      </c>
      <c r="E37" s="7" t="s">
        <v>78</v>
      </c>
      <c r="F37" s="4"/>
      <c r="G37" s="4">
        <v>304</v>
      </c>
      <c r="H37" s="8">
        <v>36</v>
      </c>
      <c r="I37" s="9"/>
      <c r="J37" s="8">
        <f t="shared" si="4"/>
        <v>36</v>
      </c>
    </row>
    <row r="38" spans="1:10" ht="19.95" customHeight="1" x14ac:dyDescent="0.3">
      <c r="A38" s="4"/>
      <c r="B38" s="4"/>
      <c r="C38" s="6"/>
      <c r="D38" s="6"/>
      <c r="E38" s="7"/>
      <c r="F38" s="4"/>
      <c r="G38" s="4"/>
      <c r="H38" s="8"/>
      <c r="I38" s="9"/>
      <c r="J38" s="8">
        <f t="shared" si="3"/>
        <v>0</v>
      </c>
    </row>
    <row r="39" spans="1:10" ht="19.95" customHeight="1" x14ac:dyDescent="0.3">
      <c r="A39" s="10"/>
      <c r="B39" s="10"/>
      <c r="C39" s="10"/>
      <c r="D39" s="10"/>
      <c r="E39" s="11"/>
      <c r="F39" s="10"/>
      <c r="G39" s="12"/>
      <c r="H39" s="8">
        <f>SUM(H33:H38)</f>
        <v>15300</v>
      </c>
      <c r="I39" s="9">
        <f>SUM(I33:I38)</f>
        <v>3080</v>
      </c>
      <c r="J39" s="8">
        <f>SUM(J33:J38)</f>
        <v>12220</v>
      </c>
    </row>
    <row r="40" spans="1:10" ht="19.95" customHeight="1" x14ac:dyDescent="0.3">
      <c r="A40" s="16"/>
      <c r="B40" s="16"/>
      <c r="C40" s="16"/>
      <c r="D40" s="16"/>
      <c r="E40" s="17"/>
      <c r="F40" s="16"/>
      <c r="G40" s="16"/>
      <c r="H40" s="18"/>
      <c r="I40" s="19"/>
      <c r="J40" s="18"/>
    </row>
    <row r="41" spans="1:10" ht="30" customHeight="1" x14ac:dyDescent="0.3">
      <c r="A41" s="31" t="s">
        <v>16</v>
      </c>
      <c r="B41" s="31"/>
      <c r="C41" s="31"/>
      <c r="D41" s="31"/>
      <c r="E41" s="31"/>
      <c r="F41" s="31"/>
      <c r="G41" s="31"/>
      <c r="H41" s="31"/>
      <c r="I41" s="31"/>
      <c r="J41" s="31"/>
    </row>
    <row r="42" spans="1:10" ht="30" customHeight="1" x14ac:dyDescent="0.3">
      <c r="A42" s="4" t="s">
        <v>2</v>
      </c>
      <c r="B42" s="4" t="s">
        <v>3</v>
      </c>
      <c r="C42" s="5" t="s">
        <v>4</v>
      </c>
      <c r="D42" s="5" t="s">
        <v>5</v>
      </c>
      <c r="E42" s="4" t="s">
        <v>6</v>
      </c>
      <c r="F42" s="5" t="s">
        <v>18</v>
      </c>
      <c r="G42" s="5" t="s">
        <v>7</v>
      </c>
      <c r="H42" s="4" t="s">
        <v>8</v>
      </c>
      <c r="I42" s="4" t="s">
        <v>9</v>
      </c>
      <c r="J42" s="4" t="s">
        <v>10</v>
      </c>
    </row>
    <row r="43" spans="1:10" ht="19.95" customHeight="1" x14ac:dyDescent="0.3">
      <c r="A43" s="4"/>
      <c r="B43" s="4"/>
      <c r="C43" s="6"/>
      <c r="D43" s="6"/>
      <c r="E43" s="7"/>
      <c r="F43" s="4"/>
      <c r="G43" s="4"/>
      <c r="H43" s="8"/>
      <c r="I43" s="9"/>
      <c r="J43" s="8">
        <f t="shared" ref="J43:J48" si="5">H43-I43</f>
        <v>0</v>
      </c>
    </row>
    <row r="44" spans="1:10" ht="19.95" customHeight="1" x14ac:dyDescent="0.3">
      <c r="A44" s="4"/>
      <c r="B44" s="4"/>
      <c r="C44" s="6"/>
      <c r="D44" s="6"/>
      <c r="E44" s="7"/>
      <c r="F44" s="4"/>
      <c r="G44" s="4"/>
      <c r="H44" s="8"/>
      <c r="I44" s="9"/>
      <c r="J44" s="8">
        <f t="shared" si="5"/>
        <v>0</v>
      </c>
    </row>
    <row r="45" spans="1:10" ht="19.95" customHeight="1" x14ac:dyDescent="0.3">
      <c r="A45" s="4"/>
      <c r="B45" s="4"/>
      <c r="C45" s="6"/>
      <c r="D45" s="6"/>
      <c r="E45" s="7"/>
      <c r="F45" s="4"/>
      <c r="G45" s="4"/>
      <c r="H45" s="8"/>
      <c r="I45" s="9"/>
      <c r="J45" s="8">
        <f t="shared" si="5"/>
        <v>0</v>
      </c>
    </row>
    <row r="46" spans="1:10" ht="19.95" customHeight="1" x14ac:dyDescent="0.3">
      <c r="A46" s="4"/>
      <c r="B46" s="4"/>
      <c r="C46" s="6"/>
      <c r="D46" s="6"/>
      <c r="E46" s="7"/>
      <c r="G46" s="8"/>
      <c r="H46" s="8"/>
      <c r="I46" s="9"/>
      <c r="J46" s="8">
        <f t="shared" si="5"/>
        <v>0</v>
      </c>
    </row>
    <row r="47" spans="1:10" ht="19.95" customHeight="1" x14ac:dyDescent="0.3">
      <c r="A47" s="4"/>
      <c r="B47" s="4"/>
      <c r="C47" s="6"/>
      <c r="D47" s="6"/>
      <c r="E47" s="7"/>
      <c r="F47" s="4"/>
      <c r="G47" s="4"/>
      <c r="H47" s="8"/>
      <c r="I47" s="9"/>
      <c r="J47" s="8">
        <f t="shared" si="5"/>
        <v>0</v>
      </c>
    </row>
    <row r="48" spans="1:10" ht="19.95" customHeight="1" x14ac:dyDescent="0.3">
      <c r="A48" s="4"/>
      <c r="B48" s="4"/>
      <c r="C48" s="6"/>
      <c r="D48" s="6"/>
      <c r="E48" s="7"/>
      <c r="F48" s="4"/>
      <c r="G48" s="4"/>
      <c r="H48" s="8"/>
      <c r="I48" s="9"/>
      <c r="J48" s="8">
        <f t="shared" si="5"/>
        <v>0</v>
      </c>
    </row>
    <row r="49" spans="1:10" ht="19.95" customHeight="1" x14ac:dyDescent="0.3">
      <c r="A49" s="10"/>
      <c r="B49" s="10"/>
      <c r="C49" s="10"/>
      <c r="D49" s="10"/>
      <c r="E49" s="11"/>
      <c r="F49" s="10"/>
      <c r="G49" s="12"/>
      <c r="H49" s="8">
        <f>SUM(H43:H48)</f>
        <v>0</v>
      </c>
      <c r="I49" s="9">
        <f>SUM(I43:I48)</f>
        <v>0</v>
      </c>
      <c r="J49" s="8">
        <f>SUM(J43:J48)</f>
        <v>0</v>
      </c>
    </row>
    <row r="50" spans="1:10" ht="19.95" customHeight="1" x14ac:dyDescent="0.3">
      <c r="A50" s="16"/>
      <c r="B50" s="16"/>
      <c r="C50" s="16"/>
      <c r="D50" s="16"/>
      <c r="E50" s="17"/>
      <c r="F50" s="16"/>
      <c r="G50" s="16"/>
      <c r="H50" s="18"/>
      <c r="I50" s="19"/>
      <c r="J50" s="18"/>
    </row>
    <row r="52" spans="1:10" ht="23.4" x14ac:dyDescent="0.3">
      <c r="A52" s="31" t="s">
        <v>11</v>
      </c>
      <c r="B52" s="31"/>
      <c r="C52" s="31"/>
      <c r="D52" s="31"/>
      <c r="E52" s="31"/>
      <c r="F52" s="31"/>
      <c r="G52" s="31"/>
      <c r="H52" s="31"/>
      <c r="I52" s="31"/>
      <c r="J52" s="31"/>
    </row>
  </sheetData>
  <mergeCells count="8">
    <mergeCell ref="A41:J41"/>
    <mergeCell ref="A52:J52"/>
    <mergeCell ref="I1:J1"/>
    <mergeCell ref="A2:J2"/>
    <mergeCell ref="A3:J3"/>
    <mergeCell ref="A12:J12"/>
    <mergeCell ref="A21:J21"/>
    <mergeCell ref="A31:J31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46" orientation="portrait" horizontalDpi="1200" verticalDpi="120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topLeftCell="A19" zoomScale="70" zoomScaleNormal="70" workbookViewId="0">
      <selection activeCell="I24" sqref="I24"/>
    </sheetView>
  </sheetViews>
  <sheetFormatPr defaultRowHeight="14.4" x14ac:dyDescent="0.3"/>
  <cols>
    <col min="1" max="1" width="15.6640625" style="24" customWidth="1"/>
    <col min="2" max="3" width="12.6640625" style="24" customWidth="1"/>
    <col min="4" max="4" width="15.6640625" style="24" customWidth="1"/>
    <col min="5" max="5" width="80.6640625" style="24" customWidth="1"/>
    <col min="6" max="6" width="22.77734375" style="15" customWidth="1"/>
    <col min="7" max="7" width="12.33203125" style="24" customWidth="1"/>
    <col min="8" max="10" width="15.6640625" style="24" customWidth="1"/>
    <col min="11" max="16384" width="8.88671875" style="24"/>
  </cols>
  <sheetData>
    <row r="1" spans="1:11" s="1" customFormat="1" ht="30" customHeight="1" x14ac:dyDescent="0.3">
      <c r="F1" s="2"/>
      <c r="G1" s="2"/>
      <c r="H1" s="3" t="s">
        <v>0</v>
      </c>
      <c r="I1" s="27">
        <v>45961</v>
      </c>
      <c r="J1" s="27"/>
    </row>
    <row r="2" spans="1:11" ht="40.049999999999997" customHeight="1" x14ac:dyDescent="0.3">
      <c r="A2" s="28" t="s">
        <v>24</v>
      </c>
      <c r="B2" s="29"/>
      <c r="C2" s="29"/>
      <c r="D2" s="29"/>
      <c r="E2" s="29"/>
      <c r="F2" s="29"/>
      <c r="G2" s="29"/>
      <c r="H2" s="29"/>
      <c r="I2" s="29"/>
      <c r="J2" s="30"/>
    </row>
    <row r="3" spans="1:11" ht="30" customHeight="1" x14ac:dyDescent="0.3">
      <c r="A3" s="31" t="s">
        <v>12</v>
      </c>
      <c r="B3" s="31"/>
      <c r="C3" s="31"/>
      <c r="D3" s="31"/>
      <c r="E3" s="31"/>
      <c r="F3" s="31"/>
      <c r="G3" s="31"/>
      <c r="H3" s="31"/>
      <c r="I3" s="31"/>
      <c r="J3" s="31"/>
    </row>
    <row r="4" spans="1:11" ht="30" customHeight="1" x14ac:dyDescent="0.3">
      <c r="A4" s="4" t="s">
        <v>2</v>
      </c>
      <c r="B4" s="4" t="s">
        <v>3</v>
      </c>
      <c r="C4" s="5" t="s">
        <v>4</v>
      </c>
      <c r="D4" s="5" t="s">
        <v>5</v>
      </c>
      <c r="E4" s="4" t="s">
        <v>6</v>
      </c>
      <c r="F4" s="5" t="s">
        <v>17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1" ht="19.95" customHeight="1" x14ac:dyDescent="0.3">
      <c r="A5" s="4">
        <v>230925</v>
      </c>
      <c r="B5" s="4">
        <v>430</v>
      </c>
      <c r="C5" s="6" t="s">
        <v>73</v>
      </c>
      <c r="D5" s="6" t="s">
        <v>74</v>
      </c>
      <c r="E5" s="7" t="s">
        <v>75</v>
      </c>
      <c r="F5" s="4"/>
      <c r="G5" s="4">
        <v>430</v>
      </c>
      <c r="H5" s="8">
        <v>6000</v>
      </c>
      <c r="I5" s="25">
        <f>600+1665+1800+1570</f>
        <v>5635</v>
      </c>
      <c r="J5" s="26">
        <f t="shared" ref="J5:J9" si="0">H5-I5</f>
        <v>365</v>
      </c>
      <c r="K5" s="20"/>
    </row>
    <row r="6" spans="1:11" ht="19.95" customHeight="1" x14ac:dyDescent="0.3">
      <c r="A6" s="4">
        <v>230925</v>
      </c>
      <c r="B6" s="4">
        <v>430</v>
      </c>
      <c r="C6" s="6" t="s">
        <v>73</v>
      </c>
      <c r="D6" s="6" t="s">
        <v>74</v>
      </c>
      <c r="E6" s="7" t="s">
        <v>76</v>
      </c>
      <c r="F6" s="4"/>
      <c r="G6" s="4">
        <v>430</v>
      </c>
      <c r="H6" s="8">
        <v>5300</v>
      </c>
      <c r="I6" s="9">
        <f>50+1050</f>
        <v>1100</v>
      </c>
      <c r="J6" s="22">
        <f t="shared" si="0"/>
        <v>4200</v>
      </c>
      <c r="K6" s="20"/>
    </row>
    <row r="7" spans="1:11" ht="19.95" customHeight="1" x14ac:dyDescent="0.3">
      <c r="A7" s="4">
        <v>250079</v>
      </c>
      <c r="B7" s="4">
        <v>304</v>
      </c>
      <c r="C7" s="6">
        <v>0.7</v>
      </c>
      <c r="D7" s="6" t="s">
        <v>74</v>
      </c>
      <c r="E7" s="7" t="s">
        <v>77</v>
      </c>
      <c r="F7" s="4"/>
      <c r="G7" s="4">
        <v>304</v>
      </c>
      <c r="H7" s="8">
        <v>964</v>
      </c>
      <c r="I7" s="9"/>
      <c r="J7" s="22">
        <f t="shared" si="0"/>
        <v>964</v>
      </c>
      <c r="K7" s="20"/>
    </row>
    <row r="8" spans="1:11" ht="19.95" customHeight="1" x14ac:dyDescent="0.3">
      <c r="A8" s="4">
        <v>250079</v>
      </c>
      <c r="B8" s="4">
        <v>304</v>
      </c>
      <c r="C8" s="6">
        <v>0.7</v>
      </c>
      <c r="D8" s="6" t="s">
        <v>74</v>
      </c>
      <c r="E8" s="7" t="s">
        <v>78</v>
      </c>
      <c r="F8" s="4"/>
      <c r="G8" s="4">
        <v>304</v>
      </c>
      <c r="H8" s="8">
        <v>36</v>
      </c>
      <c r="I8" s="9"/>
      <c r="J8" s="22">
        <f t="shared" si="0"/>
        <v>36</v>
      </c>
      <c r="K8" s="20"/>
    </row>
    <row r="9" spans="1:11" ht="19.95" customHeight="1" x14ac:dyDescent="0.3">
      <c r="A9" s="4"/>
      <c r="B9" s="4"/>
      <c r="C9" s="6"/>
      <c r="D9" s="6"/>
      <c r="E9" s="7"/>
      <c r="F9" s="4"/>
      <c r="G9" s="4"/>
      <c r="H9" s="8"/>
      <c r="I9" s="9"/>
      <c r="J9" s="8">
        <f t="shared" si="0"/>
        <v>0</v>
      </c>
    </row>
    <row r="10" spans="1:11" ht="19.95" customHeight="1" x14ac:dyDescent="0.3">
      <c r="A10" s="10"/>
      <c r="B10" s="10"/>
      <c r="C10" s="10"/>
      <c r="D10" s="10"/>
      <c r="E10" s="11"/>
      <c r="F10" s="10"/>
      <c r="G10" s="12"/>
      <c r="H10" s="13">
        <f>SUM(H5:H9)</f>
        <v>12300</v>
      </c>
      <c r="I10" s="14">
        <f>SUM(I5:I9)</f>
        <v>6735</v>
      </c>
      <c r="J10" s="8">
        <f>SUM(J5:J9)</f>
        <v>5565</v>
      </c>
    </row>
    <row r="12" spans="1:11" ht="30" customHeight="1" x14ac:dyDescent="0.3">
      <c r="A12" s="31" t="s">
        <v>15</v>
      </c>
      <c r="B12" s="31"/>
      <c r="C12" s="31"/>
      <c r="D12" s="31"/>
      <c r="E12" s="31"/>
      <c r="F12" s="31"/>
      <c r="G12" s="31"/>
      <c r="H12" s="31"/>
      <c r="I12" s="31"/>
      <c r="J12" s="31"/>
    </row>
    <row r="13" spans="1:11" ht="30" customHeight="1" x14ac:dyDescent="0.3">
      <c r="A13" s="4" t="s">
        <v>2</v>
      </c>
      <c r="B13" s="4" t="s">
        <v>3</v>
      </c>
      <c r="C13" s="5" t="s">
        <v>4</v>
      </c>
      <c r="D13" s="5" t="s">
        <v>5</v>
      </c>
      <c r="E13" s="4" t="s">
        <v>6</v>
      </c>
      <c r="F13" s="5" t="s">
        <v>17</v>
      </c>
      <c r="G13" s="5" t="s">
        <v>7</v>
      </c>
      <c r="H13" s="4" t="s">
        <v>8</v>
      </c>
      <c r="I13" s="4" t="s">
        <v>9</v>
      </c>
      <c r="J13" s="4" t="s">
        <v>10</v>
      </c>
    </row>
    <row r="14" spans="1:11" ht="19.95" customHeight="1" x14ac:dyDescent="0.3">
      <c r="A14" s="4">
        <v>230925</v>
      </c>
      <c r="B14" s="4">
        <v>430</v>
      </c>
      <c r="C14" s="6" t="s">
        <v>73</v>
      </c>
      <c r="D14" s="6" t="s">
        <v>74</v>
      </c>
      <c r="E14" s="7" t="s">
        <v>75</v>
      </c>
      <c r="F14" s="4"/>
      <c r="G14" s="4">
        <v>430</v>
      </c>
      <c r="H14" s="8">
        <v>6000</v>
      </c>
      <c r="I14" s="9">
        <f>1725+1800+1775+385</f>
        <v>5685</v>
      </c>
      <c r="J14" s="8">
        <f t="shared" ref="J14:J18" si="1">H14-I14</f>
        <v>315</v>
      </c>
    </row>
    <row r="15" spans="1:11" ht="19.95" customHeight="1" x14ac:dyDescent="0.3">
      <c r="A15" s="4">
        <v>230925</v>
      </c>
      <c r="B15" s="4">
        <v>430</v>
      </c>
      <c r="C15" s="6" t="s">
        <v>73</v>
      </c>
      <c r="D15" s="6" t="s">
        <v>74</v>
      </c>
      <c r="E15" s="7" t="s">
        <v>76</v>
      </c>
      <c r="F15" s="4"/>
      <c r="G15" s="4">
        <v>430</v>
      </c>
      <c r="H15" s="8">
        <v>5300</v>
      </c>
      <c r="I15" s="9">
        <v>715</v>
      </c>
      <c r="J15" s="8">
        <f t="shared" si="1"/>
        <v>4585</v>
      </c>
    </row>
    <row r="16" spans="1:11" ht="19.95" customHeight="1" x14ac:dyDescent="0.3">
      <c r="A16" s="4">
        <v>250079</v>
      </c>
      <c r="B16" s="4">
        <v>304</v>
      </c>
      <c r="C16" s="6">
        <v>0.7</v>
      </c>
      <c r="D16" s="6" t="s">
        <v>74</v>
      </c>
      <c r="E16" s="7" t="s">
        <v>77</v>
      </c>
      <c r="F16" s="4"/>
      <c r="G16" s="4">
        <v>304</v>
      </c>
      <c r="H16" s="8">
        <v>964</v>
      </c>
      <c r="I16" s="9"/>
      <c r="J16" s="8">
        <f t="shared" si="1"/>
        <v>964</v>
      </c>
    </row>
    <row r="17" spans="1:10" ht="19.95" customHeight="1" x14ac:dyDescent="0.3">
      <c r="A17" s="4">
        <v>250079</v>
      </c>
      <c r="B17" s="4">
        <v>304</v>
      </c>
      <c r="C17" s="6">
        <v>0.7</v>
      </c>
      <c r="D17" s="6" t="s">
        <v>74</v>
      </c>
      <c r="E17" s="7" t="s">
        <v>78</v>
      </c>
      <c r="F17" s="4"/>
      <c r="G17" s="4">
        <v>304</v>
      </c>
      <c r="H17" s="8">
        <v>36</v>
      </c>
      <c r="I17" s="9"/>
      <c r="J17" s="8">
        <f t="shared" si="1"/>
        <v>36</v>
      </c>
    </row>
    <row r="18" spans="1:10" ht="19.95" customHeight="1" x14ac:dyDescent="0.3">
      <c r="A18" s="4"/>
      <c r="B18" s="4"/>
      <c r="C18" s="6"/>
      <c r="D18" s="6"/>
      <c r="E18" s="7"/>
      <c r="F18" s="4"/>
      <c r="G18" s="8"/>
      <c r="H18" s="8"/>
      <c r="I18" s="9"/>
      <c r="J18" s="8">
        <f t="shared" si="1"/>
        <v>0</v>
      </c>
    </row>
    <row r="19" spans="1:10" ht="19.95" customHeight="1" x14ac:dyDescent="0.3">
      <c r="A19" s="10"/>
      <c r="B19" s="10"/>
      <c r="C19" s="10"/>
      <c r="D19" s="10"/>
      <c r="E19" s="11"/>
      <c r="F19" s="10"/>
      <c r="G19" s="12"/>
      <c r="H19" s="8">
        <f>SUM(H14:H18)</f>
        <v>12300</v>
      </c>
      <c r="I19" s="9">
        <f>SUM(I14:I18)</f>
        <v>6400</v>
      </c>
      <c r="J19" s="8">
        <f>SUM(J14:J18)</f>
        <v>5900</v>
      </c>
    </row>
    <row r="20" spans="1:10" ht="19.95" customHeight="1" x14ac:dyDescent="0.3">
      <c r="A20" s="16"/>
      <c r="B20" s="16"/>
      <c r="C20" s="16"/>
      <c r="D20" s="16"/>
      <c r="E20" s="17"/>
      <c r="F20" s="16"/>
      <c r="G20" s="16"/>
      <c r="H20" s="18"/>
      <c r="I20" s="19"/>
      <c r="J20" s="18"/>
    </row>
    <row r="21" spans="1:10" ht="30" customHeight="1" x14ac:dyDescent="0.3">
      <c r="A21" s="31" t="s">
        <v>13</v>
      </c>
      <c r="B21" s="31"/>
      <c r="C21" s="31"/>
      <c r="D21" s="31"/>
      <c r="E21" s="31"/>
      <c r="F21" s="31"/>
      <c r="G21" s="31"/>
      <c r="H21" s="31"/>
      <c r="I21" s="31"/>
      <c r="J21" s="31"/>
    </row>
    <row r="22" spans="1:10" ht="30" customHeight="1" x14ac:dyDescent="0.3">
      <c r="A22" s="4" t="s">
        <v>2</v>
      </c>
      <c r="B22" s="4" t="s">
        <v>3</v>
      </c>
      <c r="C22" s="5" t="s">
        <v>4</v>
      </c>
      <c r="D22" s="5" t="s">
        <v>5</v>
      </c>
      <c r="E22" s="4" t="s">
        <v>6</v>
      </c>
      <c r="F22" s="5" t="s">
        <v>17</v>
      </c>
      <c r="G22" s="5" t="s">
        <v>7</v>
      </c>
      <c r="H22" s="4" t="s">
        <v>8</v>
      </c>
      <c r="I22" s="4" t="s">
        <v>9</v>
      </c>
      <c r="J22" s="4" t="s">
        <v>10</v>
      </c>
    </row>
    <row r="23" spans="1:10" ht="19.95" customHeight="1" x14ac:dyDescent="0.3">
      <c r="A23" s="4">
        <v>230925</v>
      </c>
      <c r="B23" s="4">
        <v>430</v>
      </c>
      <c r="C23" s="6" t="s">
        <v>73</v>
      </c>
      <c r="D23" s="6" t="s">
        <v>74</v>
      </c>
      <c r="E23" s="7" t="s">
        <v>75</v>
      </c>
      <c r="F23" s="4"/>
      <c r="G23" s="4">
        <v>430</v>
      </c>
      <c r="H23" s="8">
        <v>6000</v>
      </c>
      <c r="I23" s="9">
        <f>1500+1000</f>
        <v>2500</v>
      </c>
      <c r="J23" s="8">
        <f t="shared" ref="J23:J27" si="2">H23-I23</f>
        <v>3500</v>
      </c>
    </row>
    <row r="24" spans="1:10" ht="19.95" customHeight="1" x14ac:dyDescent="0.3">
      <c r="A24" s="4">
        <v>230925</v>
      </c>
      <c r="B24" s="4">
        <v>430</v>
      </c>
      <c r="C24" s="6" t="s">
        <v>73</v>
      </c>
      <c r="D24" s="6" t="s">
        <v>74</v>
      </c>
      <c r="E24" s="7" t="s">
        <v>76</v>
      </c>
      <c r="F24" s="4"/>
      <c r="G24" s="4">
        <v>430</v>
      </c>
      <c r="H24" s="8">
        <v>5300</v>
      </c>
      <c r="I24" s="9"/>
      <c r="J24" s="8">
        <f t="shared" si="2"/>
        <v>5300</v>
      </c>
    </row>
    <row r="25" spans="1:10" ht="19.95" customHeight="1" x14ac:dyDescent="0.3">
      <c r="A25" s="4">
        <v>250079</v>
      </c>
      <c r="B25" s="4">
        <v>304</v>
      </c>
      <c r="C25" s="6">
        <v>0.7</v>
      </c>
      <c r="D25" s="6" t="s">
        <v>74</v>
      </c>
      <c r="E25" s="7" t="s">
        <v>77</v>
      </c>
      <c r="F25" s="4"/>
      <c r="G25" s="4">
        <v>304</v>
      </c>
      <c r="H25" s="8">
        <v>964</v>
      </c>
      <c r="I25" s="9"/>
      <c r="J25" s="8">
        <f t="shared" si="2"/>
        <v>964</v>
      </c>
    </row>
    <row r="26" spans="1:10" ht="19.95" customHeight="1" x14ac:dyDescent="0.3">
      <c r="A26" s="4">
        <v>250079</v>
      </c>
      <c r="B26" s="4">
        <v>304</v>
      </c>
      <c r="C26" s="6">
        <v>0.7</v>
      </c>
      <c r="D26" s="6" t="s">
        <v>74</v>
      </c>
      <c r="E26" s="7" t="s">
        <v>78</v>
      </c>
      <c r="F26" s="4"/>
      <c r="G26" s="4">
        <v>304</v>
      </c>
      <c r="H26" s="8">
        <v>36</v>
      </c>
      <c r="I26" s="9"/>
      <c r="J26" s="8">
        <f t="shared" si="2"/>
        <v>36</v>
      </c>
    </row>
    <row r="27" spans="1:10" ht="19.95" customHeight="1" x14ac:dyDescent="0.3">
      <c r="A27" s="4"/>
      <c r="B27" s="4"/>
      <c r="C27" s="6"/>
      <c r="D27" s="6"/>
      <c r="E27" s="7"/>
      <c r="F27" s="4"/>
      <c r="G27" s="8"/>
      <c r="H27" s="8"/>
      <c r="I27" s="9"/>
      <c r="J27" s="8">
        <f t="shared" si="2"/>
        <v>0</v>
      </c>
    </row>
    <row r="28" spans="1:10" ht="19.95" customHeight="1" x14ac:dyDescent="0.3">
      <c r="A28" s="10"/>
      <c r="B28" s="10"/>
      <c r="C28" s="10"/>
      <c r="D28" s="10"/>
      <c r="E28" s="11"/>
      <c r="F28" s="10"/>
      <c r="G28" s="12"/>
      <c r="H28" s="8">
        <f>SUM(H23:H27)</f>
        <v>12300</v>
      </c>
      <c r="I28" s="9">
        <f>SUM(I23:I27)</f>
        <v>2500</v>
      </c>
      <c r="J28" s="8">
        <f>SUM(J23:J27)</f>
        <v>9800</v>
      </c>
    </row>
    <row r="29" spans="1:10" ht="19.95" customHeight="1" x14ac:dyDescent="0.3">
      <c r="A29" s="16"/>
      <c r="B29" s="16"/>
      <c r="C29" s="16"/>
      <c r="D29" s="16"/>
      <c r="E29" s="17"/>
      <c r="F29" s="16"/>
      <c r="G29" s="16"/>
      <c r="H29" s="18"/>
      <c r="I29" s="19"/>
      <c r="J29" s="18"/>
    </row>
    <row r="30" spans="1:10" ht="30" customHeight="1" x14ac:dyDescent="0.3">
      <c r="A30" s="31" t="s">
        <v>14</v>
      </c>
      <c r="B30" s="31"/>
      <c r="C30" s="31"/>
      <c r="D30" s="31"/>
      <c r="E30" s="31"/>
      <c r="F30" s="31"/>
      <c r="G30" s="31"/>
      <c r="H30" s="31"/>
      <c r="I30" s="31"/>
      <c r="J30" s="31"/>
    </row>
    <row r="31" spans="1:10" ht="30" customHeight="1" x14ac:dyDescent="0.3">
      <c r="A31" s="4" t="s">
        <v>2</v>
      </c>
      <c r="B31" s="4" t="s">
        <v>3</v>
      </c>
      <c r="C31" s="5" t="s">
        <v>4</v>
      </c>
      <c r="D31" s="5" t="s">
        <v>5</v>
      </c>
      <c r="E31" s="4" t="s">
        <v>6</v>
      </c>
      <c r="F31" s="5" t="s">
        <v>17</v>
      </c>
      <c r="G31" s="5" t="s">
        <v>7</v>
      </c>
      <c r="H31" s="4" t="s">
        <v>8</v>
      </c>
      <c r="I31" s="4" t="s">
        <v>9</v>
      </c>
      <c r="J31" s="4" t="s">
        <v>10</v>
      </c>
    </row>
    <row r="32" spans="1:10" ht="19.95" customHeight="1" x14ac:dyDescent="0.3">
      <c r="A32" s="4">
        <v>230925</v>
      </c>
      <c r="B32" s="4">
        <v>430</v>
      </c>
      <c r="C32" s="6" t="s">
        <v>73</v>
      </c>
      <c r="D32" s="6" t="s">
        <v>74</v>
      </c>
      <c r="E32" s="7" t="s">
        <v>75</v>
      </c>
      <c r="F32" s="4"/>
      <c r="G32" s="4">
        <v>430</v>
      </c>
      <c r="H32" s="8">
        <v>6000</v>
      </c>
      <c r="I32" s="9">
        <v>1250</v>
      </c>
      <c r="J32" s="8">
        <f t="shared" ref="J32:J36" si="3">H32-I32</f>
        <v>4750</v>
      </c>
    </row>
    <row r="33" spans="1:10" ht="19.95" customHeight="1" x14ac:dyDescent="0.3">
      <c r="A33" s="4">
        <v>230925</v>
      </c>
      <c r="B33" s="4">
        <v>430</v>
      </c>
      <c r="C33" s="6" t="s">
        <v>73</v>
      </c>
      <c r="D33" s="6" t="s">
        <v>74</v>
      </c>
      <c r="E33" s="7" t="s">
        <v>76</v>
      </c>
      <c r="F33" s="4"/>
      <c r="G33" s="4">
        <v>430</v>
      </c>
      <c r="H33" s="8">
        <v>5300</v>
      </c>
      <c r="I33" s="9"/>
      <c r="J33" s="8">
        <f>H33-I33</f>
        <v>5300</v>
      </c>
    </row>
    <row r="34" spans="1:10" ht="19.95" customHeight="1" x14ac:dyDescent="0.3">
      <c r="A34" s="4">
        <v>250079</v>
      </c>
      <c r="B34" s="4">
        <v>304</v>
      </c>
      <c r="C34" s="6">
        <v>0.7</v>
      </c>
      <c r="D34" s="6" t="s">
        <v>74</v>
      </c>
      <c r="E34" s="7" t="s">
        <v>77</v>
      </c>
      <c r="F34" s="4"/>
      <c r="G34" s="4">
        <v>304</v>
      </c>
      <c r="H34" s="8">
        <v>964</v>
      </c>
      <c r="I34" s="9"/>
      <c r="J34" s="8">
        <f t="shared" ref="J34:J35" si="4">H34-I34</f>
        <v>964</v>
      </c>
    </row>
    <row r="35" spans="1:10" ht="19.95" customHeight="1" x14ac:dyDescent="0.3">
      <c r="A35" s="4">
        <v>250079</v>
      </c>
      <c r="B35" s="4">
        <v>304</v>
      </c>
      <c r="C35" s="6">
        <v>0.7</v>
      </c>
      <c r="D35" s="6" t="s">
        <v>74</v>
      </c>
      <c r="E35" s="7" t="s">
        <v>78</v>
      </c>
      <c r="F35" s="4"/>
      <c r="G35" s="4">
        <v>304</v>
      </c>
      <c r="H35" s="8">
        <v>36</v>
      </c>
      <c r="I35" s="9"/>
      <c r="J35" s="8">
        <f t="shared" si="4"/>
        <v>36</v>
      </c>
    </row>
    <row r="36" spans="1:10" ht="19.95" customHeight="1" x14ac:dyDescent="0.3">
      <c r="A36" s="4"/>
      <c r="B36" s="4"/>
      <c r="C36" s="6"/>
      <c r="D36" s="6"/>
      <c r="E36" s="7"/>
      <c r="F36" s="4"/>
      <c r="G36" s="4"/>
      <c r="H36" s="8"/>
      <c r="I36" s="9"/>
      <c r="J36" s="8">
        <f t="shared" si="3"/>
        <v>0</v>
      </c>
    </row>
    <row r="37" spans="1:10" ht="19.95" customHeight="1" x14ac:dyDescent="0.3">
      <c r="A37" s="10"/>
      <c r="B37" s="10"/>
      <c r="C37" s="10"/>
      <c r="D37" s="10"/>
      <c r="E37" s="11"/>
      <c r="F37" s="10"/>
      <c r="G37" s="12"/>
      <c r="H37" s="8">
        <f>SUM(H32:H36)</f>
        <v>12300</v>
      </c>
      <c r="I37" s="9">
        <f>SUM(I32:I36)</f>
        <v>1250</v>
      </c>
      <c r="J37" s="8">
        <f>SUM(J32:J36)</f>
        <v>11050</v>
      </c>
    </row>
    <row r="38" spans="1:10" ht="19.95" customHeight="1" x14ac:dyDescent="0.3">
      <c r="A38" s="16"/>
      <c r="B38" s="16"/>
      <c r="C38" s="16"/>
      <c r="D38" s="16"/>
      <c r="E38" s="17"/>
      <c r="F38" s="16"/>
      <c r="G38" s="16"/>
      <c r="H38" s="18"/>
      <c r="I38" s="19"/>
      <c r="J38" s="18"/>
    </row>
    <row r="39" spans="1:10" ht="30" customHeight="1" x14ac:dyDescent="0.3">
      <c r="A39" s="31" t="s">
        <v>16</v>
      </c>
      <c r="B39" s="31"/>
      <c r="C39" s="31"/>
      <c r="D39" s="31"/>
      <c r="E39" s="31"/>
      <c r="F39" s="31"/>
      <c r="G39" s="31"/>
      <c r="H39" s="31"/>
      <c r="I39" s="31"/>
      <c r="J39" s="31"/>
    </row>
    <row r="40" spans="1:10" ht="30" customHeight="1" x14ac:dyDescent="0.3">
      <c r="A40" s="4" t="s">
        <v>2</v>
      </c>
      <c r="B40" s="4" t="s">
        <v>3</v>
      </c>
      <c r="C40" s="5" t="s">
        <v>4</v>
      </c>
      <c r="D40" s="5" t="s">
        <v>5</v>
      </c>
      <c r="E40" s="4" t="s">
        <v>6</v>
      </c>
      <c r="F40" s="5" t="s">
        <v>18</v>
      </c>
      <c r="G40" s="5" t="s">
        <v>7</v>
      </c>
      <c r="H40" s="4" t="s">
        <v>8</v>
      </c>
      <c r="I40" s="4" t="s">
        <v>9</v>
      </c>
      <c r="J40" s="4" t="s">
        <v>10</v>
      </c>
    </row>
    <row r="41" spans="1:10" ht="19.95" customHeight="1" x14ac:dyDescent="0.3">
      <c r="A41" s="4"/>
      <c r="B41" s="4"/>
      <c r="C41" s="6"/>
      <c r="D41" s="6"/>
      <c r="E41" s="7"/>
      <c r="F41" s="4"/>
      <c r="G41" s="4"/>
      <c r="H41" s="8"/>
      <c r="I41" s="9"/>
      <c r="J41" s="8">
        <f t="shared" ref="J41:J46" si="5">H41-I41</f>
        <v>0</v>
      </c>
    </row>
    <row r="42" spans="1:10" ht="19.95" customHeight="1" x14ac:dyDescent="0.3">
      <c r="A42" s="4"/>
      <c r="B42" s="4"/>
      <c r="C42" s="6"/>
      <c r="D42" s="6"/>
      <c r="E42" s="7"/>
      <c r="F42" s="4"/>
      <c r="G42" s="4"/>
      <c r="H42" s="8"/>
      <c r="I42" s="9"/>
      <c r="J42" s="8">
        <f t="shared" si="5"/>
        <v>0</v>
      </c>
    </row>
    <row r="43" spans="1:10" ht="19.95" customHeight="1" x14ac:dyDescent="0.3">
      <c r="A43" s="4"/>
      <c r="B43" s="4"/>
      <c r="C43" s="6"/>
      <c r="D43" s="6"/>
      <c r="E43" s="7"/>
      <c r="F43" s="4"/>
      <c r="G43" s="4"/>
      <c r="H43" s="8"/>
      <c r="I43" s="9"/>
      <c r="J43" s="8">
        <f t="shared" si="5"/>
        <v>0</v>
      </c>
    </row>
    <row r="44" spans="1:10" ht="19.95" customHeight="1" x14ac:dyDescent="0.3">
      <c r="A44" s="4"/>
      <c r="B44" s="4"/>
      <c r="C44" s="6"/>
      <c r="D44" s="6"/>
      <c r="E44" s="7"/>
      <c r="G44" s="8"/>
      <c r="H44" s="8"/>
      <c r="I44" s="9"/>
      <c r="J44" s="8">
        <f t="shared" si="5"/>
        <v>0</v>
      </c>
    </row>
    <row r="45" spans="1:10" ht="19.95" customHeight="1" x14ac:dyDescent="0.3">
      <c r="A45" s="4"/>
      <c r="B45" s="4"/>
      <c r="C45" s="6"/>
      <c r="D45" s="6"/>
      <c r="E45" s="7"/>
      <c r="F45" s="4"/>
      <c r="G45" s="4"/>
      <c r="H45" s="8"/>
      <c r="I45" s="9"/>
      <c r="J45" s="8">
        <f t="shared" si="5"/>
        <v>0</v>
      </c>
    </row>
    <row r="46" spans="1:10" ht="19.95" customHeight="1" x14ac:dyDescent="0.3">
      <c r="A46" s="4"/>
      <c r="B46" s="4"/>
      <c r="C46" s="6"/>
      <c r="D46" s="6"/>
      <c r="E46" s="7"/>
      <c r="F46" s="4"/>
      <c r="G46" s="4"/>
      <c r="H46" s="8"/>
      <c r="I46" s="9"/>
      <c r="J46" s="8">
        <f t="shared" si="5"/>
        <v>0</v>
      </c>
    </row>
    <row r="47" spans="1:10" ht="19.95" customHeight="1" x14ac:dyDescent="0.3">
      <c r="A47" s="10"/>
      <c r="B47" s="10"/>
      <c r="C47" s="10"/>
      <c r="D47" s="10"/>
      <c r="E47" s="11"/>
      <c r="F47" s="10"/>
      <c r="G47" s="12"/>
      <c r="H47" s="8">
        <f>SUM(H41:H46)</f>
        <v>0</v>
      </c>
      <c r="I47" s="9">
        <f>SUM(I41:I46)</f>
        <v>0</v>
      </c>
      <c r="J47" s="8">
        <f>SUM(J41:J46)</f>
        <v>0</v>
      </c>
    </row>
    <row r="48" spans="1:10" ht="19.95" customHeight="1" x14ac:dyDescent="0.3">
      <c r="A48" s="16"/>
      <c r="B48" s="16"/>
      <c r="C48" s="16"/>
      <c r="D48" s="16"/>
      <c r="E48" s="17"/>
      <c r="F48" s="16"/>
      <c r="G48" s="16"/>
      <c r="H48" s="18"/>
      <c r="I48" s="19"/>
      <c r="J48" s="18"/>
    </row>
    <row r="50" spans="1:10" ht="23.4" x14ac:dyDescent="0.3">
      <c r="A50" s="31" t="s">
        <v>11</v>
      </c>
      <c r="B50" s="31"/>
      <c r="C50" s="31"/>
      <c r="D50" s="31"/>
      <c r="E50" s="31"/>
      <c r="F50" s="31"/>
      <c r="G50" s="31"/>
      <c r="H50" s="31"/>
      <c r="I50" s="31"/>
      <c r="J50" s="31"/>
    </row>
  </sheetData>
  <mergeCells count="8">
    <mergeCell ref="A39:J39"/>
    <mergeCell ref="A50:J50"/>
    <mergeCell ref="I1:J1"/>
    <mergeCell ref="A2:J2"/>
    <mergeCell ref="A3:J3"/>
    <mergeCell ref="A12:J12"/>
    <mergeCell ref="A21:J21"/>
    <mergeCell ref="A30:J30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46" orientation="portrait" horizontalDpi="1200" verticalDpi="120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zoomScale="70" zoomScaleNormal="70" workbookViewId="0">
      <selection activeCell="F27" sqref="F27"/>
    </sheetView>
  </sheetViews>
  <sheetFormatPr defaultRowHeight="14.4" x14ac:dyDescent="0.3"/>
  <cols>
    <col min="1" max="1" width="15.6640625" style="24" customWidth="1"/>
    <col min="2" max="3" width="12.6640625" style="24" customWidth="1"/>
    <col min="4" max="4" width="15.6640625" style="24" customWidth="1"/>
    <col min="5" max="5" width="80.6640625" style="24" customWidth="1"/>
    <col min="6" max="6" width="22.77734375" style="15" customWidth="1"/>
    <col min="7" max="7" width="12.33203125" style="24" customWidth="1"/>
    <col min="8" max="10" width="15.6640625" style="24" customWidth="1"/>
    <col min="11" max="16384" width="8.88671875" style="24"/>
  </cols>
  <sheetData>
    <row r="1" spans="1:11" s="1" customFormat="1" ht="30" customHeight="1" x14ac:dyDescent="0.3">
      <c r="F1" s="2"/>
      <c r="G1" s="2"/>
      <c r="H1" s="3" t="s">
        <v>0</v>
      </c>
      <c r="I1" s="27">
        <v>45962</v>
      </c>
      <c r="J1" s="27"/>
    </row>
    <row r="2" spans="1:11" ht="40.049999999999997" customHeight="1" x14ac:dyDescent="0.3">
      <c r="A2" s="28" t="s">
        <v>1</v>
      </c>
      <c r="B2" s="29"/>
      <c r="C2" s="29"/>
      <c r="D2" s="29"/>
      <c r="E2" s="29"/>
      <c r="F2" s="29"/>
      <c r="G2" s="29"/>
      <c r="H2" s="29"/>
      <c r="I2" s="29"/>
      <c r="J2" s="30"/>
    </row>
    <row r="3" spans="1:11" ht="30" customHeight="1" x14ac:dyDescent="0.3">
      <c r="A3" s="31" t="s">
        <v>12</v>
      </c>
      <c r="B3" s="31"/>
      <c r="C3" s="31"/>
      <c r="D3" s="31"/>
      <c r="E3" s="31"/>
      <c r="F3" s="31"/>
      <c r="G3" s="31"/>
      <c r="H3" s="31"/>
      <c r="I3" s="31"/>
      <c r="J3" s="31"/>
    </row>
    <row r="4" spans="1:11" ht="30" customHeight="1" x14ac:dyDescent="0.3">
      <c r="A4" s="4" t="s">
        <v>2</v>
      </c>
      <c r="B4" s="4" t="s">
        <v>3</v>
      </c>
      <c r="C4" s="5" t="s">
        <v>4</v>
      </c>
      <c r="D4" s="5" t="s">
        <v>5</v>
      </c>
      <c r="E4" s="4" t="s">
        <v>6</v>
      </c>
      <c r="F4" s="5" t="s">
        <v>17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1" ht="19.95" customHeight="1" x14ac:dyDescent="0.3">
      <c r="A5" s="4">
        <v>230925</v>
      </c>
      <c r="B5" s="4">
        <v>430</v>
      </c>
      <c r="C5" s="6" t="s">
        <v>73</v>
      </c>
      <c r="D5" s="6" t="s">
        <v>74</v>
      </c>
      <c r="E5" s="7" t="s">
        <v>75</v>
      </c>
      <c r="F5" s="4"/>
      <c r="G5" s="4">
        <v>430</v>
      </c>
      <c r="H5" s="8">
        <v>6000</v>
      </c>
      <c r="I5" s="25">
        <f>600+1665+1800+1570</f>
        <v>5635</v>
      </c>
      <c r="J5" s="26">
        <f t="shared" ref="J5:J9" si="0">H5-I5</f>
        <v>365</v>
      </c>
      <c r="K5" s="20"/>
    </row>
    <row r="6" spans="1:11" ht="19.95" customHeight="1" x14ac:dyDescent="0.3">
      <c r="A6" s="4">
        <v>230925</v>
      </c>
      <c r="B6" s="4">
        <v>430</v>
      </c>
      <c r="C6" s="6" t="s">
        <v>73</v>
      </c>
      <c r="D6" s="6" t="s">
        <v>74</v>
      </c>
      <c r="E6" s="7" t="s">
        <v>76</v>
      </c>
      <c r="F6" s="4"/>
      <c r="G6" s="4">
        <v>430</v>
      </c>
      <c r="H6" s="8">
        <v>5300</v>
      </c>
      <c r="I6" s="9">
        <f>50+1050</f>
        <v>1100</v>
      </c>
      <c r="J6" s="22">
        <f t="shared" si="0"/>
        <v>4200</v>
      </c>
      <c r="K6" s="20"/>
    </row>
    <row r="7" spans="1:11" ht="19.95" customHeight="1" x14ac:dyDescent="0.3">
      <c r="A7" s="4">
        <v>250079</v>
      </c>
      <c r="B7" s="4">
        <v>304</v>
      </c>
      <c r="C7" s="6">
        <v>0.7</v>
      </c>
      <c r="D7" s="6" t="s">
        <v>74</v>
      </c>
      <c r="E7" s="7" t="s">
        <v>77</v>
      </c>
      <c r="F7" s="4"/>
      <c r="G7" s="4">
        <v>304</v>
      </c>
      <c r="H7" s="8">
        <v>964</v>
      </c>
      <c r="I7" s="9"/>
      <c r="J7" s="22">
        <f t="shared" si="0"/>
        <v>964</v>
      </c>
      <c r="K7" s="20"/>
    </row>
    <row r="8" spans="1:11" ht="19.95" customHeight="1" x14ac:dyDescent="0.3">
      <c r="A8" s="4">
        <v>250079</v>
      </c>
      <c r="B8" s="4">
        <v>304</v>
      </c>
      <c r="C8" s="6">
        <v>0.7</v>
      </c>
      <c r="D8" s="6" t="s">
        <v>74</v>
      </c>
      <c r="E8" s="7" t="s">
        <v>78</v>
      </c>
      <c r="F8" s="4"/>
      <c r="G8" s="4">
        <v>304</v>
      </c>
      <c r="H8" s="8">
        <v>36</v>
      </c>
      <c r="I8" s="9"/>
      <c r="J8" s="22">
        <f t="shared" si="0"/>
        <v>36</v>
      </c>
      <c r="K8" s="20"/>
    </row>
    <row r="9" spans="1:11" ht="19.95" customHeight="1" x14ac:dyDescent="0.3">
      <c r="A9" s="4"/>
      <c r="B9" s="4"/>
      <c r="C9" s="6"/>
      <c r="D9" s="6"/>
      <c r="E9" s="7"/>
      <c r="F9" s="4"/>
      <c r="G9" s="4"/>
      <c r="H9" s="8"/>
      <c r="I9" s="9"/>
      <c r="J9" s="8">
        <f t="shared" si="0"/>
        <v>0</v>
      </c>
    </row>
    <row r="10" spans="1:11" ht="19.95" customHeight="1" x14ac:dyDescent="0.3">
      <c r="A10" s="10"/>
      <c r="B10" s="10"/>
      <c r="C10" s="10"/>
      <c r="D10" s="10"/>
      <c r="E10" s="11"/>
      <c r="F10" s="10"/>
      <c r="G10" s="12"/>
      <c r="H10" s="13">
        <f>SUM(H5:H9)</f>
        <v>12300</v>
      </c>
      <c r="I10" s="14">
        <f>SUM(I5:I9)</f>
        <v>6735</v>
      </c>
      <c r="J10" s="8">
        <f>SUM(J5:J9)</f>
        <v>5565</v>
      </c>
    </row>
    <row r="12" spans="1:11" ht="30" customHeight="1" x14ac:dyDescent="0.3">
      <c r="A12" s="31" t="s">
        <v>15</v>
      </c>
      <c r="B12" s="31"/>
      <c r="C12" s="31"/>
      <c r="D12" s="31"/>
      <c r="E12" s="31"/>
      <c r="F12" s="31"/>
      <c r="G12" s="31"/>
      <c r="H12" s="31"/>
      <c r="I12" s="31"/>
      <c r="J12" s="31"/>
    </row>
    <row r="13" spans="1:11" ht="30" customHeight="1" x14ac:dyDescent="0.3">
      <c r="A13" s="4" t="s">
        <v>2</v>
      </c>
      <c r="B13" s="4" t="s">
        <v>3</v>
      </c>
      <c r="C13" s="5" t="s">
        <v>4</v>
      </c>
      <c r="D13" s="5" t="s">
        <v>5</v>
      </c>
      <c r="E13" s="4" t="s">
        <v>6</v>
      </c>
      <c r="F13" s="5" t="s">
        <v>17</v>
      </c>
      <c r="G13" s="5" t="s">
        <v>7</v>
      </c>
      <c r="H13" s="4" t="s">
        <v>8</v>
      </c>
      <c r="I13" s="4" t="s">
        <v>9</v>
      </c>
      <c r="J13" s="4" t="s">
        <v>10</v>
      </c>
    </row>
    <row r="14" spans="1:11" ht="19.95" customHeight="1" x14ac:dyDescent="0.3">
      <c r="A14" s="4">
        <v>230925</v>
      </c>
      <c r="B14" s="4">
        <v>430</v>
      </c>
      <c r="C14" s="6" t="s">
        <v>73</v>
      </c>
      <c r="D14" s="6" t="s">
        <v>74</v>
      </c>
      <c r="E14" s="7" t="s">
        <v>75</v>
      </c>
      <c r="F14" s="4"/>
      <c r="G14" s="4">
        <v>430</v>
      </c>
      <c r="H14" s="8">
        <v>6000</v>
      </c>
      <c r="I14" s="9">
        <f>1725+1800+1775+385</f>
        <v>5685</v>
      </c>
      <c r="J14" s="8">
        <f t="shared" ref="J14:J18" si="1">H14-I14</f>
        <v>315</v>
      </c>
    </row>
    <row r="15" spans="1:11" ht="19.95" customHeight="1" x14ac:dyDescent="0.3">
      <c r="A15" s="4">
        <v>230925</v>
      </c>
      <c r="B15" s="4">
        <v>430</v>
      </c>
      <c r="C15" s="6" t="s">
        <v>73</v>
      </c>
      <c r="D15" s="6" t="s">
        <v>74</v>
      </c>
      <c r="E15" s="7" t="s">
        <v>76</v>
      </c>
      <c r="F15" s="4"/>
      <c r="G15" s="4">
        <v>430</v>
      </c>
      <c r="H15" s="8">
        <v>5300</v>
      </c>
      <c r="I15" s="9">
        <v>715</v>
      </c>
      <c r="J15" s="8">
        <f t="shared" si="1"/>
        <v>4585</v>
      </c>
    </row>
    <row r="16" spans="1:11" ht="19.95" customHeight="1" x14ac:dyDescent="0.3">
      <c r="A16" s="4">
        <v>250079</v>
      </c>
      <c r="B16" s="4">
        <v>304</v>
      </c>
      <c r="C16" s="6">
        <v>0.7</v>
      </c>
      <c r="D16" s="6" t="s">
        <v>74</v>
      </c>
      <c r="E16" s="7" t="s">
        <v>77</v>
      </c>
      <c r="F16" s="4"/>
      <c r="G16" s="4">
        <v>304</v>
      </c>
      <c r="H16" s="8">
        <v>964</v>
      </c>
      <c r="I16" s="9"/>
      <c r="J16" s="8">
        <f t="shared" si="1"/>
        <v>964</v>
      </c>
    </row>
    <row r="17" spans="1:10" ht="19.95" customHeight="1" x14ac:dyDescent="0.3">
      <c r="A17" s="4">
        <v>250079</v>
      </c>
      <c r="B17" s="4">
        <v>304</v>
      </c>
      <c r="C17" s="6">
        <v>0.7</v>
      </c>
      <c r="D17" s="6" t="s">
        <v>74</v>
      </c>
      <c r="E17" s="7" t="s">
        <v>78</v>
      </c>
      <c r="F17" s="4"/>
      <c r="G17" s="4">
        <v>304</v>
      </c>
      <c r="H17" s="8">
        <v>36</v>
      </c>
      <c r="I17" s="9"/>
      <c r="J17" s="8">
        <f t="shared" si="1"/>
        <v>36</v>
      </c>
    </row>
    <row r="18" spans="1:10" ht="19.95" customHeight="1" x14ac:dyDescent="0.3">
      <c r="A18" s="4"/>
      <c r="B18" s="4"/>
      <c r="C18" s="6"/>
      <c r="D18" s="6"/>
      <c r="E18" s="7"/>
      <c r="F18" s="4"/>
      <c r="G18" s="8"/>
      <c r="H18" s="8"/>
      <c r="I18" s="9"/>
      <c r="J18" s="8">
        <f t="shared" si="1"/>
        <v>0</v>
      </c>
    </row>
    <row r="19" spans="1:10" ht="19.95" customHeight="1" x14ac:dyDescent="0.3">
      <c r="A19" s="10"/>
      <c r="B19" s="10"/>
      <c r="C19" s="10"/>
      <c r="D19" s="10"/>
      <c r="E19" s="11"/>
      <c r="F19" s="10"/>
      <c r="G19" s="12"/>
      <c r="H19" s="8">
        <f>SUM(H14:H18)</f>
        <v>12300</v>
      </c>
      <c r="I19" s="9">
        <f>SUM(I14:I18)</f>
        <v>6400</v>
      </c>
      <c r="J19" s="8">
        <f>SUM(J14:J18)</f>
        <v>5900</v>
      </c>
    </row>
    <row r="20" spans="1:10" ht="19.95" customHeight="1" x14ac:dyDescent="0.3">
      <c r="A20" s="16"/>
      <c r="B20" s="16"/>
      <c r="C20" s="16"/>
      <c r="D20" s="16"/>
      <c r="E20" s="17"/>
      <c r="F20" s="16"/>
      <c r="G20" s="16"/>
      <c r="H20" s="18"/>
      <c r="I20" s="19"/>
      <c r="J20" s="18"/>
    </row>
    <row r="21" spans="1:10" ht="30" customHeight="1" x14ac:dyDescent="0.3">
      <c r="A21" s="31" t="s">
        <v>13</v>
      </c>
      <c r="B21" s="31"/>
      <c r="C21" s="31"/>
      <c r="D21" s="31"/>
      <c r="E21" s="31"/>
      <c r="F21" s="31"/>
      <c r="G21" s="31"/>
      <c r="H21" s="31"/>
      <c r="I21" s="31"/>
      <c r="J21" s="31"/>
    </row>
    <row r="22" spans="1:10" ht="30" customHeight="1" x14ac:dyDescent="0.3">
      <c r="A22" s="4" t="s">
        <v>2</v>
      </c>
      <c r="B22" s="4" t="s">
        <v>3</v>
      </c>
      <c r="C22" s="5" t="s">
        <v>4</v>
      </c>
      <c r="D22" s="5" t="s">
        <v>5</v>
      </c>
      <c r="E22" s="4" t="s">
        <v>6</v>
      </c>
      <c r="F22" s="5" t="s">
        <v>17</v>
      </c>
      <c r="G22" s="5" t="s">
        <v>7</v>
      </c>
      <c r="H22" s="4" t="s">
        <v>8</v>
      </c>
      <c r="I22" s="4" t="s">
        <v>9</v>
      </c>
      <c r="J22" s="4" t="s">
        <v>10</v>
      </c>
    </row>
    <row r="23" spans="1:10" ht="19.95" customHeight="1" x14ac:dyDescent="0.3">
      <c r="A23" s="4">
        <v>230925</v>
      </c>
      <c r="B23" s="4">
        <v>430</v>
      </c>
      <c r="C23" s="6" t="s">
        <v>73</v>
      </c>
      <c r="D23" s="6" t="s">
        <v>74</v>
      </c>
      <c r="E23" s="7" t="s">
        <v>75</v>
      </c>
      <c r="F23" s="4"/>
      <c r="G23" s="4">
        <v>430</v>
      </c>
      <c r="H23" s="8">
        <v>6000</v>
      </c>
      <c r="I23" s="9">
        <f>1500+1000</f>
        <v>2500</v>
      </c>
      <c r="J23" s="8">
        <f t="shared" ref="J23:J27" si="2">H23-I23</f>
        <v>3500</v>
      </c>
    </row>
    <row r="24" spans="1:10" ht="19.95" customHeight="1" x14ac:dyDescent="0.3">
      <c r="A24" s="4">
        <v>230925</v>
      </c>
      <c r="B24" s="4">
        <v>430</v>
      </c>
      <c r="C24" s="6" t="s">
        <v>73</v>
      </c>
      <c r="D24" s="6" t="s">
        <v>74</v>
      </c>
      <c r="E24" s="7" t="s">
        <v>76</v>
      </c>
      <c r="F24" s="4"/>
      <c r="G24" s="4">
        <v>430</v>
      </c>
      <c r="H24" s="8">
        <v>5300</v>
      </c>
      <c r="I24" s="9"/>
      <c r="J24" s="8">
        <f t="shared" si="2"/>
        <v>5300</v>
      </c>
    </row>
    <row r="25" spans="1:10" ht="19.95" customHeight="1" x14ac:dyDescent="0.3">
      <c r="A25" s="4">
        <v>250079</v>
      </c>
      <c r="B25" s="4">
        <v>304</v>
      </c>
      <c r="C25" s="6">
        <v>0.7</v>
      </c>
      <c r="D25" s="6" t="s">
        <v>74</v>
      </c>
      <c r="E25" s="7" t="s">
        <v>77</v>
      </c>
      <c r="F25" s="4"/>
      <c r="G25" s="4">
        <v>304</v>
      </c>
      <c r="H25" s="8">
        <v>964</v>
      </c>
      <c r="I25" s="9"/>
      <c r="J25" s="8">
        <f t="shared" si="2"/>
        <v>964</v>
      </c>
    </row>
    <row r="26" spans="1:10" ht="19.95" customHeight="1" x14ac:dyDescent="0.3">
      <c r="A26" s="4">
        <v>250079</v>
      </c>
      <c r="B26" s="4">
        <v>304</v>
      </c>
      <c r="C26" s="6">
        <v>0.7</v>
      </c>
      <c r="D26" s="6" t="s">
        <v>74</v>
      </c>
      <c r="E26" s="7" t="s">
        <v>78</v>
      </c>
      <c r="F26" s="4"/>
      <c r="G26" s="4">
        <v>304</v>
      </c>
      <c r="H26" s="8">
        <v>36</v>
      </c>
      <c r="I26" s="9"/>
      <c r="J26" s="8">
        <f t="shared" si="2"/>
        <v>36</v>
      </c>
    </row>
    <row r="27" spans="1:10" ht="19.95" customHeight="1" x14ac:dyDescent="0.3">
      <c r="A27" s="4"/>
      <c r="B27" s="4"/>
      <c r="C27" s="6"/>
      <c r="D27" s="6"/>
      <c r="E27" s="7"/>
      <c r="F27" s="4"/>
      <c r="G27" s="8"/>
      <c r="H27" s="8"/>
      <c r="I27" s="9"/>
      <c r="J27" s="8">
        <f t="shared" si="2"/>
        <v>0</v>
      </c>
    </row>
    <row r="28" spans="1:10" ht="19.95" customHeight="1" x14ac:dyDescent="0.3">
      <c r="A28" s="10"/>
      <c r="B28" s="10"/>
      <c r="C28" s="10"/>
      <c r="D28" s="10"/>
      <c r="E28" s="11"/>
      <c r="F28" s="10"/>
      <c r="G28" s="12"/>
      <c r="H28" s="8">
        <f>SUM(H23:H27)</f>
        <v>12300</v>
      </c>
      <c r="I28" s="9">
        <f>SUM(I23:I27)</f>
        <v>2500</v>
      </c>
      <c r="J28" s="8">
        <f>SUM(J23:J27)</f>
        <v>9800</v>
      </c>
    </row>
    <row r="29" spans="1:10" ht="19.95" customHeight="1" x14ac:dyDescent="0.3">
      <c r="A29" s="16"/>
      <c r="B29" s="16"/>
      <c r="C29" s="16"/>
      <c r="D29" s="16"/>
      <c r="E29" s="17"/>
      <c r="F29" s="16"/>
      <c r="G29" s="16"/>
      <c r="H29" s="18"/>
      <c r="I29" s="19"/>
      <c r="J29" s="18"/>
    </row>
    <row r="30" spans="1:10" ht="30" customHeight="1" x14ac:dyDescent="0.3">
      <c r="A30" s="31" t="s">
        <v>14</v>
      </c>
      <c r="B30" s="31"/>
      <c r="C30" s="31"/>
      <c r="D30" s="31"/>
      <c r="E30" s="31"/>
      <c r="F30" s="31"/>
      <c r="G30" s="31"/>
      <c r="H30" s="31"/>
      <c r="I30" s="31"/>
      <c r="J30" s="31"/>
    </row>
    <row r="31" spans="1:10" ht="30" customHeight="1" x14ac:dyDescent="0.3">
      <c r="A31" s="4" t="s">
        <v>2</v>
      </c>
      <c r="B31" s="4" t="s">
        <v>3</v>
      </c>
      <c r="C31" s="5" t="s">
        <v>4</v>
      </c>
      <c r="D31" s="5" t="s">
        <v>5</v>
      </c>
      <c r="E31" s="4" t="s">
        <v>6</v>
      </c>
      <c r="F31" s="5" t="s">
        <v>17</v>
      </c>
      <c r="G31" s="5" t="s">
        <v>7</v>
      </c>
      <c r="H31" s="4" t="s">
        <v>8</v>
      </c>
      <c r="I31" s="4" t="s">
        <v>9</v>
      </c>
      <c r="J31" s="4" t="s">
        <v>10</v>
      </c>
    </row>
    <row r="32" spans="1:10" ht="19.95" customHeight="1" x14ac:dyDescent="0.3">
      <c r="A32" s="4">
        <v>230925</v>
      </c>
      <c r="B32" s="4">
        <v>430</v>
      </c>
      <c r="C32" s="6" t="s">
        <v>73</v>
      </c>
      <c r="D32" s="6" t="s">
        <v>74</v>
      </c>
      <c r="E32" s="7" t="s">
        <v>75</v>
      </c>
      <c r="F32" s="4"/>
      <c r="G32" s="4">
        <v>430</v>
      </c>
      <c r="H32" s="8">
        <v>6000</v>
      </c>
      <c r="I32" s="9">
        <v>1250</v>
      </c>
      <c r="J32" s="8">
        <f t="shared" ref="J32:J36" si="3">H32-I32</f>
        <v>4750</v>
      </c>
    </row>
    <row r="33" spans="1:10" ht="19.95" customHeight="1" x14ac:dyDescent="0.3">
      <c r="A33" s="4">
        <v>230925</v>
      </c>
      <c r="B33" s="4">
        <v>430</v>
      </c>
      <c r="C33" s="6" t="s">
        <v>73</v>
      </c>
      <c r="D33" s="6" t="s">
        <v>74</v>
      </c>
      <c r="E33" s="7" t="s">
        <v>76</v>
      </c>
      <c r="F33" s="4"/>
      <c r="G33" s="4">
        <v>430</v>
      </c>
      <c r="H33" s="8">
        <v>5300</v>
      </c>
      <c r="I33" s="9"/>
      <c r="J33" s="8">
        <f>H33-I33</f>
        <v>5300</v>
      </c>
    </row>
    <row r="34" spans="1:10" ht="19.95" customHeight="1" x14ac:dyDescent="0.3">
      <c r="A34" s="4">
        <v>250079</v>
      </c>
      <c r="B34" s="4">
        <v>304</v>
      </c>
      <c r="C34" s="6">
        <v>0.7</v>
      </c>
      <c r="D34" s="6" t="s">
        <v>74</v>
      </c>
      <c r="E34" s="7" t="s">
        <v>77</v>
      </c>
      <c r="F34" s="4"/>
      <c r="G34" s="4">
        <v>304</v>
      </c>
      <c r="H34" s="8">
        <v>964</v>
      </c>
      <c r="I34" s="9"/>
      <c r="J34" s="8">
        <f t="shared" ref="J34:J35" si="4">H34-I34</f>
        <v>964</v>
      </c>
    </row>
    <row r="35" spans="1:10" ht="19.95" customHeight="1" x14ac:dyDescent="0.3">
      <c r="A35" s="4">
        <v>250079</v>
      </c>
      <c r="B35" s="4">
        <v>304</v>
      </c>
      <c r="C35" s="6">
        <v>0.7</v>
      </c>
      <c r="D35" s="6" t="s">
        <v>74</v>
      </c>
      <c r="E35" s="7" t="s">
        <v>78</v>
      </c>
      <c r="F35" s="4"/>
      <c r="G35" s="4">
        <v>304</v>
      </c>
      <c r="H35" s="8">
        <v>36</v>
      </c>
      <c r="I35" s="9"/>
      <c r="J35" s="8">
        <f t="shared" si="4"/>
        <v>36</v>
      </c>
    </row>
    <row r="36" spans="1:10" ht="19.95" customHeight="1" x14ac:dyDescent="0.3">
      <c r="A36" s="4"/>
      <c r="B36" s="4"/>
      <c r="C36" s="6"/>
      <c r="D36" s="6"/>
      <c r="E36" s="7"/>
      <c r="F36" s="4"/>
      <c r="G36" s="4"/>
      <c r="H36" s="8"/>
      <c r="I36" s="9"/>
      <c r="J36" s="8">
        <f t="shared" si="3"/>
        <v>0</v>
      </c>
    </row>
    <row r="37" spans="1:10" ht="19.95" customHeight="1" x14ac:dyDescent="0.3">
      <c r="A37" s="10"/>
      <c r="B37" s="10"/>
      <c r="C37" s="10"/>
      <c r="D37" s="10"/>
      <c r="E37" s="11"/>
      <c r="F37" s="10"/>
      <c r="G37" s="12"/>
      <c r="H37" s="8">
        <f>SUM(H32:H36)</f>
        <v>12300</v>
      </c>
      <c r="I37" s="9">
        <f>SUM(I32:I36)</f>
        <v>1250</v>
      </c>
      <c r="J37" s="8">
        <f>SUM(J32:J36)</f>
        <v>11050</v>
      </c>
    </row>
    <row r="38" spans="1:10" ht="19.95" customHeight="1" x14ac:dyDescent="0.3">
      <c r="A38" s="16"/>
      <c r="B38" s="16"/>
      <c r="C38" s="16"/>
      <c r="D38" s="16"/>
      <c r="E38" s="17"/>
      <c r="F38" s="16"/>
      <c r="G38" s="16"/>
      <c r="H38" s="18"/>
      <c r="I38" s="19"/>
      <c r="J38" s="18"/>
    </row>
    <row r="39" spans="1:10" ht="30" customHeight="1" x14ac:dyDescent="0.3">
      <c r="A39" s="31" t="s">
        <v>16</v>
      </c>
      <c r="B39" s="31"/>
      <c r="C39" s="31"/>
      <c r="D39" s="31"/>
      <c r="E39" s="31"/>
      <c r="F39" s="31"/>
      <c r="G39" s="31"/>
      <c r="H39" s="31"/>
      <c r="I39" s="31"/>
      <c r="J39" s="31"/>
    </row>
    <row r="40" spans="1:10" ht="30" customHeight="1" x14ac:dyDescent="0.3">
      <c r="A40" s="4" t="s">
        <v>2</v>
      </c>
      <c r="B40" s="4" t="s">
        <v>3</v>
      </c>
      <c r="C40" s="5" t="s">
        <v>4</v>
      </c>
      <c r="D40" s="5" t="s">
        <v>5</v>
      </c>
      <c r="E40" s="4" t="s">
        <v>6</v>
      </c>
      <c r="F40" s="5" t="s">
        <v>18</v>
      </c>
      <c r="G40" s="5" t="s">
        <v>7</v>
      </c>
      <c r="H40" s="4" t="s">
        <v>8</v>
      </c>
      <c r="I40" s="4" t="s">
        <v>9</v>
      </c>
      <c r="J40" s="4" t="s">
        <v>10</v>
      </c>
    </row>
    <row r="41" spans="1:10" ht="19.95" customHeight="1" x14ac:dyDescent="0.3">
      <c r="A41" s="4"/>
      <c r="B41" s="4"/>
      <c r="C41" s="6"/>
      <c r="D41" s="6"/>
      <c r="E41" s="7"/>
      <c r="F41" s="4"/>
      <c r="G41" s="4"/>
      <c r="H41" s="8"/>
      <c r="I41" s="9"/>
      <c r="J41" s="8">
        <f t="shared" ref="J41:J46" si="5">H41-I41</f>
        <v>0</v>
      </c>
    </row>
    <row r="42" spans="1:10" ht="19.95" customHeight="1" x14ac:dyDescent="0.3">
      <c r="A42" s="4"/>
      <c r="B42" s="4"/>
      <c r="C42" s="6"/>
      <c r="D42" s="6"/>
      <c r="E42" s="7"/>
      <c r="F42" s="4"/>
      <c r="G42" s="4"/>
      <c r="H42" s="8"/>
      <c r="I42" s="9"/>
      <c r="J42" s="8">
        <f t="shared" si="5"/>
        <v>0</v>
      </c>
    </row>
    <row r="43" spans="1:10" ht="19.95" customHeight="1" x14ac:dyDescent="0.3">
      <c r="A43" s="4"/>
      <c r="B43" s="4"/>
      <c r="C43" s="6"/>
      <c r="D43" s="6"/>
      <c r="E43" s="7"/>
      <c r="F43" s="4"/>
      <c r="G43" s="4"/>
      <c r="H43" s="8"/>
      <c r="I43" s="9"/>
      <c r="J43" s="8">
        <f t="shared" si="5"/>
        <v>0</v>
      </c>
    </row>
    <row r="44" spans="1:10" ht="19.95" customHeight="1" x14ac:dyDescent="0.3">
      <c r="A44" s="4"/>
      <c r="B44" s="4"/>
      <c r="C44" s="6"/>
      <c r="D44" s="6"/>
      <c r="E44" s="7"/>
      <c r="G44" s="8"/>
      <c r="H44" s="8"/>
      <c r="I44" s="9"/>
      <c r="J44" s="8">
        <f t="shared" si="5"/>
        <v>0</v>
      </c>
    </row>
    <row r="45" spans="1:10" ht="19.95" customHeight="1" x14ac:dyDescent="0.3">
      <c r="A45" s="4"/>
      <c r="B45" s="4"/>
      <c r="C45" s="6"/>
      <c r="D45" s="6"/>
      <c r="E45" s="7"/>
      <c r="F45" s="4"/>
      <c r="G45" s="4"/>
      <c r="H45" s="8"/>
      <c r="I45" s="9"/>
      <c r="J45" s="8">
        <f t="shared" si="5"/>
        <v>0</v>
      </c>
    </row>
    <row r="46" spans="1:10" ht="19.95" customHeight="1" x14ac:dyDescent="0.3">
      <c r="A46" s="4"/>
      <c r="B46" s="4"/>
      <c r="C46" s="6"/>
      <c r="D46" s="6"/>
      <c r="E46" s="7"/>
      <c r="F46" s="4"/>
      <c r="G46" s="4"/>
      <c r="H46" s="8"/>
      <c r="I46" s="9"/>
      <c r="J46" s="8">
        <f t="shared" si="5"/>
        <v>0</v>
      </c>
    </row>
    <row r="47" spans="1:10" ht="19.95" customHeight="1" x14ac:dyDescent="0.3">
      <c r="A47" s="10"/>
      <c r="B47" s="10"/>
      <c r="C47" s="10"/>
      <c r="D47" s="10"/>
      <c r="E47" s="11"/>
      <c r="F47" s="10"/>
      <c r="G47" s="12"/>
      <c r="H47" s="8">
        <f>SUM(H41:H46)</f>
        <v>0</v>
      </c>
      <c r="I47" s="9">
        <f>SUM(I41:I46)</f>
        <v>0</v>
      </c>
      <c r="J47" s="8">
        <f>SUM(J41:J46)</f>
        <v>0</v>
      </c>
    </row>
    <row r="48" spans="1:10" ht="19.95" customHeight="1" x14ac:dyDescent="0.3">
      <c r="A48" s="16"/>
      <c r="B48" s="16"/>
      <c r="C48" s="16"/>
      <c r="D48" s="16"/>
      <c r="E48" s="17"/>
      <c r="F48" s="16"/>
      <c r="G48" s="16"/>
      <c r="H48" s="18"/>
      <c r="I48" s="19"/>
      <c r="J48" s="18"/>
    </row>
    <row r="50" spans="1:10" ht="23.4" x14ac:dyDescent="0.3">
      <c r="A50" s="31" t="s">
        <v>11</v>
      </c>
      <c r="B50" s="31"/>
      <c r="C50" s="31"/>
      <c r="D50" s="31"/>
      <c r="E50" s="31"/>
      <c r="F50" s="31"/>
      <c r="G50" s="31"/>
      <c r="H50" s="31"/>
      <c r="I50" s="31"/>
      <c r="J50" s="31"/>
    </row>
  </sheetData>
  <mergeCells count="8">
    <mergeCell ref="A39:J39"/>
    <mergeCell ref="A50:J50"/>
    <mergeCell ref="I1:J1"/>
    <mergeCell ref="A2:J2"/>
    <mergeCell ref="A3:J3"/>
    <mergeCell ref="A12:J12"/>
    <mergeCell ref="A21:J21"/>
    <mergeCell ref="A30:J30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46" orientation="portrait" horizontalDpi="1200" verticalDpi="120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0"/>
  <sheetViews>
    <sheetView zoomScale="70" zoomScaleNormal="70" workbookViewId="0">
      <selection activeCell="I40" sqref="I40"/>
    </sheetView>
  </sheetViews>
  <sheetFormatPr defaultRowHeight="14.4" x14ac:dyDescent="0.3"/>
  <cols>
    <col min="1" max="1" width="15.6640625" style="24" customWidth="1"/>
    <col min="2" max="3" width="12.6640625" style="24" customWidth="1"/>
    <col min="4" max="4" width="15.6640625" style="24" customWidth="1"/>
    <col min="5" max="5" width="80.6640625" style="24" customWidth="1"/>
    <col min="6" max="6" width="22.77734375" style="15" customWidth="1"/>
    <col min="7" max="7" width="12.33203125" style="24" customWidth="1"/>
    <col min="8" max="10" width="15.6640625" style="24" customWidth="1"/>
    <col min="11" max="16384" width="8.88671875" style="24"/>
  </cols>
  <sheetData>
    <row r="1" spans="1:11" s="1" customFormat="1" ht="30" customHeight="1" x14ac:dyDescent="0.3">
      <c r="F1" s="2"/>
      <c r="G1" s="2"/>
      <c r="H1" s="3" t="s">
        <v>0</v>
      </c>
      <c r="I1" s="27">
        <v>45964</v>
      </c>
      <c r="J1" s="27"/>
    </row>
    <row r="2" spans="1:11" ht="40.049999999999997" customHeight="1" x14ac:dyDescent="0.3">
      <c r="A2" s="28" t="s">
        <v>30</v>
      </c>
      <c r="B2" s="29"/>
      <c r="C2" s="29"/>
      <c r="D2" s="29"/>
      <c r="E2" s="29"/>
      <c r="F2" s="29"/>
      <c r="G2" s="29"/>
      <c r="H2" s="29"/>
      <c r="I2" s="29"/>
      <c r="J2" s="30"/>
    </row>
    <row r="3" spans="1:11" ht="30" customHeight="1" x14ac:dyDescent="0.3">
      <c r="A3" s="31" t="s">
        <v>12</v>
      </c>
      <c r="B3" s="31"/>
      <c r="C3" s="31"/>
      <c r="D3" s="31"/>
      <c r="E3" s="31"/>
      <c r="F3" s="31"/>
      <c r="G3" s="31"/>
      <c r="H3" s="31"/>
      <c r="I3" s="31"/>
      <c r="J3" s="31"/>
    </row>
    <row r="4" spans="1:11" ht="30" customHeight="1" x14ac:dyDescent="0.3">
      <c r="A4" s="4" t="s">
        <v>2</v>
      </c>
      <c r="B4" s="4" t="s">
        <v>3</v>
      </c>
      <c r="C4" s="5" t="s">
        <v>4</v>
      </c>
      <c r="D4" s="5" t="s">
        <v>5</v>
      </c>
      <c r="E4" s="4" t="s">
        <v>6</v>
      </c>
      <c r="F4" s="5" t="s">
        <v>17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1" ht="19.95" customHeight="1" x14ac:dyDescent="0.3">
      <c r="A5" s="4">
        <v>230925</v>
      </c>
      <c r="B5" s="4">
        <v>430</v>
      </c>
      <c r="C5" s="6" t="s">
        <v>73</v>
      </c>
      <c r="D5" s="6" t="s">
        <v>74</v>
      </c>
      <c r="E5" s="7" t="s">
        <v>76</v>
      </c>
      <c r="F5" s="4"/>
      <c r="G5" s="4">
        <v>430</v>
      </c>
      <c r="H5" s="8">
        <v>5300</v>
      </c>
      <c r="I5" s="9">
        <f>50+1050+2100</f>
        <v>3200</v>
      </c>
      <c r="J5" s="22">
        <f t="shared" ref="J5:J11" si="0">H5-I5</f>
        <v>2100</v>
      </c>
      <c r="K5" s="20"/>
    </row>
    <row r="6" spans="1:11" ht="19.95" customHeight="1" x14ac:dyDescent="0.3">
      <c r="A6" s="4">
        <v>250079</v>
      </c>
      <c r="B6" s="4">
        <v>304</v>
      </c>
      <c r="C6" s="6">
        <v>0.7</v>
      </c>
      <c r="D6" s="6" t="s">
        <v>74</v>
      </c>
      <c r="E6" s="7" t="s">
        <v>77</v>
      </c>
      <c r="F6" s="4"/>
      <c r="G6" s="4">
        <v>304</v>
      </c>
      <c r="H6" s="8">
        <v>964</v>
      </c>
      <c r="I6" s="9"/>
      <c r="J6" s="22">
        <f t="shared" si="0"/>
        <v>964</v>
      </c>
      <c r="K6" s="20"/>
    </row>
    <row r="7" spans="1:11" ht="19.95" customHeight="1" x14ac:dyDescent="0.3">
      <c r="A7" s="4">
        <v>250079</v>
      </c>
      <c r="B7" s="4">
        <v>304</v>
      </c>
      <c r="C7" s="6">
        <v>0.7</v>
      </c>
      <c r="D7" s="6" t="s">
        <v>74</v>
      </c>
      <c r="E7" s="7" t="s">
        <v>78</v>
      </c>
      <c r="F7" s="4"/>
      <c r="G7" s="4">
        <v>304</v>
      </c>
      <c r="H7" s="8">
        <v>36</v>
      </c>
      <c r="I7" s="9"/>
      <c r="J7" s="22">
        <f t="shared" si="0"/>
        <v>36</v>
      </c>
      <c r="K7" s="20"/>
    </row>
    <row r="8" spans="1:11" ht="19.95" customHeight="1" x14ac:dyDescent="0.3">
      <c r="A8" s="4">
        <v>250080</v>
      </c>
      <c r="B8" s="4">
        <v>304</v>
      </c>
      <c r="C8" s="6">
        <v>0.7</v>
      </c>
      <c r="D8" s="6" t="s">
        <v>74</v>
      </c>
      <c r="E8" s="7" t="s">
        <v>79</v>
      </c>
      <c r="F8" s="4"/>
      <c r="G8" s="4">
        <v>430</v>
      </c>
      <c r="H8" s="8">
        <v>1000</v>
      </c>
      <c r="I8" s="9"/>
      <c r="J8" s="22">
        <f t="shared" si="0"/>
        <v>1000</v>
      </c>
      <c r="K8" s="20"/>
    </row>
    <row r="9" spans="1:11" ht="19.95" customHeight="1" x14ac:dyDescent="0.3">
      <c r="A9" s="4">
        <v>250079</v>
      </c>
      <c r="B9" s="4">
        <v>304</v>
      </c>
      <c r="C9" s="6">
        <v>0.7</v>
      </c>
      <c r="D9" s="6" t="s">
        <v>74</v>
      </c>
      <c r="E9" s="7" t="s">
        <v>80</v>
      </c>
      <c r="F9" s="4"/>
      <c r="G9" s="4">
        <v>304</v>
      </c>
      <c r="H9" s="8">
        <v>1314</v>
      </c>
      <c r="I9" s="9"/>
      <c r="J9" s="22">
        <f t="shared" si="0"/>
        <v>1314</v>
      </c>
      <c r="K9" s="20"/>
    </row>
    <row r="10" spans="1:11" ht="19.95" customHeight="1" x14ac:dyDescent="0.3">
      <c r="A10" s="4">
        <v>250079</v>
      </c>
      <c r="B10" s="4">
        <v>304</v>
      </c>
      <c r="C10" s="6">
        <v>0.7</v>
      </c>
      <c r="D10" s="6" t="s">
        <v>74</v>
      </c>
      <c r="E10" s="7" t="s">
        <v>81</v>
      </c>
      <c r="F10" s="4"/>
      <c r="G10" s="4">
        <v>304</v>
      </c>
      <c r="H10" s="8">
        <v>36</v>
      </c>
      <c r="I10" s="9"/>
      <c r="J10" s="22">
        <f t="shared" si="0"/>
        <v>36</v>
      </c>
      <c r="K10" s="20"/>
    </row>
    <row r="11" spans="1:11" ht="19.95" customHeight="1" x14ac:dyDescent="0.3">
      <c r="A11" s="4"/>
      <c r="B11" s="4"/>
      <c r="C11" s="6"/>
      <c r="D11" s="6"/>
      <c r="E11" s="7"/>
      <c r="F11" s="4"/>
      <c r="G11" s="4"/>
      <c r="H11" s="8"/>
      <c r="I11" s="9"/>
      <c r="J11" s="8">
        <f t="shared" si="0"/>
        <v>0</v>
      </c>
    </row>
    <row r="12" spans="1:11" ht="19.95" customHeight="1" x14ac:dyDescent="0.3">
      <c r="A12" s="10"/>
      <c r="B12" s="10"/>
      <c r="C12" s="10"/>
      <c r="D12" s="10"/>
      <c r="E12" s="11"/>
      <c r="F12" s="10"/>
      <c r="G12" s="12"/>
      <c r="H12" s="13">
        <f>SUM(H5:H11)</f>
        <v>8650</v>
      </c>
      <c r="I12" s="14">
        <f>SUM(I5:I11)</f>
        <v>3200</v>
      </c>
      <c r="J12" s="8">
        <f>SUM(J5:J11)</f>
        <v>5450</v>
      </c>
    </row>
    <row r="14" spans="1:11" ht="30" customHeight="1" x14ac:dyDescent="0.3">
      <c r="A14" s="31" t="s">
        <v>15</v>
      </c>
      <c r="B14" s="31"/>
      <c r="C14" s="31"/>
      <c r="D14" s="31"/>
      <c r="E14" s="31"/>
      <c r="F14" s="31"/>
      <c r="G14" s="31"/>
      <c r="H14" s="31"/>
      <c r="I14" s="31"/>
      <c r="J14" s="31"/>
    </row>
    <row r="15" spans="1:11" ht="30" customHeight="1" x14ac:dyDescent="0.3">
      <c r="A15" s="4" t="s">
        <v>2</v>
      </c>
      <c r="B15" s="4" t="s">
        <v>3</v>
      </c>
      <c r="C15" s="5" t="s">
        <v>4</v>
      </c>
      <c r="D15" s="5" t="s">
        <v>5</v>
      </c>
      <c r="E15" s="4" t="s">
        <v>6</v>
      </c>
      <c r="F15" s="5" t="s">
        <v>17</v>
      </c>
      <c r="G15" s="5" t="s">
        <v>7</v>
      </c>
      <c r="H15" s="4" t="s">
        <v>8</v>
      </c>
      <c r="I15" s="4" t="s">
        <v>9</v>
      </c>
      <c r="J15" s="4" t="s">
        <v>10</v>
      </c>
    </row>
    <row r="16" spans="1:11" ht="19.95" customHeight="1" x14ac:dyDescent="0.3">
      <c r="A16" s="4">
        <v>230925</v>
      </c>
      <c r="B16" s="4">
        <v>430</v>
      </c>
      <c r="C16" s="6" t="s">
        <v>73</v>
      </c>
      <c r="D16" s="6" t="s">
        <v>74</v>
      </c>
      <c r="E16" s="7" t="s">
        <v>76</v>
      </c>
      <c r="F16" s="4"/>
      <c r="G16" s="4">
        <v>430</v>
      </c>
      <c r="H16" s="8">
        <v>5300</v>
      </c>
      <c r="I16" s="9">
        <f>715+2000</f>
        <v>2715</v>
      </c>
      <c r="J16" s="8">
        <f t="shared" ref="J16:J22" si="1">H16-I16</f>
        <v>2585</v>
      </c>
    </row>
    <row r="17" spans="1:10" ht="19.95" customHeight="1" x14ac:dyDescent="0.3">
      <c r="A17" s="4">
        <v>250079</v>
      </c>
      <c r="B17" s="4">
        <v>304</v>
      </c>
      <c r="C17" s="6">
        <v>0.7</v>
      </c>
      <c r="D17" s="6" t="s">
        <v>74</v>
      </c>
      <c r="E17" s="7" t="s">
        <v>77</v>
      </c>
      <c r="F17" s="4"/>
      <c r="G17" s="4">
        <v>304</v>
      </c>
      <c r="H17" s="8">
        <v>964</v>
      </c>
      <c r="I17" s="9"/>
      <c r="J17" s="8">
        <f t="shared" si="1"/>
        <v>964</v>
      </c>
    </row>
    <row r="18" spans="1:10" ht="19.95" customHeight="1" x14ac:dyDescent="0.3">
      <c r="A18" s="4">
        <v>250079</v>
      </c>
      <c r="B18" s="4">
        <v>304</v>
      </c>
      <c r="C18" s="6">
        <v>0.7</v>
      </c>
      <c r="D18" s="6" t="s">
        <v>74</v>
      </c>
      <c r="E18" s="7" t="s">
        <v>78</v>
      </c>
      <c r="F18" s="4"/>
      <c r="G18" s="4">
        <v>304</v>
      </c>
      <c r="H18" s="8">
        <v>36</v>
      </c>
      <c r="I18" s="9"/>
      <c r="J18" s="8">
        <f t="shared" si="1"/>
        <v>36</v>
      </c>
    </row>
    <row r="19" spans="1:10" ht="19.95" customHeight="1" x14ac:dyDescent="0.3">
      <c r="A19" s="4">
        <v>250080</v>
      </c>
      <c r="B19" s="4">
        <v>304</v>
      </c>
      <c r="C19" s="6">
        <v>0.7</v>
      </c>
      <c r="D19" s="6" t="s">
        <v>74</v>
      </c>
      <c r="E19" s="7" t="s">
        <v>79</v>
      </c>
      <c r="F19" s="4"/>
      <c r="G19" s="4">
        <v>430</v>
      </c>
      <c r="H19" s="8">
        <v>1000</v>
      </c>
      <c r="I19" s="9"/>
      <c r="J19" s="8">
        <f t="shared" si="1"/>
        <v>1000</v>
      </c>
    </row>
    <row r="20" spans="1:10" ht="19.95" customHeight="1" x14ac:dyDescent="0.3">
      <c r="A20" s="4">
        <v>250079</v>
      </c>
      <c r="B20" s="4">
        <v>304</v>
      </c>
      <c r="C20" s="6">
        <v>0.7</v>
      </c>
      <c r="D20" s="6" t="s">
        <v>74</v>
      </c>
      <c r="E20" s="7" t="s">
        <v>80</v>
      </c>
      <c r="F20" s="4"/>
      <c r="G20" s="4">
        <v>304</v>
      </c>
      <c r="H20" s="8">
        <v>1314</v>
      </c>
      <c r="I20" s="9"/>
      <c r="J20" s="8">
        <f t="shared" si="1"/>
        <v>1314</v>
      </c>
    </row>
    <row r="21" spans="1:10" ht="19.95" customHeight="1" x14ac:dyDescent="0.3">
      <c r="A21" s="4">
        <v>250079</v>
      </c>
      <c r="B21" s="4">
        <v>304</v>
      </c>
      <c r="C21" s="6">
        <v>0.7</v>
      </c>
      <c r="D21" s="6" t="s">
        <v>74</v>
      </c>
      <c r="E21" s="7" t="s">
        <v>81</v>
      </c>
      <c r="F21" s="4"/>
      <c r="G21" s="4">
        <v>304</v>
      </c>
      <c r="H21" s="8">
        <v>36</v>
      </c>
      <c r="I21" s="9"/>
      <c r="J21" s="8">
        <f t="shared" si="1"/>
        <v>36</v>
      </c>
    </row>
    <row r="22" spans="1:10" ht="19.95" customHeight="1" x14ac:dyDescent="0.3">
      <c r="A22" s="4"/>
      <c r="B22" s="4"/>
      <c r="C22" s="6"/>
      <c r="D22" s="6"/>
      <c r="E22" s="7"/>
      <c r="F22" s="4"/>
      <c r="G22" s="8"/>
      <c r="H22" s="8"/>
      <c r="I22" s="9"/>
      <c r="J22" s="8">
        <f t="shared" si="1"/>
        <v>0</v>
      </c>
    </row>
    <row r="23" spans="1:10" ht="19.95" customHeight="1" x14ac:dyDescent="0.3">
      <c r="A23" s="10"/>
      <c r="B23" s="10"/>
      <c r="C23" s="10"/>
      <c r="D23" s="10"/>
      <c r="E23" s="11"/>
      <c r="F23" s="10"/>
      <c r="G23" s="12"/>
      <c r="H23" s="8">
        <f>SUM(H16:H22)</f>
        <v>8650</v>
      </c>
      <c r="I23" s="9">
        <f>SUM(I16:I22)</f>
        <v>2715</v>
      </c>
      <c r="J23" s="8">
        <f>SUM(J16:J22)</f>
        <v>5935</v>
      </c>
    </row>
    <row r="24" spans="1:10" ht="19.95" customHeight="1" x14ac:dyDescent="0.3">
      <c r="A24" s="16"/>
      <c r="B24" s="16"/>
      <c r="C24" s="16"/>
      <c r="D24" s="16"/>
      <c r="E24" s="17"/>
      <c r="F24" s="16"/>
      <c r="G24" s="16"/>
      <c r="H24" s="18"/>
      <c r="I24" s="19"/>
      <c r="J24" s="18"/>
    </row>
    <row r="25" spans="1:10" ht="30" customHeight="1" x14ac:dyDescent="0.3">
      <c r="A25" s="31" t="s">
        <v>13</v>
      </c>
      <c r="B25" s="31"/>
      <c r="C25" s="31"/>
      <c r="D25" s="31"/>
      <c r="E25" s="31"/>
      <c r="F25" s="31"/>
      <c r="G25" s="31"/>
      <c r="H25" s="31"/>
      <c r="I25" s="31"/>
      <c r="J25" s="31"/>
    </row>
    <row r="26" spans="1:10" ht="30" customHeight="1" x14ac:dyDescent="0.3">
      <c r="A26" s="4" t="s">
        <v>2</v>
      </c>
      <c r="B26" s="4" t="s">
        <v>3</v>
      </c>
      <c r="C26" s="5" t="s">
        <v>4</v>
      </c>
      <c r="D26" s="5" t="s">
        <v>5</v>
      </c>
      <c r="E26" s="4" t="s">
        <v>6</v>
      </c>
      <c r="F26" s="5" t="s">
        <v>17</v>
      </c>
      <c r="G26" s="5" t="s">
        <v>7</v>
      </c>
      <c r="H26" s="4" t="s">
        <v>8</v>
      </c>
      <c r="I26" s="4" t="s">
        <v>9</v>
      </c>
      <c r="J26" s="4" t="s">
        <v>10</v>
      </c>
    </row>
    <row r="27" spans="1:10" ht="19.95" customHeight="1" x14ac:dyDescent="0.3">
      <c r="A27" s="4">
        <v>230925</v>
      </c>
      <c r="B27" s="4">
        <v>430</v>
      </c>
      <c r="C27" s="6" t="s">
        <v>73</v>
      </c>
      <c r="D27" s="6" t="s">
        <v>74</v>
      </c>
      <c r="E27" s="7" t="s">
        <v>75</v>
      </c>
      <c r="F27" s="4"/>
      <c r="G27" s="4">
        <v>430</v>
      </c>
      <c r="H27" s="8">
        <v>6000</v>
      </c>
      <c r="I27" s="9">
        <f>1500+1000+1800</f>
        <v>4300</v>
      </c>
      <c r="J27" s="8">
        <f t="shared" ref="J27:J34" si="2">H27-I27</f>
        <v>1700</v>
      </c>
    </row>
    <row r="28" spans="1:10" ht="19.95" customHeight="1" x14ac:dyDescent="0.3">
      <c r="A28" s="4">
        <v>230925</v>
      </c>
      <c r="B28" s="4">
        <v>430</v>
      </c>
      <c r="C28" s="6" t="s">
        <v>73</v>
      </c>
      <c r="D28" s="6" t="s">
        <v>74</v>
      </c>
      <c r="E28" s="7" t="s">
        <v>76</v>
      </c>
      <c r="F28" s="4"/>
      <c r="G28" s="4">
        <v>430</v>
      </c>
      <c r="H28" s="8">
        <v>5300</v>
      </c>
      <c r="I28" s="9"/>
      <c r="J28" s="8">
        <f t="shared" si="2"/>
        <v>5300</v>
      </c>
    </row>
    <row r="29" spans="1:10" ht="19.95" customHeight="1" x14ac:dyDescent="0.3">
      <c r="A29" s="4">
        <v>250079</v>
      </c>
      <c r="B29" s="4">
        <v>304</v>
      </c>
      <c r="C29" s="6">
        <v>0.7</v>
      </c>
      <c r="D29" s="6" t="s">
        <v>74</v>
      </c>
      <c r="E29" s="7" t="s">
        <v>77</v>
      </c>
      <c r="F29" s="4"/>
      <c r="G29" s="4">
        <v>304</v>
      </c>
      <c r="H29" s="8">
        <v>964</v>
      </c>
      <c r="I29" s="9"/>
      <c r="J29" s="8">
        <f t="shared" si="2"/>
        <v>964</v>
      </c>
    </row>
    <row r="30" spans="1:10" ht="19.95" customHeight="1" x14ac:dyDescent="0.3">
      <c r="A30" s="4">
        <v>250079</v>
      </c>
      <c r="B30" s="4">
        <v>304</v>
      </c>
      <c r="C30" s="6">
        <v>0.7</v>
      </c>
      <c r="D30" s="6" t="s">
        <v>74</v>
      </c>
      <c r="E30" s="7" t="s">
        <v>78</v>
      </c>
      <c r="F30" s="4"/>
      <c r="G30" s="4">
        <v>304</v>
      </c>
      <c r="H30" s="8">
        <v>36</v>
      </c>
      <c r="I30" s="9"/>
      <c r="J30" s="8">
        <f t="shared" si="2"/>
        <v>36</v>
      </c>
    </row>
    <row r="31" spans="1:10" ht="19.95" customHeight="1" x14ac:dyDescent="0.3">
      <c r="A31" s="4">
        <v>250080</v>
      </c>
      <c r="B31" s="4">
        <v>304</v>
      </c>
      <c r="C31" s="6">
        <v>0.7</v>
      </c>
      <c r="D31" s="6" t="s">
        <v>74</v>
      </c>
      <c r="E31" s="7" t="s">
        <v>79</v>
      </c>
      <c r="F31" s="4"/>
      <c r="G31" s="4">
        <v>430</v>
      </c>
      <c r="H31" s="8">
        <v>1000</v>
      </c>
      <c r="I31" s="9"/>
      <c r="J31" s="8">
        <f t="shared" si="2"/>
        <v>1000</v>
      </c>
    </row>
    <row r="32" spans="1:10" ht="19.95" customHeight="1" x14ac:dyDescent="0.3">
      <c r="A32" s="4">
        <v>250079</v>
      </c>
      <c r="B32" s="4">
        <v>304</v>
      </c>
      <c r="C32" s="6">
        <v>0.7</v>
      </c>
      <c r="D32" s="6" t="s">
        <v>74</v>
      </c>
      <c r="E32" s="7" t="s">
        <v>80</v>
      </c>
      <c r="F32" s="4"/>
      <c r="G32" s="4">
        <v>304</v>
      </c>
      <c r="H32" s="8">
        <v>1314</v>
      </c>
      <c r="I32" s="9"/>
      <c r="J32" s="8">
        <f t="shared" si="2"/>
        <v>1314</v>
      </c>
    </row>
    <row r="33" spans="1:10" ht="19.95" customHeight="1" x14ac:dyDescent="0.3">
      <c r="A33" s="4">
        <v>250079</v>
      </c>
      <c r="B33" s="4">
        <v>304</v>
      </c>
      <c r="C33" s="6">
        <v>0.7</v>
      </c>
      <c r="D33" s="6" t="s">
        <v>74</v>
      </c>
      <c r="E33" s="7" t="s">
        <v>81</v>
      </c>
      <c r="F33" s="4"/>
      <c r="G33" s="4">
        <v>304</v>
      </c>
      <c r="H33" s="8">
        <v>36</v>
      </c>
      <c r="I33" s="9"/>
      <c r="J33" s="8">
        <f t="shared" si="2"/>
        <v>36</v>
      </c>
    </row>
    <row r="34" spans="1:10" ht="19.95" customHeight="1" x14ac:dyDescent="0.3">
      <c r="A34" s="4"/>
      <c r="B34" s="4"/>
      <c r="C34" s="6"/>
      <c r="D34" s="6"/>
      <c r="E34" s="7"/>
      <c r="F34" s="4"/>
      <c r="G34" s="8"/>
      <c r="H34" s="8"/>
      <c r="I34" s="9"/>
      <c r="J34" s="8">
        <f t="shared" si="2"/>
        <v>0</v>
      </c>
    </row>
    <row r="35" spans="1:10" ht="19.95" customHeight="1" x14ac:dyDescent="0.3">
      <c r="A35" s="10"/>
      <c r="B35" s="10"/>
      <c r="C35" s="10"/>
      <c r="D35" s="10"/>
      <c r="E35" s="11"/>
      <c r="F35" s="10"/>
      <c r="G35" s="12"/>
      <c r="H35" s="8">
        <f>SUM(H27:H34)</f>
        <v>14650</v>
      </c>
      <c r="I35" s="9">
        <f>SUM(I27:I34)</f>
        <v>4300</v>
      </c>
      <c r="J35" s="8">
        <f>SUM(J27:J34)</f>
        <v>10350</v>
      </c>
    </row>
    <row r="36" spans="1:10" ht="19.95" customHeight="1" x14ac:dyDescent="0.3">
      <c r="A36" s="16"/>
      <c r="B36" s="16"/>
      <c r="C36" s="16"/>
      <c r="D36" s="16"/>
      <c r="E36" s="17"/>
      <c r="F36" s="16"/>
      <c r="G36" s="16"/>
      <c r="H36" s="18"/>
      <c r="I36" s="19"/>
      <c r="J36" s="18"/>
    </row>
    <row r="37" spans="1:10" ht="30" customHeight="1" x14ac:dyDescent="0.3">
      <c r="A37" s="31" t="s">
        <v>14</v>
      </c>
      <c r="B37" s="31"/>
      <c r="C37" s="31"/>
      <c r="D37" s="31"/>
      <c r="E37" s="31"/>
      <c r="F37" s="31"/>
      <c r="G37" s="31"/>
      <c r="H37" s="31"/>
      <c r="I37" s="31"/>
      <c r="J37" s="31"/>
    </row>
    <row r="38" spans="1:10" ht="30" customHeight="1" x14ac:dyDescent="0.3">
      <c r="A38" s="4" t="s">
        <v>2</v>
      </c>
      <c r="B38" s="4" t="s">
        <v>3</v>
      </c>
      <c r="C38" s="5" t="s">
        <v>4</v>
      </c>
      <c r="D38" s="5" t="s">
        <v>5</v>
      </c>
      <c r="E38" s="4" t="s">
        <v>6</v>
      </c>
      <c r="F38" s="5" t="s">
        <v>17</v>
      </c>
      <c r="G38" s="5" t="s">
        <v>7</v>
      </c>
      <c r="H38" s="4" t="s">
        <v>8</v>
      </c>
      <c r="I38" s="4" t="s">
        <v>9</v>
      </c>
      <c r="J38" s="4" t="s">
        <v>10</v>
      </c>
    </row>
    <row r="39" spans="1:10" ht="19.95" customHeight="1" x14ac:dyDescent="0.3">
      <c r="A39" s="4">
        <v>230925</v>
      </c>
      <c r="B39" s="4">
        <v>430</v>
      </c>
      <c r="C39" s="6" t="s">
        <v>73</v>
      </c>
      <c r="D39" s="6" t="s">
        <v>74</v>
      </c>
      <c r="E39" s="7" t="s">
        <v>75</v>
      </c>
      <c r="F39" s="4"/>
      <c r="G39" s="4">
        <v>430</v>
      </c>
      <c r="H39" s="8">
        <v>6000</v>
      </c>
      <c r="I39" s="9">
        <f>1250+2150</f>
        <v>3400</v>
      </c>
      <c r="J39" s="8">
        <f t="shared" ref="J39:J46" si="3">H39-I39</f>
        <v>2600</v>
      </c>
    </row>
    <row r="40" spans="1:10" ht="19.95" customHeight="1" x14ac:dyDescent="0.3">
      <c r="A40" s="4">
        <v>230925</v>
      </c>
      <c r="B40" s="4">
        <v>430</v>
      </c>
      <c r="C40" s="6" t="s">
        <v>73</v>
      </c>
      <c r="D40" s="6" t="s">
        <v>74</v>
      </c>
      <c r="E40" s="7" t="s">
        <v>76</v>
      </c>
      <c r="F40" s="4"/>
      <c r="G40" s="4">
        <v>430</v>
      </c>
      <c r="H40" s="8">
        <v>5300</v>
      </c>
      <c r="I40" s="9"/>
      <c r="J40" s="8">
        <f>H40-I40</f>
        <v>5300</v>
      </c>
    </row>
    <row r="41" spans="1:10" ht="19.95" customHeight="1" x14ac:dyDescent="0.3">
      <c r="A41" s="4">
        <v>250079</v>
      </c>
      <c r="B41" s="4">
        <v>304</v>
      </c>
      <c r="C41" s="6">
        <v>0.7</v>
      </c>
      <c r="D41" s="6" t="s">
        <v>74</v>
      </c>
      <c r="E41" s="7" t="s">
        <v>77</v>
      </c>
      <c r="F41" s="4"/>
      <c r="G41" s="4">
        <v>304</v>
      </c>
      <c r="H41" s="8">
        <v>964</v>
      </c>
      <c r="I41" s="9"/>
      <c r="J41" s="8">
        <f t="shared" ref="J41:J45" si="4">H41-I41</f>
        <v>964</v>
      </c>
    </row>
    <row r="42" spans="1:10" ht="19.95" customHeight="1" x14ac:dyDescent="0.3">
      <c r="A42" s="4">
        <v>250079</v>
      </c>
      <c r="B42" s="4">
        <v>304</v>
      </c>
      <c r="C42" s="6">
        <v>0.7</v>
      </c>
      <c r="D42" s="6" t="s">
        <v>74</v>
      </c>
      <c r="E42" s="7" t="s">
        <v>78</v>
      </c>
      <c r="F42" s="4"/>
      <c r="G42" s="4">
        <v>304</v>
      </c>
      <c r="H42" s="8">
        <v>36</v>
      </c>
      <c r="I42" s="9"/>
      <c r="J42" s="8">
        <f t="shared" si="4"/>
        <v>36</v>
      </c>
    </row>
    <row r="43" spans="1:10" ht="19.95" customHeight="1" x14ac:dyDescent="0.3">
      <c r="A43" s="4">
        <v>250080</v>
      </c>
      <c r="B43" s="4">
        <v>304</v>
      </c>
      <c r="C43" s="6">
        <v>0.7</v>
      </c>
      <c r="D43" s="6" t="s">
        <v>74</v>
      </c>
      <c r="E43" s="7" t="s">
        <v>79</v>
      </c>
      <c r="F43" s="4"/>
      <c r="G43" s="4">
        <v>430</v>
      </c>
      <c r="H43" s="8">
        <v>1000</v>
      </c>
      <c r="I43" s="9"/>
      <c r="J43" s="8">
        <f t="shared" si="4"/>
        <v>1000</v>
      </c>
    </row>
    <row r="44" spans="1:10" ht="19.95" customHeight="1" x14ac:dyDescent="0.3">
      <c r="A44" s="4">
        <v>250079</v>
      </c>
      <c r="B44" s="4">
        <v>304</v>
      </c>
      <c r="C44" s="6">
        <v>0.7</v>
      </c>
      <c r="D44" s="6" t="s">
        <v>74</v>
      </c>
      <c r="E44" s="7" t="s">
        <v>80</v>
      </c>
      <c r="F44" s="4"/>
      <c r="G44" s="4">
        <v>304</v>
      </c>
      <c r="H44" s="8">
        <v>1314</v>
      </c>
      <c r="I44" s="9"/>
      <c r="J44" s="8">
        <f t="shared" si="4"/>
        <v>1314</v>
      </c>
    </row>
    <row r="45" spans="1:10" ht="19.95" customHeight="1" x14ac:dyDescent="0.3">
      <c r="A45" s="4">
        <v>250079</v>
      </c>
      <c r="B45" s="4">
        <v>304</v>
      </c>
      <c r="C45" s="6">
        <v>0.7</v>
      </c>
      <c r="D45" s="6" t="s">
        <v>74</v>
      </c>
      <c r="E45" s="7" t="s">
        <v>81</v>
      </c>
      <c r="F45" s="4"/>
      <c r="G45" s="4">
        <v>304</v>
      </c>
      <c r="H45" s="8">
        <v>36</v>
      </c>
      <c r="I45" s="9"/>
      <c r="J45" s="8">
        <f t="shared" si="4"/>
        <v>36</v>
      </c>
    </row>
    <row r="46" spans="1:10" ht="19.95" customHeight="1" x14ac:dyDescent="0.3">
      <c r="A46" s="4"/>
      <c r="B46" s="4"/>
      <c r="C46" s="6"/>
      <c r="D46" s="6"/>
      <c r="E46" s="7"/>
      <c r="F46" s="4"/>
      <c r="G46" s="4"/>
      <c r="H46" s="8"/>
      <c r="I46" s="9"/>
      <c r="J46" s="8">
        <f t="shared" si="3"/>
        <v>0</v>
      </c>
    </row>
    <row r="47" spans="1:10" ht="19.95" customHeight="1" x14ac:dyDescent="0.3">
      <c r="A47" s="10"/>
      <c r="B47" s="10"/>
      <c r="C47" s="10"/>
      <c r="D47" s="10"/>
      <c r="E47" s="11"/>
      <c r="F47" s="10"/>
      <c r="G47" s="12"/>
      <c r="H47" s="8">
        <f>SUM(H39:H46)</f>
        <v>14650</v>
      </c>
      <c r="I47" s="9">
        <f>SUM(I39:I46)</f>
        <v>3400</v>
      </c>
      <c r="J47" s="8">
        <f>SUM(J39:J46)</f>
        <v>11250</v>
      </c>
    </row>
    <row r="48" spans="1:10" ht="19.95" customHeight="1" x14ac:dyDescent="0.3">
      <c r="A48" s="16"/>
      <c r="B48" s="16"/>
      <c r="C48" s="16"/>
      <c r="D48" s="16"/>
      <c r="E48" s="17"/>
      <c r="F48" s="16"/>
      <c r="G48" s="16"/>
      <c r="H48" s="18"/>
      <c r="I48" s="19"/>
      <c r="J48" s="18"/>
    </row>
    <row r="49" spans="1:10" ht="30" customHeight="1" x14ac:dyDescent="0.3">
      <c r="A49" s="31" t="s">
        <v>16</v>
      </c>
      <c r="B49" s="31"/>
      <c r="C49" s="31"/>
      <c r="D49" s="31"/>
      <c r="E49" s="31"/>
      <c r="F49" s="31"/>
      <c r="G49" s="31"/>
      <c r="H49" s="31"/>
      <c r="I49" s="31"/>
      <c r="J49" s="31"/>
    </row>
    <row r="50" spans="1:10" ht="30" customHeight="1" x14ac:dyDescent="0.3">
      <c r="A50" s="4" t="s">
        <v>2</v>
      </c>
      <c r="B50" s="4" t="s">
        <v>3</v>
      </c>
      <c r="C50" s="5" t="s">
        <v>4</v>
      </c>
      <c r="D50" s="5" t="s">
        <v>5</v>
      </c>
      <c r="E50" s="4" t="s">
        <v>6</v>
      </c>
      <c r="F50" s="5" t="s">
        <v>18</v>
      </c>
      <c r="G50" s="5" t="s">
        <v>7</v>
      </c>
      <c r="H50" s="4" t="s">
        <v>8</v>
      </c>
      <c r="I50" s="4" t="s">
        <v>9</v>
      </c>
      <c r="J50" s="4" t="s">
        <v>10</v>
      </c>
    </row>
    <row r="51" spans="1:10" ht="19.95" customHeight="1" x14ac:dyDescent="0.3">
      <c r="A51" s="4"/>
      <c r="B51" s="4"/>
      <c r="C51" s="6"/>
      <c r="D51" s="6"/>
      <c r="E51" s="7"/>
      <c r="F51" s="4"/>
      <c r="G51" s="4"/>
      <c r="H51" s="8"/>
      <c r="I51" s="9"/>
      <c r="J51" s="8">
        <f t="shared" ref="J51:J56" si="5">H51-I51</f>
        <v>0</v>
      </c>
    </row>
    <row r="52" spans="1:10" ht="19.95" customHeight="1" x14ac:dyDescent="0.3">
      <c r="A52" s="4"/>
      <c r="B52" s="4"/>
      <c r="C52" s="6"/>
      <c r="D52" s="6"/>
      <c r="E52" s="7"/>
      <c r="F52" s="4"/>
      <c r="G52" s="4"/>
      <c r="H52" s="8"/>
      <c r="I52" s="9"/>
      <c r="J52" s="8">
        <f t="shared" si="5"/>
        <v>0</v>
      </c>
    </row>
    <row r="53" spans="1:10" ht="19.95" customHeight="1" x14ac:dyDescent="0.3">
      <c r="A53" s="4"/>
      <c r="B53" s="4"/>
      <c r="C53" s="6"/>
      <c r="D53" s="6"/>
      <c r="E53" s="7"/>
      <c r="F53" s="4"/>
      <c r="G53" s="4"/>
      <c r="H53" s="8"/>
      <c r="I53" s="9"/>
      <c r="J53" s="8">
        <f t="shared" si="5"/>
        <v>0</v>
      </c>
    </row>
    <row r="54" spans="1:10" ht="19.95" customHeight="1" x14ac:dyDescent="0.3">
      <c r="A54" s="4"/>
      <c r="B54" s="4"/>
      <c r="C54" s="6"/>
      <c r="D54" s="6"/>
      <c r="E54" s="7"/>
      <c r="G54" s="8"/>
      <c r="H54" s="8"/>
      <c r="I54" s="9"/>
      <c r="J54" s="8">
        <f t="shared" si="5"/>
        <v>0</v>
      </c>
    </row>
    <row r="55" spans="1:10" ht="19.95" customHeight="1" x14ac:dyDescent="0.3">
      <c r="A55" s="4"/>
      <c r="B55" s="4"/>
      <c r="C55" s="6"/>
      <c r="D55" s="6"/>
      <c r="E55" s="7"/>
      <c r="F55" s="4"/>
      <c r="G55" s="4"/>
      <c r="H55" s="8"/>
      <c r="I55" s="9"/>
      <c r="J55" s="8">
        <f t="shared" si="5"/>
        <v>0</v>
      </c>
    </row>
    <row r="56" spans="1:10" ht="19.95" customHeight="1" x14ac:dyDescent="0.3">
      <c r="A56" s="4"/>
      <c r="B56" s="4"/>
      <c r="C56" s="6"/>
      <c r="D56" s="6"/>
      <c r="E56" s="7"/>
      <c r="F56" s="4"/>
      <c r="G56" s="4"/>
      <c r="H56" s="8"/>
      <c r="I56" s="9"/>
      <c r="J56" s="8">
        <f t="shared" si="5"/>
        <v>0</v>
      </c>
    </row>
    <row r="57" spans="1:10" ht="19.95" customHeight="1" x14ac:dyDescent="0.3">
      <c r="A57" s="10"/>
      <c r="B57" s="10"/>
      <c r="C57" s="10"/>
      <c r="D57" s="10"/>
      <c r="E57" s="11"/>
      <c r="F57" s="10"/>
      <c r="G57" s="12"/>
      <c r="H57" s="8">
        <f>SUM(H51:H56)</f>
        <v>0</v>
      </c>
      <c r="I57" s="9">
        <f>SUM(I51:I56)</f>
        <v>0</v>
      </c>
      <c r="J57" s="8">
        <f>SUM(J51:J56)</f>
        <v>0</v>
      </c>
    </row>
    <row r="58" spans="1:10" ht="19.95" customHeight="1" x14ac:dyDescent="0.3">
      <c r="A58" s="16"/>
      <c r="B58" s="16"/>
      <c r="C58" s="16"/>
      <c r="D58" s="16"/>
      <c r="E58" s="17"/>
      <c r="F58" s="16"/>
      <c r="G58" s="16"/>
      <c r="H58" s="18"/>
      <c r="I58" s="19"/>
      <c r="J58" s="18"/>
    </row>
    <row r="60" spans="1:10" ht="23.4" x14ac:dyDescent="0.3">
      <c r="A60" s="31" t="s">
        <v>11</v>
      </c>
      <c r="B60" s="31"/>
      <c r="C60" s="31"/>
      <c r="D60" s="31"/>
      <c r="E60" s="31"/>
      <c r="F60" s="31"/>
      <c r="G60" s="31"/>
      <c r="H60" s="31"/>
      <c r="I60" s="31"/>
      <c r="J60" s="31"/>
    </row>
  </sheetData>
  <mergeCells count="8">
    <mergeCell ref="A49:J49"/>
    <mergeCell ref="A60:J60"/>
    <mergeCell ref="I1:J1"/>
    <mergeCell ref="A2:J2"/>
    <mergeCell ref="A3:J3"/>
    <mergeCell ref="A14:J14"/>
    <mergeCell ref="A25:J25"/>
    <mergeCell ref="A37:J37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46" orientation="portrait" horizontalDpi="1200" verticalDpi="120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0"/>
  <sheetViews>
    <sheetView zoomScale="70" zoomScaleNormal="70" workbookViewId="0">
      <selection activeCell="M40" sqref="M40"/>
    </sheetView>
  </sheetViews>
  <sheetFormatPr defaultRowHeight="14.4" x14ac:dyDescent="0.3"/>
  <cols>
    <col min="1" max="1" width="15.6640625" style="24" customWidth="1"/>
    <col min="2" max="3" width="12.6640625" style="24" customWidth="1"/>
    <col min="4" max="4" width="15.6640625" style="24" customWidth="1"/>
    <col min="5" max="5" width="80.6640625" style="24" customWidth="1"/>
    <col min="6" max="6" width="22.77734375" style="15" customWidth="1"/>
    <col min="7" max="7" width="12.33203125" style="24" customWidth="1"/>
    <col min="8" max="10" width="15.6640625" style="24" customWidth="1"/>
    <col min="11" max="16384" width="8.88671875" style="24"/>
  </cols>
  <sheetData>
    <row r="1" spans="1:11" s="1" customFormat="1" ht="30" customHeight="1" x14ac:dyDescent="0.3">
      <c r="F1" s="2"/>
      <c r="G1" s="2"/>
      <c r="H1" s="3" t="s">
        <v>0</v>
      </c>
      <c r="I1" s="27">
        <v>45965</v>
      </c>
      <c r="J1" s="27"/>
    </row>
    <row r="2" spans="1:11" ht="40.049999999999997" customHeight="1" x14ac:dyDescent="0.3">
      <c r="A2" s="28" t="s">
        <v>35</v>
      </c>
      <c r="B2" s="29"/>
      <c r="C2" s="29"/>
      <c r="D2" s="29"/>
      <c r="E2" s="29"/>
      <c r="F2" s="29"/>
      <c r="G2" s="29"/>
      <c r="H2" s="29"/>
      <c r="I2" s="29"/>
      <c r="J2" s="30"/>
    </row>
    <row r="3" spans="1:11" ht="30" customHeight="1" x14ac:dyDescent="0.3">
      <c r="A3" s="31" t="s">
        <v>12</v>
      </c>
      <c r="B3" s="31"/>
      <c r="C3" s="31"/>
      <c r="D3" s="31"/>
      <c r="E3" s="31"/>
      <c r="F3" s="31"/>
      <c r="G3" s="31"/>
      <c r="H3" s="31"/>
      <c r="I3" s="31"/>
      <c r="J3" s="31"/>
    </row>
    <row r="4" spans="1:11" ht="30" customHeight="1" x14ac:dyDescent="0.3">
      <c r="A4" s="4" t="s">
        <v>2</v>
      </c>
      <c r="B4" s="4" t="s">
        <v>3</v>
      </c>
      <c r="C4" s="5" t="s">
        <v>4</v>
      </c>
      <c r="D4" s="5" t="s">
        <v>5</v>
      </c>
      <c r="E4" s="4" t="s">
        <v>6</v>
      </c>
      <c r="F4" s="5" t="s">
        <v>17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1" ht="19.95" customHeight="1" x14ac:dyDescent="0.3">
      <c r="A5" s="4">
        <v>230925</v>
      </c>
      <c r="B5" s="4">
        <v>430</v>
      </c>
      <c r="C5" s="6" t="s">
        <v>73</v>
      </c>
      <c r="D5" s="6" t="s">
        <v>74</v>
      </c>
      <c r="E5" s="7" t="s">
        <v>76</v>
      </c>
      <c r="F5" s="4"/>
      <c r="G5" s="4">
        <v>430</v>
      </c>
      <c r="H5" s="8">
        <v>5300</v>
      </c>
      <c r="I5" s="9">
        <f>50+1050+2100+1950</f>
        <v>5150</v>
      </c>
      <c r="J5" s="22">
        <f t="shared" ref="J5:J11" si="0">H5-I5</f>
        <v>150</v>
      </c>
      <c r="K5" s="20"/>
    </row>
    <row r="6" spans="1:11" ht="19.95" customHeight="1" x14ac:dyDescent="0.3">
      <c r="A6" s="4">
        <v>250079</v>
      </c>
      <c r="B6" s="4">
        <v>304</v>
      </c>
      <c r="C6" s="6">
        <v>0.7</v>
      </c>
      <c r="D6" s="6" t="s">
        <v>74</v>
      </c>
      <c r="E6" s="7" t="s">
        <v>77</v>
      </c>
      <c r="F6" s="4"/>
      <c r="G6" s="4">
        <v>304</v>
      </c>
      <c r="H6" s="8">
        <v>964</v>
      </c>
      <c r="I6" s="9">
        <v>270</v>
      </c>
      <c r="J6" s="22">
        <f t="shared" si="0"/>
        <v>694</v>
      </c>
      <c r="K6" s="20"/>
    </row>
    <row r="7" spans="1:11" ht="19.95" customHeight="1" x14ac:dyDescent="0.3">
      <c r="A7" s="4">
        <v>250079</v>
      </c>
      <c r="B7" s="4">
        <v>304</v>
      </c>
      <c r="C7" s="6">
        <v>0.7</v>
      </c>
      <c r="D7" s="6" t="s">
        <v>74</v>
      </c>
      <c r="E7" s="7" t="s">
        <v>78</v>
      </c>
      <c r="F7" s="4"/>
      <c r="G7" s="4">
        <v>304</v>
      </c>
      <c r="H7" s="8">
        <v>36</v>
      </c>
      <c r="I7" s="9"/>
      <c r="J7" s="22">
        <f t="shared" si="0"/>
        <v>36</v>
      </c>
      <c r="K7" s="20"/>
    </row>
    <row r="8" spans="1:11" ht="19.95" customHeight="1" x14ac:dyDescent="0.3">
      <c r="A8" s="4">
        <v>250080</v>
      </c>
      <c r="B8" s="4">
        <v>304</v>
      </c>
      <c r="C8" s="6">
        <v>0.7</v>
      </c>
      <c r="D8" s="6" t="s">
        <v>74</v>
      </c>
      <c r="E8" s="7" t="s">
        <v>79</v>
      </c>
      <c r="F8" s="4"/>
      <c r="G8" s="4">
        <v>430</v>
      </c>
      <c r="H8" s="8">
        <v>1000</v>
      </c>
      <c r="I8" s="9"/>
      <c r="J8" s="22">
        <f t="shared" si="0"/>
        <v>1000</v>
      </c>
      <c r="K8" s="20"/>
    </row>
    <row r="9" spans="1:11" ht="19.95" customHeight="1" x14ac:dyDescent="0.3">
      <c r="A9" s="4">
        <v>250079</v>
      </c>
      <c r="B9" s="4">
        <v>304</v>
      </c>
      <c r="C9" s="6">
        <v>0.7</v>
      </c>
      <c r="D9" s="6" t="s">
        <v>74</v>
      </c>
      <c r="E9" s="7" t="s">
        <v>80</v>
      </c>
      <c r="F9" s="4"/>
      <c r="G9" s="4">
        <v>304</v>
      </c>
      <c r="H9" s="8">
        <v>1314</v>
      </c>
      <c r="I9" s="9"/>
      <c r="J9" s="22">
        <f t="shared" si="0"/>
        <v>1314</v>
      </c>
      <c r="K9" s="20"/>
    </row>
    <row r="10" spans="1:11" ht="19.95" customHeight="1" x14ac:dyDescent="0.3">
      <c r="A10" s="4">
        <v>250079</v>
      </c>
      <c r="B10" s="4">
        <v>304</v>
      </c>
      <c r="C10" s="6">
        <v>0.7</v>
      </c>
      <c r="D10" s="6" t="s">
        <v>74</v>
      </c>
      <c r="E10" s="7" t="s">
        <v>81</v>
      </c>
      <c r="F10" s="4"/>
      <c r="G10" s="4">
        <v>304</v>
      </c>
      <c r="H10" s="8">
        <v>36</v>
      </c>
      <c r="I10" s="9"/>
      <c r="J10" s="22">
        <f t="shared" si="0"/>
        <v>36</v>
      </c>
      <c r="K10" s="20"/>
    </row>
    <row r="11" spans="1:11" ht="19.95" customHeight="1" x14ac:dyDescent="0.3">
      <c r="A11" s="4"/>
      <c r="B11" s="4"/>
      <c r="C11" s="6"/>
      <c r="D11" s="6"/>
      <c r="E11" s="7"/>
      <c r="F11" s="4"/>
      <c r="G11" s="4"/>
      <c r="H11" s="8"/>
      <c r="I11" s="9"/>
      <c r="J11" s="8">
        <f t="shared" si="0"/>
        <v>0</v>
      </c>
    </row>
    <row r="12" spans="1:11" ht="19.95" customHeight="1" x14ac:dyDescent="0.3">
      <c r="A12" s="10"/>
      <c r="B12" s="10"/>
      <c r="C12" s="10"/>
      <c r="D12" s="10"/>
      <c r="E12" s="11"/>
      <c r="F12" s="10"/>
      <c r="G12" s="12"/>
      <c r="H12" s="13">
        <f>SUM(H5:H11)</f>
        <v>8650</v>
      </c>
      <c r="I12" s="14">
        <f>SUM(I5:I11)</f>
        <v>5420</v>
      </c>
      <c r="J12" s="8">
        <f>SUM(J5:J11)</f>
        <v>3230</v>
      </c>
    </row>
    <row r="14" spans="1:11" ht="30" customHeight="1" x14ac:dyDescent="0.3">
      <c r="A14" s="31" t="s">
        <v>15</v>
      </c>
      <c r="B14" s="31"/>
      <c r="C14" s="31"/>
      <c r="D14" s="31"/>
      <c r="E14" s="31"/>
      <c r="F14" s="31"/>
      <c r="G14" s="31"/>
      <c r="H14" s="31"/>
      <c r="I14" s="31"/>
      <c r="J14" s="31"/>
    </row>
    <row r="15" spans="1:11" ht="30" customHeight="1" x14ac:dyDescent="0.3">
      <c r="A15" s="4" t="s">
        <v>2</v>
      </c>
      <c r="B15" s="4" t="s">
        <v>3</v>
      </c>
      <c r="C15" s="5" t="s">
        <v>4</v>
      </c>
      <c r="D15" s="5" t="s">
        <v>5</v>
      </c>
      <c r="E15" s="4" t="s">
        <v>6</v>
      </c>
      <c r="F15" s="5" t="s">
        <v>17</v>
      </c>
      <c r="G15" s="5" t="s">
        <v>7</v>
      </c>
      <c r="H15" s="4" t="s">
        <v>8</v>
      </c>
      <c r="I15" s="4" t="s">
        <v>9</v>
      </c>
      <c r="J15" s="4" t="s">
        <v>10</v>
      </c>
    </row>
    <row r="16" spans="1:11" ht="19.95" customHeight="1" x14ac:dyDescent="0.3">
      <c r="A16" s="4">
        <v>230925</v>
      </c>
      <c r="B16" s="4">
        <v>430</v>
      </c>
      <c r="C16" s="6" t="s">
        <v>73</v>
      </c>
      <c r="D16" s="6" t="s">
        <v>74</v>
      </c>
      <c r="E16" s="7" t="s">
        <v>76</v>
      </c>
      <c r="F16" s="4"/>
      <c r="G16" s="4">
        <v>430</v>
      </c>
      <c r="H16" s="8">
        <v>5300</v>
      </c>
      <c r="I16" s="9">
        <f>715+2000+1900</f>
        <v>4615</v>
      </c>
      <c r="J16" s="8">
        <f t="shared" ref="J16:J22" si="1">H16-I16</f>
        <v>685</v>
      </c>
    </row>
    <row r="17" spans="1:10" ht="19.95" customHeight="1" x14ac:dyDescent="0.3">
      <c r="A17" s="4">
        <v>250079</v>
      </c>
      <c r="B17" s="4">
        <v>304</v>
      </c>
      <c r="C17" s="6">
        <v>0.7</v>
      </c>
      <c r="D17" s="6" t="s">
        <v>74</v>
      </c>
      <c r="E17" s="7" t="s">
        <v>77</v>
      </c>
      <c r="F17" s="4"/>
      <c r="G17" s="4">
        <v>304</v>
      </c>
      <c r="H17" s="8">
        <v>964</v>
      </c>
      <c r="I17" s="9"/>
      <c r="J17" s="8">
        <f t="shared" si="1"/>
        <v>964</v>
      </c>
    </row>
    <row r="18" spans="1:10" ht="19.95" customHeight="1" x14ac:dyDescent="0.3">
      <c r="A18" s="4">
        <v>250079</v>
      </c>
      <c r="B18" s="4">
        <v>304</v>
      </c>
      <c r="C18" s="6">
        <v>0.7</v>
      </c>
      <c r="D18" s="6" t="s">
        <v>74</v>
      </c>
      <c r="E18" s="7" t="s">
        <v>78</v>
      </c>
      <c r="F18" s="4"/>
      <c r="G18" s="4">
        <v>304</v>
      </c>
      <c r="H18" s="8">
        <v>36</v>
      </c>
      <c r="I18" s="9"/>
      <c r="J18" s="8">
        <f t="shared" si="1"/>
        <v>36</v>
      </c>
    </row>
    <row r="19" spans="1:10" ht="19.95" customHeight="1" x14ac:dyDescent="0.3">
      <c r="A19" s="4">
        <v>250080</v>
      </c>
      <c r="B19" s="4">
        <v>304</v>
      </c>
      <c r="C19" s="6">
        <v>0.7</v>
      </c>
      <c r="D19" s="6" t="s">
        <v>74</v>
      </c>
      <c r="E19" s="7" t="s">
        <v>79</v>
      </c>
      <c r="F19" s="4"/>
      <c r="G19" s="4">
        <v>430</v>
      </c>
      <c r="H19" s="8">
        <v>1000</v>
      </c>
      <c r="I19" s="9"/>
      <c r="J19" s="8">
        <f t="shared" si="1"/>
        <v>1000</v>
      </c>
    </row>
    <row r="20" spans="1:10" ht="19.95" customHeight="1" x14ac:dyDescent="0.3">
      <c r="A20" s="4">
        <v>250079</v>
      </c>
      <c r="B20" s="4">
        <v>304</v>
      </c>
      <c r="C20" s="6">
        <v>0.7</v>
      </c>
      <c r="D20" s="6" t="s">
        <v>74</v>
      </c>
      <c r="E20" s="7" t="s">
        <v>80</v>
      </c>
      <c r="F20" s="4"/>
      <c r="G20" s="4">
        <v>304</v>
      </c>
      <c r="H20" s="8">
        <v>1314</v>
      </c>
      <c r="I20" s="9"/>
      <c r="J20" s="8">
        <f t="shared" si="1"/>
        <v>1314</v>
      </c>
    </row>
    <row r="21" spans="1:10" ht="19.95" customHeight="1" x14ac:dyDescent="0.3">
      <c r="A21" s="4">
        <v>250079</v>
      </c>
      <c r="B21" s="4">
        <v>304</v>
      </c>
      <c r="C21" s="6">
        <v>0.7</v>
      </c>
      <c r="D21" s="6" t="s">
        <v>74</v>
      </c>
      <c r="E21" s="7" t="s">
        <v>81</v>
      </c>
      <c r="F21" s="4"/>
      <c r="G21" s="4">
        <v>304</v>
      </c>
      <c r="H21" s="8">
        <v>36</v>
      </c>
      <c r="I21" s="9"/>
      <c r="J21" s="8">
        <f t="shared" si="1"/>
        <v>36</v>
      </c>
    </row>
    <row r="22" spans="1:10" ht="19.95" customHeight="1" x14ac:dyDescent="0.3">
      <c r="A22" s="4"/>
      <c r="B22" s="4"/>
      <c r="C22" s="6"/>
      <c r="D22" s="6"/>
      <c r="E22" s="7"/>
      <c r="F22" s="4"/>
      <c r="G22" s="8"/>
      <c r="H22" s="8"/>
      <c r="I22" s="9"/>
      <c r="J22" s="8">
        <f t="shared" si="1"/>
        <v>0</v>
      </c>
    </row>
    <row r="23" spans="1:10" ht="19.95" customHeight="1" x14ac:dyDescent="0.3">
      <c r="A23" s="10"/>
      <c r="B23" s="10"/>
      <c r="C23" s="10"/>
      <c r="D23" s="10"/>
      <c r="E23" s="11"/>
      <c r="F23" s="10"/>
      <c r="G23" s="12"/>
      <c r="H23" s="8">
        <f>SUM(H16:H22)</f>
        <v>8650</v>
      </c>
      <c r="I23" s="9">
        <f>SUM(I16:I22)</f>
        <v>4615</v>
      </c>
      <c r="J23" s="8">
        <f>SUM(J16:J22)</f>
        <v>4035</v>
      </c>
    </row>
    <row r="24" spans="1:10" ht="19.95" customHeight="1" x14ac:dyDescent="0.3">
      <c r="A24" s="16"/>
      <c r="B24" s="16"/>
      <c r="C24" s="16"/>
      <c r="D24" s="16"/>
      <c r="E24" s="17"/>
      <c r="F24" s="16"/>
      <c r="G24" s="16"/>
      <c r="H24" s="18"/>
      <c r="I24" s="19"/>
      <c r="J24" s="18"/>
    </row>
    <row r="25" spans="1:10" ht="30" customHeight="1" x14ac:dyDescent="0.3">
      <c r="A25" s="31" t="s">
        <v>13</v>
      </c>
      <c r="B25" s="31"/>
      <c r="C25" s="31"/>
      <c r="D25" s="31"/>
      <c r="E25" s="31"/>
      <c r="F25" s="31"/>
      <c r="G25" s="31"/>
      <c r="H25" s="31"/>
      <c r="I25" s="31"/>
      <c r="J25" s="31"/>
    </row>
    <row r="26" spans="1:10" ht="30" customHeight="1" x14ac:dyDescent="0.3">
      <c r="A26" s="4" t="s">
        <v>2</v>
      </c>
      <c r="B26" s="4" t="s">
        <v>3</v>
      </c>
      <c r="C26" s="5" t="s">
        <v>4</v>
      </c>
      <c r="D26" s="5" t="s">
        <v>5</v>
      </c>
      <c r="E26" s="4" t="s">
        <v>6</v>
      </c>
      <c r="F26" s="5" t="s">
        <v>17</v>
      </c>
      <c r="G26" s="5" t="s">
        <v>7</v>
      </c>
      <c r="H26" s="4" t="s">
        <v>8</v>
      </c>
      <c r="I26" s="4" t="s">
        <v>9</v>
      </c>
      <c r="J26" s="4" t="s">
        <v>10</v>
      </c>
    </row>
    <row r="27" spans="1:10" ht="19.95" customHeight="1" x14ac:dyDescent="0.3">
      <c r="A27" s="4">
        <v>230925</v>
      </c>
      <c r="B27" s="4">
        <v>430</v>
      </c>
      <c r="C27" s="6" t="s">
        <v>73</v>
      </c>
      <c r="D27" s="6" t="s">
        <v>74</v>
      </c>
      <c r="E27" s="7" t="s">
        <v>75</v>
      </c>
      <c r="F27" s="4"/>
      <c r="G27" s="4">
        <v>430</v>
      </c>
      <c r="H27" s="8">
        <v>6000</v>
      </c>
      <c r="I27" s="9">
        <f>1500+1000+1800+1100</f>
        <v>5400</v>
      </c>
      <c r="J27" s="8">
        <f t="shared" ref="J27:J34" si="2">H27-I27</f>
        <v>600</v>
      </c>
    </row>
    <row r="28" spans="1:10" ht="19.95" customHeight="1" x14ac:dyDescent="0.3">
      <c r="A28" s="4">
        <v>230925</v>
      </c>
      <c r="B28" s="4">
        <v>430</v>
      </c>
      <c r="C28" s="6" t="s">
        <v>73</v>
      </c>
      <c r="D28" s="6" t="s">
        <v>74</v>
      </c>
      <c r="E28" s="7" t="s">
        <v>76</v>
      </c>
      <c r="F28" s="4"/>
      <c r="G28" s="4">
        <v>430</v>
      </c>
      <c r="H28" s="8">
        <v>5300</v>
      </c>
      <c r="I28" s="9">
        <v>750</v>
      </c>
      <c r="J28" s="8">
        <f t="shared" si="2"/>
        <v>4550</v>
      </c>
    </row>
    <row r="29" spans="1:10" ht="19.95" customHeight="1" x14ac:dyDescent="0.3">
      <c r="A29" s="4">
        <v>250079</v>
      </c>
      <c r="B29" s="4">
        <v>304</v>
      </c>
      <c r="C29" s="6">
        <v>0.7</v>
      </c>
      <c r="D29" s="6" t="s">
        <v>74</v>
      </c>
      <c r="E29" s="7" t="s">
        <v>77</v>
      </c>
      <c r="F29" s="4"/>
      <c r="G29" s="4">
        <v>304</v>
      </c>
      <c r="H29" s="8">
        <v>964</v>
      </c>
      <c r="I29" s="9"/>
      <c r="J29" s="8">
        <f t="shared" si="2"/>
        <v>964</v>
      </c>
    </row>
    <row r="30" spans="1:10" ht="19.95" customHeight="1" x14ac:dyDescent="0.3">
      <c r="A30" s="4">
        <v>250079</v>
      </c>
      <c r="B30" s="4">
        <v>304</v>
      </c>
      <c r="C30" s="6">
        <v>0.7</v>
      </c>
      <c r="D30" s="6" t="s">
        <v>74</v>
      </c>
      <c r="E30" s="7" t="s">
        <v>78</v>
      </c>
      <c r="F30" s="4"/>
      <c r="G30" s="4">
        <v>304</v>
      </c>
      <c r="H30" s="8">
        <v>36</v>
      </c>
      <c r="I30" s="9"/>
      <c r="J30" s="8">
        <f t="shared" si="2"/>
        <v>36</v>
      </c>
    </row>
    <row r="31" spans="1:10" ht="19.95" customHeight="1" x14ac:dyDescent="0.3">
      <c r="A31" s="4">
        <v>250080</v>
      </c>
      <c r="B31" s="4">
        <v>304</v>
      </c>
      <c r="C31" s="6">
        <v>0.7</v>
      </c>
      <c r="D31" s="6" t="s">
        <v>74</v>
      </c>
      <c r="E31" s="7" t="s">
        <v>79</v>
      </c>
      <c r="F31" s="4"/>
      <c r="G31" s="4">
        <v>430</v>
      </c>
      <c r="H31" s="8">
        <v>1000</v>
      </c>
      <c r="I31" s="9"/>
      <c r="J31" s="8">
        <f t="shared" si="2"/>
        <v>1000</v>
      </c>
    </row>
    <row r="32" spans="1:10" ht="19.95" customHeight="1" x14ac:dyDescent="0.3">
      <c r="A32" s="4">
        <v>250079</v>
      </c>
      <c r="B32" s="4">
        <v>304</v>
      </c>
      <c r="C32" s="6">
        <v>0.7</v>
      </c>
      <c r="D32" s="6" t="s">
        <v>74</v>
      </c>
      <c r="E32" s="7" t="s">
        <v>80</v>
      </c>
      <c r="F32" s="4"/>
      <c r="G32" s="4">
        <v>304</v>
      </c>
      <c r="H32" s="8">
        <v>1314</v>
      </c>
      <c r="I32" s="9"/>
      <c r="J32" s="8">
        <f t="shared" si="2"/>
        <v>1314</v>
      </c>
    </row>
    <row r="33" spans="1:10" ht="19.95" customHeight="1" x14ac:dyDescent="0.3">
      <c r="A33" s="4">
        <v>250079</v>
      </c>
      <c r="B33" s="4">
        <v>304</v>
      </c>
      <c r="C33" s="6">
        <v>0.7</v>
      </c>
      <c r="D33" s="6" t="s">
        <v>74</v>
      </c>
      <c r="E33" s="7" t="s">
        <v>81</v>
      </c>
      <c r="F33" s="4"/>
      <c r="G33" s="4">
        <v>304</v>
      </c>
      <c r="H33" s="8">
        <v>36</v>
      </c>
      <c r="I33" s="9"/>
      <c r="J33" s="8">
        <f t="shared" si="2"/>
        <v>36</v>
      </c>
    </row>
    <row r="34" spans="1:10" ht="19.95" customHeight="1" x14ac:dyDescent="0.3">
      <c r="A34" s="4"/>
      <c r="B34" s="4"/>
      <c r="C34" s="6"/>
      <c r="D34" s="6"/>
      <c r="E34" s="7"/>
      <c r="F34" s="4"/>
      <c r="G34" s="8"/>
      <c r="H34" s="8"/>
      <c r="I34" s="9"/>
      <c r="J34" s="8">
        <f t="shared" si="2"/>
        <v>0</v>
      </c>
    </row>
    <row r="35" spans="1:10" ht="19.95" customHeight="1" x14ac:dyDescent="0.3">
      <c r="A35" s="10"/>
      <c r="B35" s="10"/>
      <c r="C35" s="10"/>
      <c r="D35" s="10"/>
      <c r="E35" s="11"/>
      <c r="F35" s="10"/>
      <c r="G35" s="12"/>
      <c r="H35" s="8">
        <f>SUM(H27:H34)</f>
        <v>14650</v>
      </c>
      <c r="I35" s="9">
        <f>SUM(I27:I34)</f>
        <v>6150</v>
      </c>
      <c r="J35" s="8">
        <f>SUM(J27:J34)</f>
        <v>8500</v>
      </c>
    </row>
    <row r="36" spans="1:10" ht="19.95" customHeight="1" x14ac:dyDescent="0.3">
      <c r="A36" s="16"/>
      <c r="B36" s="16"/>
      <c r="C36" s="16"/>
      <c r="D36" s="16"/>
      <c r="E36" s="17"/>
      <c r="F36" s="16"/>
      <c r="G36" s="16"/>
      <c r="H36" s="18"/>
      <c r="I36" s="19"/>
      <c r="J36" s="18"/>
    </row>
    <row r="37" spans="1:10" ht="30" customHeight="1" x14ac:dyDescent="0.3">
      <c r="A37" s="31" t="s">
        <v>14</v>
      </c>
      <c r="B37" s="31"/>
      <c r="C37" s="31"/>
      <c r="D37" s="31"/>
      <c r="E37" s="31"/>
      <c r="F37" s="31"/>
      <c r="G37" s="31"/>
      <c r="H37" s="31"/>
      <c r="I37" s="31"/>
      <c r="J37" s="31"/>
    </row>
    <row r="38" spans="1:10" ht="30" customHeight="1" x14ac:dyDescent="0.3">
      <c r="A38" s="4" t="s">
        <v>2</v>
      </c>
      <c r="B38" s="4" t="s">
        <v>3</v>
      </c>
      <c r="C38" s="5" t="s">
        <v>4</v>
      </c>
      <c r="D38" s="5" t="s">
        <v>5</v>
      </c>
      <c r="E38" s="4" t="s">
        <v>6</v>
      </c>
      <c r="F38" s="5" t="s">
        <v>17</v>
      </c>
      <c r="G38" s="5" t="s">
        <v>7</v>
      </c>
      <c r="H38" s="4" t="s">
        <v>8</v>
      </c>
      <c r="I38" s="4" t="s">
        <v>9</v>
      </c>
      <c r="J38" s="4" t="s">
        <v>10</v>
      </c>
    </row>
    <row r="39" spans="1:10" ht="19.95" customHeight="1" x14ac:dyDescent="0.3">
      <c r="A39" s="4">
        <v>230925</v>
      </c>
      <c r="B39" s="4">
        <v>430</v>
      </c>
      <c r="C39" s="6" t="s">
        <v>73</v>
      </c>
      <c r="D39" s="6" t="s">
        <v>74</v>
      </c>
      <c r="E39" s="7" t="s">
        <v>75</v>
      </c>
      <c r="F39" s="4"/>
      <c r="G39" s="4">
        <v>430</v>
      </c>
      <c r="H39" s="8">
        <v>6000</v>
      </c>
      <c r="I39" s="9">
        <f>1250+2150+2050</f>
        <v>5450</v>
      </c>
      <c r="J39" s="8">
        <f t="shared" ref="J39:J46" si="3">H39-I39</f>
        <v>550</v>
      </c>
    </row>
    <row r="40" spans="1:10" ht="19.95" customHeight="1" x14ac:dyDescent="0.3">
      <c r="A40" s="4">
        <v>230925</v>
      </c>
      <c r="B40" s="4">
        <v>430</v>
      </c>
      <c r="C40" s="6" t="s">
        <v>73</v>
      </c>
      <c r="D40" s="6" t="s">
        <v>74</v>
      </c>
      <c r="E40" s="7" t="s">
        <v>76</v>
      </c>
      <c r="F40" s="4"/>
      <c r="G40" s="4">
        <v>430</v>
      </c>
      <c r="H40" s="8">
        <v>5300</v>
      </c>
      <c r="I40" s="9"/>
      <c r="J40" s="8">
        <f>H40-I40</f>
        <v>5300</v>
      </c>
    </row>
    <row r="41" spans="1:10" ht="19.95" customHeight="1" x14ac:dyDescent="0.3">
      <c r="A41" s="4">
        <v>250079</v>
      </c>
      <c r="B41" s="4">
        <v>304</v>
      </c>
      <c r="C41" s="6">
        <v>0.7</v>
      </c>
      <c r="D41" s="6" t="s">
        <v>74</v>
      </c>
      <c r="E41" s="7" t="s">
        <v>77</v>
      </c>
      <c r="F41" s="4"/>
      <c r="G41" s="4">
        <v>304</v>
      </c>
      <c r="H41" s="8">
        <v>964</v>
      </c>
      <c r="I41" s="9"/>
      <c r="J41" s="8">
        <f t="shared" ref="J41:J45" si="4">H41-I41</f>
        <v>964</v>
      </c>
    </row>
    <row r="42" spans="1:10" ht="19.95" customHeight="1" x14ac:dyDescent="0.3">
      <c r="A42" s="4">
        <v>250079</v>
      </c>
      <c r="B42" s="4">
        <v>304</v>
      </c>
      <c r="C42" s="6">
        <v>0.7</v>
      </c>
      <c r="D42" s="6" t="s">
        <v>74</v>
      </c>
      <c r="E42" s="7" t="s">
        <v>78</v>
      </c>
      <c r="F42" s="4"/>
      <c r="G42" s="4">
        <v>304</v>
      </c>
      <c r="H42" s="8">
        <v>36</v>
      </c>
      <c r="I42" s="9"/>
      <c r="J42" s="8">
        <f t="shared" si="4"/>
        <v>36</v>
      </c>
    </row>
    <row r="43" spans="1:10" ht="19.95" customHeight="1" x14ac:dyDescent="0.3">
      <c r="A43" s="4">
        <v>250080</v>
      </c>
      <c r="B43" s="4">
        <v>304</v>
      </c>
      <c r="C43" s="6">
        <v>0.7</v>
      </c>
      <c r="D43" s="6" t="s">
        <v>74</v>
      </c>
      <c r="E43" s="7" t="s">
        <v>79</v>
      </c>
      <c r="F43" s="4"/>
      <c r="G43" s="4">
        <v>430</v>
      </c>
      <c r="H43" s="8">
        <v>1000</v>
      </c>
      <c r="I43" s="9"/>
      <c r="J43" s="8">
        <f t="shared" si="4"/>
        <v>1000</v>
      </c>
    </row>
    <row r="44" spans="1:10" ht="19.95" customHeight="1" x14ac:dyDescent="0.3">
      <c r="A44" s="4">
        <v>250079</v>
      </c>
      <c r="B44" s="4">
        <v>304</v>
      </c>
      <c r="C44" s="6">
        <v>0.7</v>
      </c>
      <c r="D44" s="6" t="s">
        <v>74</v>
      </c>
      <c r="E44" s="7" t="s">
        <v>80</v>
      </c>
      <c r="F44" s="4"/>
      <c r="G44" s="4">
        <v>304</v>
      </c>
      <c r="H44" s="8">
        <v>1314</v>
      </c>
      <c r="I44" s="9"/>
      <c r="J44" s="8">
        <f t="shared" si="4"/>
        <v>1314</v>
      </c>
    </row>
    <row r="45" spans="1:10" ht="19.95" customHeight="1" x14ac:dyDescent="0.3">
      <c r="A45" s="4">
        <v>250079</v>
      </c>
      <c r="B45" s="4">
        <v>304</v>
      </c>
      <c r="C45" s="6">
        <v>0.7</v>
      </c>
      <c r="D45" s="6" t="s">
        <v>74</v>
      </c>
      <c r="E45" s="7" t="s">
        <v>81</v>
      </c>
      <c r="F45" s="4"/>
      <c r="G45" s="4">
        <v>304</v>
      </c>
      <c r="H45" s="8">
        <v>36</v>
      </c>
      <c r="I45" s="9"/>
      <c r="J45" s="8">
        <f t="shared" si="4"/>
        <v>36</v>
      </c>
    </row>
    <row r="46" spans="1:10" ht="19.95" customHeight="1" x14ac:dyDescent="0.3">
      <c r="A46" s="4"/>
      <c r="B46" s="4"/>
      <c r="C46" s="6"/>
      <c r="D46" s="6"/>
      <c r="E46" s="7"/>
      <c r="F46" s="4"/>
      <c r="G46" s="4"/>
      <c r="H46" s="8"/>
      <c r="I46" s="9"/>
      <c r="J46" s="8">
        <f t="shared" si="3"/>
        <v>0</v>
      </c>
    </row>
    <row r="47" spans="1:10" ht="19.95" customHeight="1" x14ac:dyDescent="0.3">
      <c r="A47" s="10"/>
      <c r="B47" s="10"/>
      <c r="C47" s="10"/>
      <c r="D47" s="10"/>
      <c r="E47" s="11"/>
      <c r="F47" s="10"/>
      <c r="G47" s="12"/>
      <c r="H47" s="8">
        <f>SUM(H39:H46)</f>
        <v>14650</v>
      </c>
      <c r="I47" s="9">
        <f>SUM(I39:I46)</f>
        <v>5450</v>
      </c>
      <c r="J47" s="8">
        <f>SUM(J39:J46)</f>
        <v>9200</v>
      </c>
    </row>
    <row r="48" spans="1:10" ht="19.95" customHeight="1" x14ac:dyDescent="0.3">
      <c r="A48" s="16"/>
      <c r="B48" s="16"/>
      <c r="C48" s="16"/>
      <c r="D48" s="16"/>
      <c r="E48" s="17"/>
      <c r="F48" s="16"/>
      <c r="G48" s="16"/>
      <c r="H48" s="18"/>
      <c r="I48" s="19"/>
      <c r="J48" s="18"/>
    </row>
    <row r="49" spans="1:10" ht="30" customHeight="1" x14ac:dyDescent="0.3">
      <c r="A49" s="31" t="s">
        <v>16</v>
      </c>
      <c r="B49" s="31"/>
      <c r="C49" s="31"/>
      <c r="D49" s="31"/>
      <c r="E49" s="31"/>
      <c r="F49" s="31"/>
      <c r="G49" s="31"/>
      <c r="H49" s="31"/>
      <c r="I49" s="31"/>
      <c r="J49" s="31"/>
    </row>
    <row r="50" spans="1:10" ht="30" customHeight="1" x14ac:dyDescent="0.3">
      <c r="A50" s="4" t="s">
        <v>2</v>
      </c>
      <c r="B50" s="4" t="s">
        <v>3</v>
      </c>
      <c r="C50" s="5" t="s">
        <v>4</v>
      </c>
      <c r="D50" s="5" t="s">
        <v>5</v>
      </c>
      <c r="E50" s="4" t="s">
        <v>6</v>
      </c>
      <c r="F50" s="5" t="s">
        <v>18</v>
      </c>
      <c r="G50" s="5" t="s">
        <v>7</v>
      </c>
      <c r="H50" s="4" t="s">
        <v>8</v>
      </c>
      <c r="I50" s="4" t="s">
        <v>9</v>
      </c>
      <c r="J50" s="4" t="s">
        <v>10</v>
      </c>
    </row>
    <row r="51" spans="1:10" ht="19.95" customHeight="1" x14ac:dyDescent="0.3">
      <c r="A51" s="4"/>
      <c r="B51" s="4"/>
      <c r="C51" s="6"/>
      <c r="D51" s="6"/>
      <c r="E51" s="7"/>
      <c r="F51" s="4"/>
      <c r="G51" s="4"/>
      <c r="H51" s="8"/>
      <c r="I51" s="9"/>
      <c r="J51" s="8">
        <f t="shared" ref="J51:J56" si="5">H51-I51</f>
        <v>0</v>
      </c>
    </row>
    <row r="52" spans="1:10" ht="19.95" customHeight="1" x14ac:dyDescent="0.3">
      <c r="A52" s="4"/>
      <c r="B52" s="4"/>
      <c r="C52" s="6"/>
      <c r="D52" s="6"/>
      <c r="E52" s="7"/>
      <c r="F52" s="4"/>
      <c r="G52" s="4"/>
      <c r="H52" s="8"/>
      <c r="I52" s="9"/>
      <c r="J52" s="8">
        <f t="shared" si="5"/>
        <v>0</v>
      </c>
    </row>
    <row r="53" spans="1:10" ht="19.95" customHeight="1" x14ac:dyDescent="0.3">
      <c r="A53" s="4"/>
      <c r="B53" s="4"/>
      <c r="C53" s="6"/>
      <c r="D53" s="6"/>
      <c r="E53" s="7"/>
      <c r="F53" s="4"/>
      <c r="G53" s="4"/>
      <c r="H53" s="8"/>
      <c r="I53" s="9"/>
      <c r="J53" s="8">
        <f t="shared" si="5"/>
        <v>0</v>
      </c>
    </row>
    <row r="54" spans="1:10" ht="19.95" customHeight="1" x14ac:dyDescent="0.3">
      <c r="A54" s="4"/>
      <c r="B54" s="4"/>
      <c r="C54" s="6"/>
      <c r="D54" s="6"/>
      <c r="E54" s="7"/>
      <c r="G54" s="8"/>
      <c r="H54" s="8"/>
      <c r="I54" s="9"/>
      <c r="J54" s="8">
        <f t="shared" si="5"/>
        <v>0</v>
      </c>
    </row>
    <row r="55" spans="1:10" ht="19.95" customHeight="1" x14ac:dyDescent="0.3">
      <c r="A55" s="4"/>
      <c r="B55" s="4"/>
      <c r="C55" s="6"/>
      <c r="D55" s="6"/>
      <c r="E55" s="7"/>
      <c r="F55" s="4"/>
      <c r="G55" s="4"/>
      <c r="H55" s="8"/>
      <c r="I55" s="9"/>
      <c r="J55" s="8">
        <f t="shared" si="5"/>
        <v>0</v>
      </c>
    </row>
    <row r="56" spans="1:10" ht="19.95" customHeight="1" x14ac:dyDescent="0.3">
      <c r="A56" s="4"/>
      <c r="B56" s="4"/>
      <c r="C56" s="6"/>
      <c r="D56" s="6"/>
      <c r="E56" s="7"/>
      <c r="F56" s="4"/>
      <c r="G56" s="4"/>
      <c r="H56" s="8"/>
      <c r="I56" s="9"/>
      <c r="J56" s="8">
        <f t="shared" si="5"/>
        <v>0</v>
      </c>
    </row>
    <row r="57" spans="1:10" ht="19.95" customHeight="1" x14ac:dyDescent="0.3">
      <c r="A57" s="10"/>
      <c r="B57" s="10"/>
      <c r="C57" s="10"/>
      <c r="D57" s="10"/>
      <c r="E57" s="11"/>
      <c r="F57" s="10"/>
      <c r="G57" s="12"/>
      <c r="H57" s="8">
        <f>SUM(H51:H56)</f>
        <v>0</v>
      </c>
      <c r="I57" s="9">
        <f>SUM(I51:I56)</f>
        <v>0</v>
      </c>
      <c r="J57" s="8">
        <f>SUM(J51:J56)</f>
        <v>0</v>
      </c>
    </row>
    <row r="58" spans="1:10" ht="19.95" customHeight="1" x14ac:dyDescent="0.3">
      <c r="A58" s="16"/>
      <c r="B58" s="16"/>
      <c r="C58" s="16"/>
      <c r="D58" s="16"/>
      <c r="E58" s="17"/>
      <c r="F58" s="16"/>
      <c r="G58" s="16"/>
      <c r="H58" s="18"/>
      <c r="I58" s="19"/>
      <c r="J58" s="18"/>
    </row>
    <row r="60" spans="1:10" ht="23.4" x14ac:dyDescent="0.3">
      <c r="A60" s="31" t="s">
        <v>11</v>
      </c>
      <c r="B60" s="31"/>
      <c r="C60" s="31"/>
      <c r="D60" s="31"/>
      <c r="E60" s="31"/>
      <c r="F60" s="31"/>
      <c r="G60" s="31"/>
      <c r="H60" s="31"/>
      <c r="I60" s="31"/>
      <c r="J60" s="31"/>
    </row>
  </sheetData>
  <mergeCells count="8">
    <mergeCell ref="A49:J49"/>
    <mergeCell ref="A60:J60"/>
    <mergeCell ref="I1:J1"/>
    <mergeCell ref="A2:J2"/>
    <mergeCell ref="A3:J3"/>
    <mergeCell ref="A14:J14"/>
    <mergeCell ref="A25:J25"/>
    <mergeCell ref="A37:J37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46" orientation="portrait" horizontalDpi="1200" verticalDpi="120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9"/>
  <sheetViews>
    <sheetView topLeftCell="A19" zoomScale="70" zoomScaleNormal="70" workbookViewId="0">
      <selection activeCell="I40" sqref="I40"/>
    </sheetView>
  </sheetViews>
  <sheetFormatPr defaultRowHeight="14.4" x14ac:dyDescent="0.3"/>
  <cols>
    <col min="1" max="1" width="15.6640625" style="24" customWidth="1"/>
    <col min="2" max="3" width="12.6640625" style="24" customWidth="1"/>
    <col min="4" max="4" width="15.6640625" style="24" customWidth="1"/>
    <col min="5" max="5" width="80.6640625" style="24" customWidth="1"/>
    <col min="6" max="6" width="22.77734375" style="15" customWidth="1"/>
    <col min="7" max="7" width="12.33203125" style="24" customWidth="1"/>
    <col min="8" max="10" width="15.6640625" style="24" customWidth="1"/>
    <col min="11" max="16384" width="8.88671875" style="24"/>
  </cols>
  <sheetData>
    <row r="1" spans="1:11" s="1" customFormat="1" ht="30" customHeight="1" x14ac:dyDescent="0.3">
      <c r="F1" s="2"/>
      <c r="G1" s="2"/>
      <c r="H1" s="3" t="s">
        <v>0</v>
      </c>
      <c r="I1" s="27">
        <v>45966</v>
      </c>
      <c r="J1" s="27"/>
    </row>
    <row r="2" spans="1:11" ht="40.049999999999997" customHeight="1" x14ac:dyDescent="0.3">
      <c r="A2" s="28" t="s">
        <v>36</v>
      </c>
      <c r="B2" s="29"/>
      <c r="C2" s="29"/>
      <c r="D2" s="29"/>
      <c r="E2" s="29"/>
      <c r="F2" s="29"/>
      <c r="G2" s="29"/>
      <c r="H2" s="29"/>
      <c r="I2" s="29"/>
      <c r="J2" s="30"/>
    </row>
    <row r="3" spans="1:11" ht="30" customHeight="1" x14ac:dyDescent="0.3">
      <c r="A3" s="31" t="s">
        <v>12</v>
      </c>
      <c r="B3" s="31"/>
      <c r="C3" s="31"/>
      <c r="D3" s="31"/>
      <c r="E3" s="31"/>
      <c r="F3" s="31"/>
      <c r="G3" s="31"/>
      <c r="H3" s="31"/>
      <c r="I3" s="31"/>
      <c r="J3" s="31"/>
    </row>
    <row r="4" spans="1:11" ht="30" customHeight="1" x14ac:dyDescent="0.3">
      <c r="A4" s="4" t="s">
        <v>2</v>
      </c>
      <c r="B4" s="4" t="s">
        <v>3</v>
      </c>
      <c r="C4" s="5" t="s">
        <v>4</v>
      </c>
      <c r="D4" s="5" t="s">
        <v>5</v>
      </c>
      <c r="E4" s="4" t="s">
        <v>6</v>
      </c>
      <c r="F4" s="5" t="s">
        <v>17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1" ht="19.95" customHeight="1" x14ac:dyDescent="0.3">
      <c r="A5" s="4">
        <v>250079</v>
      </c>
      <c r="B5" s="4">
        <v>304</v>
      </c>
      <c r="C5" s="6">
        <v>0.7</v>
      </c>
      <c r="D5" s="6" t="s">
        <v>74</v>
      </c>
      <c r="E5" s="7" t="s">
        <v>77</v>
      </c>
      <c r="F5" s="4"/>
      <c r="G5" s="4">
        <v>304</v>
      </c>
      <c r="H5" s="8">
        <v>964</v>
      </c>
      <c r="I5" s="9">
        <f>270+749</f>
        <v>1019</v>
      </c>
      <c r="J5" s="22">
        <f t="shared" ref="J5:J10" si="0">H5-I5</f>
        <v>-55</v>
      </c>
      <c r="K5" s="20"/>
    </row>
    <row r="6" spans="1:11" ht="19.95" customHeight="1" x14ac:dyDescent="0.3">
      <c r="A6" s="4">
        <v>250079</v>
      </c>
      <c r="B6" s="4">
        <v>304</v>
      </c>
      <c r="C6" s="6">
        <v>0.7</v>
      </c>
      <c r="D6" s="6" t="s">
        <v>74</v>
      </c>
      <c r="E6" s="7" t="s">
        <v>78</v>
      </c>
      <c r="F6" s="4"/>
      <c r="G6" s="4">
        <v>304</v>
      </c>
      <c r="H6" s="8">
        <v>36</v>
      </c>
      <c r="I6" s="9">
        <v>36</v>
      </c>
      <c r="J6" s="22">
        <f t="shared" si="0"/>
        <v>0</v>
      </c>
      <c r="K6" s="20"/>
    </row>
    <row r="7" spans="1:11" ht="19.95" customHeight="1" x14ac:dyDescent="0.3">
      <c r="A7" s="4">
        <v>250080</v>
      </c>
      <c r="B7" s="4">
        <v>304</v>
      </c>
      <c r="C7" s="6">
        <v>0.7</v>
      </c>
      <c r="D7" s="6" t="s">
        <v>74</v>
      </c>
      <c r="E7" s="7" t="s">
        <v>79</v>
      </c>
      <c r="F7" s="4"/>
      <c r="G7" s="4">
        <v>430</v>
      </c>
      <c r="H7" s="8">
        <v>1000</v>
      </c>
      <c r="I7" s="9">
        <v>1000</v>
      </c>
      <c r="J7" s="22">
        <f t="shared" si="0"/>
        <v>0</v>
      </c>
      <c r="K7" s="20"/>
    </row>
    <row r="8" spans="1:11" ht="19.95" customHeight="1" x14ac:dyDescent="0.3">
      <c r="A8" s="4">
        <v>250079</v>
      </c>
      <c r="B8" s="4">
        <v>304</v>
      </c>
      <c r="C8" s="6">
        <v>0.7</v>
      </c>
      <c r="D8" s="6" t="s">
        <v>74</v>
      </c>
      <c r="E8" s="7" t="s">
        <v>80</v>
      </c>
      <c r="F8" s="4"/>
      <c r="G8" s="4">
        <v>304</v>
      </c>
      <c r="H8" s="8">
        <v>1314</v>
      </c>
      <c r="I8" s="9">
        <v>400</v>
      </c>
      <c r="J8" s="22">
        <f t="shared" si="0"/>
        <v>914</v>
      </c>
      <c r="K8" s="20"/>
    </row>
    <row r="9" spans="1:11" ht="19.95" customHeight="1" x14ac:dyDescent="0.3">
      <c r="A9" s="4">
        <v>250079</v>
      </c>
      <c r="B9" s="4">
        <v>304</v>
      </c>
      <c r="C9" s="6">
        <v>0.7</v>
      </c>
      <c r="D9" s="6" t="s">
        <v>74</v>
      </c>
      <c r="E9" s="7" t="s">
        <v>81</v>
      </c>
      <c r="F9" s="4"/>
      <c r="G9" s="4">
        <v>304</v>
      </c>
      <c r="H9" s="8">
        <v>36</v>
      </c>
      <c r="I9" s="9"/>
      <c r="J9" s="22">
        <f t="shared" si="0"/>
        <v>36</v>
      </c>
      <c r="K9" s="20"/>
    </row>
    <row r="10" spans="1:11" ht="19.95" customHeight="1" x14ac:dyDescent="0.3">
      <c r="A10" s="4"/>
      <c r="B10" s="4"/>
      <c r="C10" s="6"/>
      <c r="D10" s="6"/>
      <c r="E10" s="7"/>
      <c r="F10" s="4"/>
      <c r="G10" s="4"/>
      <c r="H10" s="8"/>
      <c r="I10" s="9"/>
      <c r="J10" s="8">
        <f t="shared" si="0"/>
        <v>0</v>
      </c>
    </row>
    <row r="11" spans="1:11" ht="19.95" customHeight="1" x14ac:dyDescent="0.3">
      <c r="A11" s="10"/>
      <c r="B11" s="10"/>
      <c r="C11" s="10"/>
      <c r="D11" s="10"/>
      <c r="E11" s="11"/>
      <c r="F11" s="10"/>
      <c r="G11" s="12"/>
      <c r="H11" s="13">
        <f>SUM(H5:H10)</f>
        <v>3350</v>
      </c>
      <c r="I11" s="14">
        <f>SUM(I5:I10)</f>
        <v>2455</v>
      </c>
      <c r="J11" s="8">
        <f>SUM(J5:J10)</f>
        <v>895</v>
      </c>
    </row>
    <row r="13" spans="1:11" ht="30" customHeight="1" x14ac:dyDescent="0.3">
      <c r="A13" s="31" t="s">
        <v>15</v>
      </c>
      <c r="B13" s="31"/>
      <c r="C13" s="31"/>
      <c r="D13" s="31"/>
      <c r="E13" s="31"/>
      <c r="F13" s="31"/>
      <c r="G13" s="31"/>
      <c r="H13" s="31"/>
      <c r="I13" s="31"/>
      <c r="J13" s="31"/>
    </row>
    <row r="14" spans="1:11" ht="30" customHeight="1" x14ac:dyDescent="0.3">
      <c r="A14" s="4" t="s">
        <v>2</v>
      </c>
      <c r="B14" s="4" t="s">
        <v>3</v>
      </c>
      <c r="C14" s="5" t="s">
        <v>4</v>
      </c>
      <c r="D14" s="5" t="s">
        <v>5</v>
      </c>
      <c r="E14" s="4" t="s">
        <v>6</v>
      </c>
      <c r="F14" s="5" t="s">
        <v>17</v>
      </c>
      <c r="G14" s="5" t="s">
        <v>7</v>
      </c>
      <c r="H14" s="4" t="s">
        <v>8</v>
      </c>
      <c r="I14" s="4" t="s">
        <v>9</v>
      </c>
      <c r="J14" s="4" t="s">
        <v>10</v>
      </c>
    </row>
    <row r="15" spans="1:11" ht="19.95" customHeight="1" x14ac:dyDescent="0.3">
      <c r="A15" s="4">
        <v>230925</v>
      </c>
      <c r="B15" s="4">
        <v>430</v>
      </c>
      <c r="C15" s="6" t="s">
        <v>73</v>
      </c>
      <c r="D15" s="6" t="s">
        <v>74</v>
      </c>
      <c r="E15" s="7" t="s">
        <v>76</v>
      </c>
      <c r="F15" s="4"/>
      <c r="G15" s="4">
        <v>430</v>
      </c>
      <c r="H15" s="8">
        <v>5300</v>
      </c>
      <c r="I15" s="9">
        <f>715+2000+1900+535</f>
        <v>5150</v>
      </c>
      <c r="J15" s="8">
        <f t="shared" ref="J15:J21" si="1">H15-I15</f>
        <v>150</v>
      </c>
    </row>
    <row r="16" spans="1:11" ht="19.95" customHeight="1" x14ac:dyDescent="0.3">
      <c r="A16" s="4">
        <v>250079</v>
      </c>
      <c r="B16" s="4">
        <v>304</v>
      </c>
      <c r="C16" s="6">
        <v>0.7</v>
      </c>
      <c r="D16" s="6" t="s">
        <v>74</v>
      </c>
      <c r="E16" s="7" t="s">
        <v>77</v>
      </c>
      <c r="F16" s="4"/>
      <c r="G16" s="4">
        <v>304</v>
      </c>
      <c r="H16" s="8">
        <v>964</v>
      </c>
      <c r="I16" s="9">
        <v>1014</v>
      </c>
      <c r="J16" s="8">
        <f t="shared" si="1"/>
        <v>-50</v>
      </c>
    </row>
    <row r="17" spans="1:10" ht="19.95" customHeight="1" x14ac:dyDescent="0.3">
      <c r="A17" s="4">
        <v>250079</v>
      </c>
      <c r="B17" s="4">
        <v>304</v>
      </c>
      <c r="C17" s="6">
        <v>0.7</v>
      </c>
      <c r="D17" s="6" t="s">
        <v>74</v>
      </c>
      <c r="E17" s="7" t="s">
        <v>78</v>
      </c>
      <c r="F17" s="4"/>
      <c r="G17" s="4">
        <v>304</v>
      </c>
      <c r="H17" s="8">
        <v>36</v>
      </c>
      <c r="I17" s="9">
        <v>36</v>
      </c>
      <c r="J17" s="8">
        <f t="shared" si="1"/>
        <v>0</v>
      </c>
    </row>
    <row r="18" spans="1:10" ht="19.95" customHeight="1" x14ac:dyDescent="0.3">
      <c r="A18" s="4">
        <v>250080</v>
      </c>
      <c r="B18" s="4">
        <v>304</v>
      </c>
      <c r="C18" s="6">
        <v>0.7</v>
      </c>
      <c r="D18" s="6" t="s">
        <v>74</v>
      </c>
      <c r="E18" s="7" t="s">
        <v>79</v>
      </c>
      <c r="F18" s="4"/>
      <c r="G18" s="4">
        <v>430</v>
      </c>
      <c r="H18" s="8">
        <v>1000</v>
      </c>
      <c r="I18" s="9"/>
      <c r="J18" s="8">
        <f t="shared" si="1"/>
        <v>1000</v>
      </c>
    </row>
    <row r="19" spans="1:10" ht="19.95" customHeight="1" x14ac:dyDescent="0.3">
      <c r="A19" s="4">
        <v>250079</v>
      </c>
      <c r="B19" s="4">
        <v>304</v>
      </c>
      <c r="C19" s="6">
        <v>0.7</v>
      </c>
      <c r="D19" s="6" t="s">
        <v>74</v>
      </c>
      <c r="E19" s="7" t="s">
        <v>80</v>
      </c>
      <c r="F19" s="4"/>
      <c r="G19" s="4">
        <v>304</v>
      </c>
      <c r="H19" s="8">
        <v>1314</v>
      </c>
      <c r="I19" s="9"/>
      <c r="J19" s="8">
        <f t="shared" si="1"/>
        <v>1314</v>
      </c>
    </row>
    <row r="20" spans="1:10" ht="19.95" customHeight="1" x14ac:dyDescent="0.3">
      <c r="A20" s="4">
        <v>250079</v>
      </c>
      <c r="B20" s="4">
        <v>304</v>
      </c>
      <c r="C20" s="6">
        <v>0.7</v>
      </c>
      <c r="D20" s="6" t="s">
        <v>74</v>
      </c>
      <c r="E20" s="7" t="s">
        <v>81</v>
      </c>
      <c r="F20" s="4"/>
      <c r="G20" s="4">
        <v>304</v>
      </c>
      <c r="H20" s="8">
        <v>36</v>
      </c>
      <c r="I20" s="9"/>
      <c r="J20" s="8">
        <f t="shared" si="1"/>
        <v>36</v>
      </c>
    </row>
    <row r="21" spans="1:10" ht="19.95" customHeight="1" x14ac:dyDescent="0.3">
      <c r="A21" s="4"/>
      <c r="B21" s="4"/>
      <c r="C21" s="6"/>
      <c r="D21" s="6"/>
      <c r="E21" s="7"/>
      <c r="F21" s="4"/>
      <c r="G21" s="8"/>
      <c r="H21" s="8"/>
      <c r="I21" s="9"/>
      <c r="J21" s="8">
        <f t="shared" si="1"/>
        <v>0</v>
      </c>
    </row>
    <row r="22" spans="1:10" ht="19.95" customHeight="1" x14ac:dyDescent="0.3">
      <c r="A22" s="10"/>
      <c r="B22" s="10"/>
      <c r="C22" s="10"/>
      <c r="D22" s="10"/>
      <c r="E22" s="11"/>
      <c r="F22" s="10"/>
      <c r="G22" s="12"/>
      <c r="H22" s="8">
        <f>SUM(H15:H21)</f>
        <v>8650</v>
      </c>
      <c r="I22" s="9">
        <f>SUM(I15:I21)</f>
        <v>6200</v>
      </c>
      <c r="J22" s="8">
        <f>SUM(J15:J21)</f>
        <v>2450</v>
      </c>
    </row>
    <row r="23" spans="1:10" ht="19.95" customHeight="1" x14ac:dyDescent="0.3">
      <c r="A23" s="16"/>
      <c r="B23" s="16"/>
      <c r="C23" s="16"/>
      <c r="D23" s="16"/>
      <c r="E23" s="17"/>
      <c r="F23" s="16"/>
      <c r="G23" s="16"/>
      <c r="H23" s="18"/>
      <c r="I23" s="19"/>
      <c r="J23" s="18"/>
    </row>
    <row r="24" spans="1:10" ht="30" customHeight="1" x14ac:dyDescent="0.3">
      <c r="A24" s="31" t="s">
        <v>13</v>
      </c>
      <c r="B24" s="31"/>
      <c r="C24" s="31"/>
      <c r="D24" s="31"/>
      <c r="E24" s="31"/>
      <c r="F24" s="31"/>
      <c r="G24" s="31"/>
      <c r="H24" s="31"/>
      <c r="I24" s="31"/>
      <c r="J24" s="31"/>
    </row>
    <row r="25" spans="1:10" ht="30" customHeight="1" x14ac:dyDescent="0.3">
      <c r="A25" s="4" t="s">
        <v>2</v>
      </c>
      <c r="B25" s="4" t="s">
        <v>3</v>
      </c>
      <c r="C25" s="5" t="s">
        <v>4</v>
      </c>
      <c r="D25" s="5" t="s">
        <v>5</v>
      </c>
      <c r="E25" s="4" t="s">
        <v>6</v>
      </c>
      <c r="F25" s="5" t="s">
        <v>17</v>
      </c>
      <c r="G25" s="5" t="s">
        <v>7</v>
      </c>
      <c r="H25" s="4" t="s">
        <v>8</v>
      </c>
      <c r="I25" s="4" t="s">
        <v>9</v>
      </c>
      <c r="J25" s="4" t="s">
        <v>10</v>
      </c>
    </row>
    <row r="26" spans="1:10" ht="19.95" customHeight="1" x14ac:dyDescent="0.3">
      <c r="A26" s="4">
        <v>230925</v>
      </c>
      <c r="B26" s="4">
        <v>430</v>
      </c>
      <c r="C26" s="6" t="s">
        <v>73</v>
      </c>
      <c r="D26" s="6" t="s">
        <v>74</v>
      </c>
      <c r="E26" s="7" t="s">
        <v>75</v>
      </c>
      <c r="F26" s="4"/>
      <c r="G26" s="4">
        <v>430</v>
      </c>
      <c r="H26" s="8">
        <v>6000</v>
      </c>
      <c r="I26" s="9">
        <f>1500+1000+1800+1100</f>
        <v>5400</v>
      </c>
      <c r="J26" s="8">
        <f t="shared" ref="J26:J33" si="2">H26-I26</f>
        <v>600</v>
      </c>
    </row>
    <row r="27" spans="1:10" ht="19.95" customHeight="1" x14ac:dyDescent="0.3">
      <c r="A27" s="4">
        <v>230925</v>
      </c>
      <c r="B27" s="4">
        <v>430</v>
      </c>
      <c r="C27" s="6" t="s">
        <v>73</v>
      </c>
      <c r="D27" s="6" t="s">
        <v>74</v>
      </c>
      <c r="E27" s="7" t="s">
        <v>76</v>
      </c>
      <c r="F27" s="4"/>
      <c r="G27" s="4">
        <v>430</v>
      </c>
      <c r="H27" s="8">
        <v>5300</v>
      </c>
      <c r="I27" s="9">
        <f>750+2900</f>
        <v>3650</v>
      </c>
      <c r="J27" s="8">
        <f t="shared" si="2"/>
        <v>1650</v>
      </c>
    </row>
    <row r="28" spans="1:10" ht="19.95" customHeight="1" x14ac:dyDescent="0.3">
      <c r="A28" s="4">
        <v>250079</v>
      </c>
      <c r="B28" s="4">
        <v>304</v>
      </c>
      <c r="C28" s="6">
        <v>0.7</v>
      </c>
      <c r="D28" s="6" t="s">
        <v>74</v>
      </c>
      <c r="E28" s="7" t="s">
        <v>77</v>
      </c>
      <c r="F28" s="4"/>
      <c r="G28" s="4">
        <v>304</v>
      </c>
      <c r="H28" s="8">
        <v>964</v>
      </c>
      <c r="I28" s="9"/>
      <c r="J28" s="8">
        <f t="shared" si="2"/>
        <v>964</v>
      </c>
    </row>
    <row r="29" spans="1:10" ht="19.95" customHeight="1" x14ac:dyDescent="0.3">
      <c r="A29" s="4">
        <v>250079</v>
      </c>
      <c r="B29" s="4">
        <v>304</v>
      </c>
      <c r="C29" s="6">
        <v>0.7</v>
      </c>
      <c r="D29" s="6" t="s">
        <v>74</v>
      </c>
      <c r="E29" s="7" t="s">
        <v>78</v>
      </c>
      <c r="F29" s="4"/>
      <c r="G29" s="4">
        <v>304</v>
      </c>
      <c r="H29" s="8">
        <v>36</v>
      </c>
      <c r="I29" s="9"/>
      <c r="J29" s="8">
        <f t="shared" si="2"/>
        <v>36</v>
      </c>
    </row>
    <row r="30" spans="1:10" ht="19.95" customHeight="1" x14ac:dyDescent="0.3">
      <c r="A30" s="4">
        <v>250080</v>
      </c>
      <c r="B30" s="4">
        <v>304</v>
      </c>
      <c r="C30" s="6">
        <v>0.7</v>
      </c>
      <c r="D30" s="6" t="s">
        <v>74</v>
      </c>
      <c r="E30" s="7" t="s">
        <v>79</v>
      </c>
      <c r="F30" s="4"/>
      <c r="G30" s="4">
        <v>430</v>
      </c>
      <c r="H30" s="8">
        <v>1000</v>
      </c>
      <c r="I30" s="9"/>
      <c r="J30" s="8">
        <f t="shared" si="2"/>
        <v>1000</v>
      </c>
    </row>
    <row r="31" spans="1:10" ht="19.95" customHeight="1" x14ac:dyDescent="0.3">
      <c r="A31" s="4">
        <v>250079</v>
      </c>
      <c r="B31" s="4">
        <v>304</v>
      </c>
      <c r="C31" s="6">
        <v>0.7</v>
      </c>
      <c r="D31" s="6" t="s">
        <v>74</v>
      </c>
      <c r="E31" s="7" t="s">
        <v>80</v>
      </c>
      <c r="F31" s="4"/>
      <c r="G31" s="4">
        <v>304</v>
      </c>
      <c r="H31" s="8">
        <v>1314</v>
      </c>
      <c r="I31" s="9"/>
      <c r="J31" s="8">
        <f t="shared" si="2"/>
        <v>1314</v>
      </c>
    </row>
    <row r="32" spans="1:10" ht="19.95" customHeight="1" x14ac:dyDescent="0.3">
      <c r="A32" s="4">
        <v>250079</v>
      </c>
      <c r="B32" s="4">
        <v>304</v>
      </c>
      <c r="C32" s="6">
        <v>0.7</v>
      </c>
      <c r="D32" s="6" t="s">
        <v>74</v>
      </c>
      <c r="E32" s="7" t="s">
        <v>81</v>
      </c>
      <c r="F32" s="4"/>
      <c r="G32" s="4">
        <v>304</v>
      </c>
      <c r="H32" s="8">
        <v>36</v>
      </c>
      <c r="I32" s="9"/>
      <c r="J32" s="8">
        <f t="shared" si="2"/>
        <v>36</v>
      </c>
    </row>
    <row r="33" spans="1:10" ht="19.95" customHeight="1" x14ac:dyDescent="0.3">
      <c r="A33" s="4"/>
      <c r="B33" s="4"/>
      <c r="C33" s="6"/>
      <c r="D33" s="6"/>
      <c r="E33" s="7"/>
      <c r="F33" s="4"/>
      <c r="G33" s="8"/>
      <c r="H33" s="8"/>
      <c r="I33" s="9"/>
      <c r="J33" s="8">
        <f t="shared" si="2"/>
        <v>0</v>
      </c>
    </row>
    <row r="34" spans="1:10" ht="19.95" customHeight="1" x14ac:dyDescent="0.3">
      <c r="A34" s="10"/>
      <c r="B34" s="10"/>
      <c r="C34" s="10"/>
      <c r="D34" s="10"/>
      <c r="E34" s="11"/>
      <c r="F34" s="10"/>
      <c r="G34" s="12"/>
      <c r="H34" s="8">
        <f>SUM(H26:H33)</f>
        <v>14650</v>
      </c>
      <c r="I34" s="9">
        <f>SUM(I26:I33)</f>
        <v>9050</v>
      </c>
      <c r="J34" s="8">
        <f>SUM(J26:J33)</f>
        <v>5600</v>
      </c>
    </row>
    <row r="35" spans="1:10" ht="19.95" customHeight="1" x14ac:dyDescent="0.3">
      <c r="A35" s="16"/>
      <c r="B35" s="16"/>
      <c r="C35" s="16"/>
      <c r="D35" s="16"/>
      <c r="E35" s="17"/>
      <c r="F35" s="16"/>
      <c r="G35" s="16"/>
      <c r="H35" s="18"/>
      <c r="I35" s="19"/>
      <c r="J35" s="18"/>
    </row>
    <row r="36" spans="1:10" ht="30" customHeight="1" x14ac:dyDescent="0.3">
      <c r="A36" s="31" t="s">
        <v>14</v>
      </c>
      <c r="B36" s="31"/>
      <c r="C36" s="31"/>
      <c r="D36" s="31"/>
      <c r="E36" s="31"/>
      <c r="F36" s="31"/>
      <c r="G36" s="31"/>
      <c r="H36" s="31"/>
      <c r="I36" s="31"/>
      <c r="J36" s="31"/>
    </row>
    <row r="37" spans="1:10" ht="30" customHeight="1" x14ac:dyDescent="0.3">
      <c r="A37" s="4" t="s">
        <v>2</v>
      </c>
      <c r="B37" s="4" t="s">
        <v>3</v>
      </c>
      <c r="C37" s="5" t="s">
        <v>4</v>
      </c>
      <c r="D37" s="5" t="s">
        <v>5</v>
      </c>
      <c r="E37" s="4" t="s">
        <v>6</v>
      </c>
      <c r="F37" s="5" t="s">
        <v>17</v>
      </c>
      <c r="G37" s="5" t="s">
        <v>7</v>
      </c>
      <c r="H37" s="4" t="s">
        <v>8</v>
      </c>
      <c r="I37" s="4" t="s">
        <v>9</v>
      </c>
      <c r="J37" s="4" t="s">
        <v>10</v>
      </c>
    </row>
    <row r="38" spans="1:10" ht="19.95" customHeight="1" x14ac:dyDescent="0.3">
      <c r="A38" s="4">
        <v>230925</v>
      </c>
      <c r="B38" s="4">
        <v>430</v>
      </c>
      <c r="C38" s="6" t="s">
        <v>73</v>
      </c>
      <c r="D38" s="6" t="s">
        <v>74</v>
      </c>
      <c r="E38" s="7" t="s">
        <v>75</v>
      </c>
      <c r="F38" s="4"/>
      <c r="G38" s="4">
        <v>430</v>
      </c>
      <c r="H38" s="8">
        <v>6000</v>
      </c>
      <c r="I38" s="9">
        <f>1250+2150+2050+215</f>
        <v>5665</v>
      </c>
      <c r="J38" s="8">
        <f t="shared" ref="J38:J45" si="3">H38-I38</f>
        <v>335</v>
      </c>
    </row>
    <row r="39" spans="1:10" ht="19.95" customHeight="1" x14ac:dyDescent="0.3">
      <c r="A39" s="4">
        <v>230925</v>
      </c>
      <c r="B39" s="4">
        <v>430</v>
      </c>
      <c r="C39" s="6" t="s">
        <v>73</v>
      </c>
      <c r="D39" s="6" t="s">
        <v>74</v>
      </c>
      <c r="E39" s="7" t="s">
        <v>76</v>
      </c>
      <c r="F39" s="4"/>
      <c r="G39" s="4">
        <v>430</v>
      </c>
      <c r="H39" s="8">
        <v>5300</v>
      </c>
      <c r="I39" s="9">
        <v>2185</v>
      </c>
      <c r="J39" s="8">
        <f>H39-I39</f>
        <v>3115</v>
      </c>
    </row>
    <row r="40" spans="1:10" ht="19.95" customHeight="1" x14ac:dyDescent="0.3">
      <c r="A40" s="4">
        <v>250079</v>
      </c>
      <c r="B40" s="4">
        <v>304</v>
      </c>
      <c r="C40" s="6">
        <v>0.7</v>
      </c>
      <c r="D40" s="6" t="s">
        <v>74</v>
      </c>
      <c r="E40" s="7" t="s">
        <v>77</v>
      </c>
      <c r="F40" s="4"/>
      <c r="G40" s="4">
        <v>304</v>
      </c>
      <c r="H40" s="8">
        <v>964</v>
      </c>
      <c r="I40" s="9"/>
      <c r="J40" s="8">
        <f t="shared" ref="J40:J44" si="4">H40-I40</f>
        <v>964</v>
      </c>
    </row>
    <row r="41" spans="1:10" ht="19.95" customHeight="1" x14ac:dyDescent="0.3">
      <c r="A41" s="4">
        <v>250079</v>
      </c>
      <c r="B41" s="4">
        <v>304</v>
      </c>
      <c r="C41" s="6">
        <v>0.7</v>
      </c>
      <c r="D41" s="6" t="s">
        <v>74</v>
      </c>
      <c r="E41" s="7" t="s">
        <v>78</v>
      </c>
      <c r="F41" s="4"/>
      <c r="G41" s="4">
        <v>304</v>
      </c>
      <c r="H41" s="8">
        <v>36</v>
      </c>
      <c r="I41" s="9"/>
      <c r="J41" s="8">
        <f t="shared" si="4"/>
        <v>36</v>
      </c>
    </row>
    <row r="42" spans="1:10" ht="19.95" customHeight="1" x14ac:dyDescent="0.3">
      <c r="A42" s="4">
        <v>250080</v>
      </c>
      <c r="B42" s="4">
        <v>304</v>
      </c>
      <c r="C42" s="6">
        <v>0.7</v>
      </c>
      <c r="D42" s="6" t="s">
        <v>74</v>
      </c>
      <c r="E42" s="7" t="s">
        <v>79</v>
      </c>
      <c r="F42" s="4"/>
      <c r="G42" s="4">
        <v>430</v>
      </c>
      <c r="H42" s="8">
        <v>1000</v>
      </c>
      <c r="I42" s="9"/>
      <c r="J42" s="8">
        <f t="shared" si="4"/>
        <v>1000</v>
      </c>
    </row>
    <row r="43" spans="1:10" ht="19.95" customHeight="1" x14ac:dyDescent="0.3">
      <c r="A43" s="4">
        <v>250079</v>
      </c>
      <c r="B43" s="4">
        <v>304</v>
      </c>
      <c r="C43" s="6">
        <v>0.7</v>
      </c>
      <c r="D43" s="6" t="s">
        <v>74</v>
      </c>
      <c r="E43" s="7" t="s">
        <v>80</v>
      </c>
      <c r="F43" s="4"/>
      <c r="G43" s="4">
        <v>304</v>
      </c>
      <c r="H43" s="8">
        <v>1314</v>
      </c>
      <c r="I43" s="9"/>
      <c r="J43" s="8">
        <f t="shared" si="4"/>
        <v>1314</v>
      </c>
    </row>
    <row r="44" spans="1:10" ht="19.95" customHeight="1" x14ac:dyDescent="0.3">
      <c r="A44" s="4">
        <v>250079</v>
      </c>
      <c r="B44" s="4">
        <v>304</v>
      </c>
      <c r="C44" s="6">
        <v>0.7</v>
      </c>
      <c r="D44" s="6" t="s">
        <v>74</v>
      </c>
      <c r="E44" s="7" t="s">
        <v>81</v>
      </c>
      <c r="F44" s="4"/>
      <c r="G44" s="4">
        <v>304</v>
      </c>
      <c r="H44" s="8">
        <v>36</v>
      </c>
      <c r="I44" s="9"/>
      <c r="J44" s="8">
        <f t="shared" si="4"/>
        <v>36</v>
      </c>
    </row>
    <row r="45" spans="1:10" ht="19.95" customHeight="1" x14ac:dyDescent="0.3">
      <c r="A45" s="4"/>
      <c r="B45" s="4"/>
      <c r="C45" s="6"/>
      <c r="D45" s="6"/>
      <c r="E45" s="7"/>
      <c r="F45" s="4"/>
      <c r="G45" s="4"/>
      <c r="H45" s="8"/>
      <c r="I45" s="9"/>
      <c r="J45" s="8">
        <f t="shared" si="3"/>
        <v>0</v>
      </c>
    </row>
    <row r="46" spans="1:10" ht="19.95" customHeight="1" x14ac:dyDescent="0.3">
      <c r="A46" s="10"/>
      <c r="B46" s="10"/>
      <c r="C46" s="10"/>
      <c r="D46" s="10"/>
      <c r="E46" s="11"/>
      <c r="F46" s="10"/>
      <c r="G46" s="12"/>
      <c r="H46" s="8">
        <f>SUM(H38:H45)</f>
        <v>14650</v>
      </c>
      <c r="I46" s="9">
        <f>SUM(I38:I45)</f>
        <v>7850</v>
      </c>
      <c r="J46" s="8">
        <f>SUM(J38:J45)</f>
        <v>6800</v>
      </c>
    </row>
    <row r="47" spans="1:10" ht="19.95" customHeight="1" x14ac:dyDescent="0.3">
      <c r="A47" s="16"/>
      <c r="B47" s="16"/>
      <c r="C47" s="16"/>
      <c r="D47" s="16"/>
      <c r="E47" s="17"/>
      <c r="F47" s="16"/>
      <c r="G47" s="16"/>
      <c r="H47" s="18"/>
      <c r="I47" s="19"/>
      <c r="J47" s="18"/>
    </row>
    <row r="48" spans="1:10" ht="30" customHeight="1" x14ac:dyDescent="0.3">
      <c r="A48" s="31" t="s">
        <v>16</v>
      </c>
      <c r="B48" s="31"/>
      <c r="C48" s="31"/>
      <c r="D48" s="31"/>
      <c r="E48" s="31"/>
      <c r="F48" s="31"/>
      <c r="G48" s="31"/>
      <c r="H48" s="31"/>
      <c r="I48" s="31"/>
      <c r="J48" s="31"/>
    </row>
    <row r="49" spans="1:10" ht="30" customHeight="1" x14ac:dyDescent="0.3">
      <c r="A49" s="4" t="s">
        <v>2</v>
      </c>
      <c r="B49" s="4" t="s">
        <v>3</v>
      </c>
      <c r="C49" s="5" t="s">
        <v>4</v>
      </c>
      <c r="D49" s="5" t="s">
        <v>5</v>
      </c>
      <c r="E49" s="4" t="s">
        <v>6</v>
      </c>
      <c r="F49" s="5" t="s">
        <v>18</v>
      </c>
      <c r="G49" s="5" t="s">
        <v>7</v>
      </c>
      <c r="H49" s="4" t="s">
        <v>8</v>
      </c>
      <c r="I49" s="4" t="s">
        <v>9</v>
      </c>
      <c r="J49" s="4" t="s">
        <v>10</v>
      </c>
    </row>
    <row r="50" spans="1:10" ht="19.95" customHeight="1" x14ac:dyDescent="0.3">
      <c r="A50" s="4"/>
      <c r="B50" s="4"/>
      <c r="C50" s="6"/>
      <c r="D50" s="6"/>
      <c r="E50" s="7"/>
      <c r="F50" s="4"/>
      <c r="G50" s="4"/>
      <c r="H50" s="8"/>
      <c r="I50" s="9"/>
      <c r="J50" s="8">
        <f t="shared" ref="J50:J55" si="5">H50-I50</f>
        <v>0</v>
      </c>
    </row>
    <row r="51" spans="1:10" ht="19.95" customHeight="1" x14ac:dyDescent="0.3">
      <c r="A51" s="4"/>
      <c r="B51" s="4"/>
      <c r="C51" s="6"/>
      <c r="D51" s="6"/>
      <c r="E51" s="7"/>
      <c r="F51" s="4"/>
      <c r="G51" s="4"/>
      <c r="H51" s="8"/>
      <c r="I51" s="9"/>
      <c r="J51" s="8">
        <f t="shared" si="5"/>
        <v>0</v>
      </c>
    </row>
    <row r="52" spans="1:10" ht="19.95" customHeight="1" x14ac:dyDescent="0.3">
      <c r="A52" s="4"/>
      <c r="B52" s="4"/>
      <c r="C52" s="6"/>
      <c r="D52" s="6"/>
      <c r="E52" s="7"/>
      <c r="F52" s="4"/>
      <c r="G52" s="4"/>
      <c r="H52" s="8"/>
      <c r="I52" s="9"/>
      <c r="J52" s="8">
        <f t="shared" si="5"/>
        <v>0</v>
      </c>
    </row>
    <row r="53" spans="1:10" ht="19.95" customHeight="1" x14ac:dyDescent="0.3">
      <c r="A53" s="4"/>
      <c r="B53" s="4"/>
      <c r="C53" s="6"/>
      <c r="D53" s="6"/>
      <c r="E53" s="7"/>
      <c r="G53" s="8"/>
      <c r="H53" s="8"/>
      <c r="I53" s="9"/>
      <c r="J53" s="8">
        <f t="shared" si="5"/>
        <v>0</v>
      </c>
    </row>
    <row r="54" spans="1:10" ht="19.95" customHeight="1" x14ac:dyDescent="0.3">
      <c r="A54" s="4"/>
      <c r="B54" s="4"/>
      <c r="C54" s="6"/>
      <c r="D54" s="6"/>
      <c r="E54" s="7"/>
      <c r="F54" s="4"/>
      <c r="G54" s="4"/>
      <c r="H54" s="8"/>
      <c r="I54" s="9"/>
      <c r="J54" s="8">
        <f t="shared" si="5"/>
        <v>0</v>
      </c>
    </row>
    <row r="55" spans="1:10" ht="19.95" customHeight="1" x14ac:dyDescent="0.3">
      <c r="A55" s="4"/>
      <c r="B55" s="4"/>
      <c r="C55" s="6"/>
      <c r="D55" s="6"/>
      <c r="E55" s="7"/>
      <c r="F55" s="4"/>
      <c r="G55" s="4"/>
      <c r="H55" s="8"/>
      <c r="I55" s="9"/>
      <c r="J55" s="8">
        <f t="shared" si="5"/>
        <v>0</v>
      </c>
    </row>
    <row r="56" spans="1:10" ht="19.95" customHeight="1" x14ac:dyDescent="0.3">
      <c r="A56" s="10"/>
      <c r="B56" s="10"/>
      <c r="C56" s="10"/>
      <c r="D56" s="10"/>
      <c r="E56" s="11"/>
      <c r="F56" s="10"/>
      <c r="G56" s="12"/>
      <c r="H56" s="8">
        <f>SUM(H50:H55)</f>
        <v>0</v>
      </c>
      <c r="I56" s="9">
        <f>SUM(I50:I55)</f>
        <v>0</v>
      </c>
      <c r="J56" s="8">
        <f>SUM(J50:J55)</f>
        <v>0</v>
      </c>
    </row>
    <row r="57" spans="1:10" ht="19.95" customHeight="1" x14ac:dyDescent="0.3">
      <c r="A57" s="16"/>
      <c r="B57" s="16"/>
      <c r="C57" s="16"/>
      <c r="D57" s="16"/>
      <c r="E57" s="17"/>
      <c r="F57" s="16"/>
      <c r="G57" s="16"/>
      <c r="H57" s="18"/>
      <c r="I57" s="19"/>
      <c r="J57" s="18"/>
    </row>
    <row r="59" spans="1:10" ht="23.4" x14ac:dyDescent="0.3">
      <c r="A59" s="31" t="s">
        <v>11</v>
      </c>
      <c r="B59" s="31"/>
      <c r="C59" s="31"/>
      <c r="D59" s="31"/>
      <c r="E59" s="31"/>
      <c r="F59" s="31"/>
      <c r="G59" s="31"/>
      <c r="H59" s="31"/>
      <c r="I59" s="31"/>
      <c r="J59" s="31"/>
    </row>
  </sheetData>
  <mergeCells count="8">
    <mergeCell ref="A48:J48"/>
    <mergeCell ref="A59:J59"/>
    <mergeCell ref="I1:J1"/>
    <mergeCell ref="A2:J2"/>
    <mergeCell ref="A3:J3"/>
    <mergeCell ref="A13:J13"/>
    <mergeCell ref="A24:J24"/>
    <mergeCell ref="A36:J36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46" orientation="portrait" horizontalDpi="1200" verticalDpi="120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3"/>
  <sheetViews>
    <sheetView tabSelected="1" zoomScale="70" zoomScaleNormal="70" workbookViewId="0">
      <selection activeCell="L44" sqref="L44"/>
    </sheetView>
  </sheetViews>
  <sheetFormatPr defaultRowHeight="14.4" x14ac:dyDescent="0.3"/>
  <cols>
    <col min="1" max="1" width="15.6640625" style="24" customWidth="1"/>
    <col min="2" max="3" width="12.6640625" style="24" customWidth="1"/>
    <col min="4" max="4" width="15.6640625" style="24" customWidth="1"/>
    <col min="5" max="5" width="80.6640625" style="24" customWidth="1"/>
    <col min="6" max="6" width="22.77734375" style="15" customWidth="1"/>
    <col min="7" max="7" width="12.33203125" style="24" customWidth="1"/>
    <col min="8" max="10" width="15.6640625" style="24" customWidth="1"/>
    <col min="11" max="16384" width="8.88671875" style="24"/>
  </cols>
  <sheetData>
    <row r="1" spans="1:11" s="1" customFormat="1" ht="30" customHeight="1" x14ac:dyDescent="0.3">
      <c r="F1" s="2"/>
      <c r="G1" s="2"/>
      <c r="H1" s="3" t="s">
        <v>0</v>
      </c>
      <c r="I1" s="27">
        <v>45967</v>
      </c>
      <c r="J1" s="27"/>
    </row>
    <row r="2" spans="1:11" ht="40.049999999999997" customHeight="1" x14ac:dyDescent="0.3">
      <c r="A2" s="28" t="s">
        <v>44</v>
      </c>
      <c r="B2" s="29"/>
      <c r="C2" s="29"/>
      <c r="D2" s="29"/>
      <c r="E2" s="29"/>
      <c r="F2" s="29"/>
      <c r="G2" s="29"/>
      <c r="H2" s="29"/>
      <c r="I2" s="29"/>
      <c r="J2" s="30"/>
    </row>
    <row r="3" spans="1:11" ht="30" customHeight="1" x14ac:dyDescent="0.3">
      <c r="A3" s="31" t="s">
        <v>12</v>
      </c>
      <c r="B3" s="31"/>
      <c r="C3" s="31"/>
      <c r="D3" s="31"/>
      <c r="E3" s="31"/>
      <c r="F3" s="31"/>
      <c r="G3" s="31"/>
      <c r="H3" s="31"/>
      <c r="I3" s="31"/>
      <c r="J3" s="31"/>
    </row>
    <row r="4" spans="1:11" ht="30" customHeight="1" x14ac:dyDescent="0.3">
      <c r="A4" s="4" t="s">
        <v>2</v>
      </c>
      <c r="B4" s="4" t="s">
        <v>3</v>
      </c>
      <c r="C4" s="5" t="s">
        <v>4</v>
      </c>
      <c r="D4" s="5" t="s">
        <v>5</v>
      </c>
      <c r="E4" s="4" t="s">
        <v>6</v>
      </c>
      <c r="F4" s="5" t="s">
        <v>17</v>
      </c>
      <c r="G4" s="5" t="s">
        <v>7</v>
      </c>
      <c r="H4" s="4" t="s">
        <v>8</v>
      </c>
      <c r="I4" s="4" t="s">
        <v>9</v>
      </c>
      <c r="J4" s="4" t="s">
        <v>10</v>
      </c>
    </row>
    <row r="5" spans="1:11" ht="19.95" customHeight="1" x14ac:dyDescent="0.3">
      <c r="A5" s="4">
        <v>250079</v>
      </c>
      <c r="B5" s="4">
        <v>304</v>
      </c>
      <c r="C5" s="6">
        <v>0.7</v>
      </c>
      <c r="D5" s="6" t="s">
        <v>74</v>
      </c>
      <c r="E5" s="7" t="s">
        <v>80</v>
      </c>
      <c r="F5" s="4"/>
      <c r="G5" s="4">
        <v>304</v>
      </c>
      <c r="H5" s="8">
        <v>1314</v>
      </c>
      <c r="I5" s="9">
        <v>400</v>
      </c>
      <c r="J5" s="22">
        <f t="shared" ref="J5:J10" si="0">H5-I5</f>
        <v>914</v>
      </c>
      <c r="K5" s="20"/>
    </row>
    <row r="6" spans="1:11" ht="19.95" customHeight="1" x14ac:dyDescent="0.3">
      <c r="A6" s="4">
        <v>250079</v>
      </c>
      <c r="B6" s="4">
        <v>304</v>
      </c>
      <c r="C6" s="6">
        <v>0.7</v>
      </c>
      <c r="D6" s="6" t="s">
        <v>74</v>
      </c>
      <c r="E6" s="7" t="s">
        <v>81</v>
      </c>
      <c r="F6" s="4"/>
      <c r="G6" s="4">
        <v>304</v>
      </c>
      <c r="H6" s="8">
        <v>36</v>
      </c>
      <c r="I6" s="9"/>
      <c r="J6" s="22">
        <f t="shared" si="0"/>
        <v>36</v>
      </c>
      <c r="K6" s="20"/>
    </row>
    <row r="7" spans="1:11" ht="19.95" customHeight="1" x14ac:dyDescent="0.3">
      <c r="A7" s="4">
        <v>250080</v>
      </c>
      <c r="B7" s="4">
        <v>304</v>
      </c>
      <c r="C7" s="6">
        <v>0.7</v>
      </c>
      <c r="D7" s="6" t="s">
        <v>74</v>
      </c>
      <c r="E7" s="7" t="s">
        <v>82</v>
      </c>
      <c r="F7" s="4"/>
      <c r="G7" s="4">
        <v>430</v>
      </c>
      <c r="H7" s="8">
        <v>1200</v>
      </c>
      <c r="I7" s="9"/>
      <c r="J7" s="22">
        <f t="shared" si="0"/>
        <v>1200</v>
      </c>
      <c r="K7" s="20"/>
    </row>
    <row r="8" spans="1:11" ht="19.95" customHeight="1" x14ac:dyDescent="0.3">
      <c r="A8" s="4">
        <v>250079</v>
      </c>
      <c r="B8" s="4">
        <v>304</v>
      </c>
      <c r="C8" s="6">
        <v>0.7</v>
      </c>
      <c r="D8" s="6" t="s">
        <v>74</v>
      </c>
      <c r="E8" s="7" t="s">
        <v>83</v>
      </c>
      <c r="F8" s="4"/>
      <c r="G8" s="4">
        <v>304</v>
      </c>
      <c r="H8" s="8">
        <v>1314</v>
      </c>
      <c r="I8" s="9"/>
      <c r="J8" s="22">
        <f t="shared" si="0"/>
        <v>1314</v>
      </c>
      <c r="K8" s="20"/>
    </row>
    <row r="9" spans="1:11" ht="19.95" customHeight="1" x14ac:dyDescent="0.3">
      <c r="A9" s="4">
        <v>250079</v>
      </c>
      <c r="B9" s="4">
        <v>304</v>
      </c>
      <c r="C9" s="6">
        <v>0.7</v>
      </c>
      <c r="D9" s="6" t="s">
        <v>74</v>
      </c>
      <c r="E9" s="7" t="s">
        <v>84</v>
      </c>
      <c r="F9" s="4"/>
      <c r="G9" s="4">
        <v>304</v>
      </c>
      <c r="H9" s="8">
        <v>36</v>
      </c>
      <c r="I9" s="9"/>
      <c r="J9" s="22">
        <f t="shared" si="0"/>
        <v>36</v>
      </c>
      <c r="K9" s="20"/>
    </row>
    <row r="10" spans="1:11" ht="19.95" customHeight="1" x14ac:dyDescent="0.3">
      <c r="A10" s="4"/>
      <c r="B10" s="4"/>
      <c r="C10" s="6"/>
      <c r="D10" s="6"/>
      <c r="E10" s="7"/>
      <c r="F10" s="4"/>
      <c r="G10" s="4"/>
      <c r="H10" s="8"/>
      <c r="I10" s="9"/>
      <c r="J10" s="8">
        <f t="shared" si="0"/>
        <v>0</v>
      </c>
    </row>
    <row r="11" spans="1:11" ht="19.95" customHeight="1" x14ac:dyDescent="0.3">
      <c r="A11" s="10"/>
      <c r="B11" s="10"/>
      <c r="C11" s="10"/>
      <c r="D11" s="10"/>
      <c r="E11" s="11"/>
      <c r="F11" s="10"/>
      <c r="G11" s="12"/>
      <c r="H11" s="13">
        <f>SUM(H5:H10)</f>
        <v>3900</v>
      </c>
      <c r="I11" s="14">
        <f>SUM(I5:I10)</f>
        <v>400</v>
      </c>
      <c r="J11" s="8">
        <f>SUM(J5:J10)</f>
        <v>3500</v>
      </c>
    </row>
    <row r="13" spans="1:11" ht="30" customHeight="1" x14ac:dyDescent="0.3">
      <c r="A13" s="31" t="s">
        <v>15</v>
      </c>
      <c r="B13" s="31"/>
      <c r="C13" s="31"/>
      <c r="D13" s="31"/>
      <c r="E13" s="31"/>
      <c r="F13" s="31"/>
      <c r="G13" s="31"/>
      <c r="H13" s="31"/>
      <c r="I13" s="31"/>
      <c r="J13" s="31"/>
    </row>
    <row r="14" spans="1:11" ht="30" customHeight="1" x14ac:dyDescent="0.3">
      <c r="A14" s="4" t="s">
        <v>2</v>
      </c>
      <c r="B14" s="4" t="s">
        <v>3</v>
      </c>
      <c r="C14" s="5" t="s">
        <v>4</v>
      </c>
      <c r="D14" s="5" t="s">
        <v>5</v>
      </c>
      <c r="E14" s="4" t="s">
        <v>6</v>
      </c>
      <c r="F14" s="5" t="s">
        <v>17</v>
      </c>
      <c r="G14" s="5" t="s">
        <v>7</v>
      </c>
      <c r="H14" s="4" t="s">
        <v>8</v>
      </c>
      <c r="I14" s="4" t="s">
        <v>9</v>
      </c>
      <c r="J14" s="4" t="s">
        <v>10</v>
      </c>
    </row>
    <row r="15" spans="1:11" ht="19.95" customHeight="1" x14ac:dyDescent="0.3">
      <c r="A15" s="4">
        <v>250080</v>
      </c>
      <c r="B15" s="4">
        <v>304</v>
      </c>
      <c r="C15" s="6">
        <v>0.7</v>
      </c>
      <c r="D15" s="6" t="s">
        <v>74</v>
      </c>
      <c r="E15" s="7" t="s">
        <v>79</v>
      </c>
      <c r="F15" s="4"/>
      <c r="G15" s="4">
        <v>430</v>
      </c>
      <c r="H15" s="8">
        <v>1000</v>
      </c>
      <c r="I15" s="9"/>
      <c r="J15" s="8">
        <f t="shared" ref="J15:J21" si="1">H15-I15</f>
        <v>1000</v>
      </c>
    </row>
    <row r="16" spans="1:11" ht="19.95" customHeight="1" x14ac:dyDescent="0.3">
      <c r="A16" s="4">
        <v>250079</v>
      </c>
      <c r="B16" s="4">
        <v>304</v>
      </c>
      <c r="C16" s="6">
        <v>0.7</v>
      </c>
      <c r="D16" s="6" t="s">
        <v>74</v>
      </c>
      <c r="E16" s="7" t="s">
        <v>80</v>
      </c>
      <c r="F16" s="4"/>
      <c r="G16" s="4">
        <v>304</v>
      </c>
      <c r="H16" s="8">
        <v>1314</v>
      </c>
      <c r="I16" s="9"/>
      <c r="J16" s="8">
        <f t="shared" si="1"/>
        <v>1314</v>
      </c>
    </row>
    <row r="17" spans="1:10" ht="19.95" customHeight="1" x14ac:dyDescent="0.3">
      <c r="A17" s="4">
        <v>250079</v>
      </c>
      <c r="B17" s="4">
        <v>304</v>
      </c>
      <c r="C17" s="6">
        <v>0.7</v>
      </c>
      <c r="D17" s="6" t="s">
        <v>74</v>
      </c>
      <c r="E17" s="7" t="s">
        <v>81</v>
      </c>
      <c r="F17" s="4"/>
      <c r="G17" s="4">
        <v>304</v>
      </c>
      <c r="H17" s="8">
        <v>36</v>
      </c>
      <c r="I17" s="9"/>
      <c r="J17" s="8">
        <f t="shared" si="1"/>
        <v>36</v>
      </c>
    </row>
    <row r="18" spans="1:10" ht="19.95" customHeight="1" x14ac:dyDescent="0.3">
      <c r="A18" s="4">
        <v>250080</v>
      </c>
      <c r="B18" s="4">
        <v>304</v>
      </c>
      <c r="C18" s="6">
        <v>0.7</v>
      </c>
      <c r="D18" s="6" t="s">
        <v>74</v>
      </c>
      <c r="E18" s="7" t="s">
        <v>82</v>
      </c>
      <c r="F18" s="4"/>
      <c r="G18" s="4">
        <v>430</v>
      </c>
      <c r="H18" s="8">
        <v>1200</v>
      </c>
      <c r="I18" s="9"/>
      <c r="J18" s="8">
        <f t="shared" si="1"/>
        <v>1200</v>
      </c>
    </row>
    <row r="19" spans="1:10" ht="19.95" customHeight="1" x14ac:dyDescent="0.3">
      <c r="A19" s="4">
        <v>250079</v>
      </c>
      <c r="B19" s="4">
        <v>304</v>
      </c>
      <c r="C19" s="6">
        <v>0.7</v>
      </c>
      <c r="D19" s="6" t="s">
        <v>74</v>
      </c>
      <c r="E19" s="7" t="s">
        <v>83</v>
      </c>
      <c r="F19" s="4"/>
      <c r="G19" s="4">
        <v>304</v>
      </c>
      <c r="H19" s="8">
        <v>1314</v>
      </c>
      <c r="I19" s="9"/>
      <c r="J19" s="8">
        <f t="shared" si="1"/>
        <v>1314</v>
      </c>
    </row>
    <row r="20" spans="1:10" ht="19.95" customHeight="1" x14ac:dyDescent="0.3">
      <c r="A20" s="4">
        <v>250079</v>
      </c>
      <c r="B20" s="4">
        <v>304</v>
      </c>
      <c r="C20" s="6">
        <v>0.7</v>
      </c>
      <c r="D20" s="6" t="s">
        <v>74</v>
      </c>
      <c r="E20" s="7" t="s">
        <v>84</v>
      </c>
      <c r="F20" s="4"/>
      <c r="G20" s="4">
        <v>304</v>
      </c>
      <c r="H20" s="8">
        <v>36</v>
      </c>
      <c r="I20" s="9"/>
      <c r="J20" s="8">
        <f t="shared" si="1"/>
        <v>36</v>
      </c>
    </row>
    <row r="21" spans="1:10" ht="19.95" customHeight="1" x14ac:dyDescent="0.3">
      <c r="A21" s="4"/>
      <c r="B21" s="4"/>
      <c r="C21" s="6"/>
      <c r="D21" s="6"/>
      <c r="E21" s="7"/>
      <c r="F21" s="4"/>
      <c r="G21" s="8"/>
      <c r="H21" s="8"/>
      <c r="I21" s="9"/>
      <c r="J21" s="8">
        <f t="shared" si="1"/>
        <v>0</v>
      </c>
    </row>
    <row r="22" spans="1:10" ht="19.95" customHeight="1" x14ac:dyDescent="0.3">
      <c r="A22" s="10"/>
      <c r="B22" s="10"/>
      <c r="C22" s="10"/>
      <c r="D22" s="10"/>
      <c r="E22" s="11"/>
      <c r="F22" s="10"/>
      <c r="G22" s="12"/>
      <c r="H22" s="8">
        <f>SUM(H15:H21)</f>
        <v>4900</v>
      </c>
      <c r="I22" s="9">
        <f>SUM(I15:I21)</f>
        <v>0</v>
      </c>
      <c r="J22" s="8">
        <f>SUM(J15:J21)</f>
        <v>4900</v>
      </c>
    </row>
    <row r="23" spans="1:10" ht="19.95" customHeight="1" x14ac:dyDescent="0.3">
      <c r="A23" s="16"/>
      <c r="B23" s="16"/>
      <c r="C23" s="16"/>
      <c r="D23" s="16"/>
      <c r="E23" s="17"/>
      <c r="F23" s="16"/>
      <c r="G23" s="16"/>
      <c r="H23" s="18"/>
      <c r="I23" s="19"/>
      <c r="J23" s="18"/>
    </row>
    <row r="24" spans="1:10" ht="30" customHeight="1" x14ac:dyDescent="0.3">
      <c r="A24" s="31" t="s">
        <v>13</v>
      </c>
      <c r="B24" s="31"/>
      <c r="C24" s="31"/>
      <c r="D24" s="31"/>
      <c r="E24" s="31"/>
      <c r="F24" s="31"/>
      <c r="G24" s="31"/>
      <c r="H24" s="31"/>
      <c r="I24" s="31"/>
      <c r="J24" s="31"/>
    </row>
    <row r="25" spans="1:10" ht="30" customHeight="1" x14ac:dyDescent="0.3">
      <c r="A25" s="4" t="s">
        <v>2</v>
      </c>
      <c r="B25" s="4" t="s">
        <v>3</v>
      </c>
      <c r="C25" s="5" t="s">
        <v>4</v>
      </c>
      <c r="D25" s="5" t="s">
        <v>5</v>
      </c>
      <c r="E25" s="4" t="s">
        <v>6</v>
      </c>
      <c r="F25" s="5" t="s">
        <v>17</v>
      </c>
      <c r="G25" s="5" t="s">
        <v>7</v>
      </c>
      <c r="H25" s="4" t="s">
        <v>8</v>
      </c>
      <c r="I25" s="4" t="s">
        <v>9</v>
      </c>
      <c r="J25" s="4" t="s">
        <v>10</v>
      </c>
    </row>
    <row r="26" spans="1:10" ht="19.95" customHeight="1" x14ac:dyDescent="0.3">
      <c r="A26" s="4">
        <v>230925</v>
      </c>
      <c r="B26" s="4">
        <v>430</v>
      </c>
      <c r="C26" s="6" t="s">
        <v>73</v>
      </c>
      <c r="D26" s="6" t="s">
        <v>74</v>
      </c>
      <c r="E26" s="7" t="s">
        <v>76</v>
      </c>
      <c r="F26" s="4"/>
      <c r="G26" s="4">
        <v>430</v>
      </c>
      <c r="H26" s="8">
        <v>5300</v>
      </c>
      <c r="I26" s="9">
        <f>750+2900</f>
        <v>3650</v>
      </c>
      <c r="J26" s="8">
        <f t="shared" ref="J26:J35" si="2">H26-I26</f>
        <v>1650</v>
      </c>
    </row>
    <row r="27" spans="1:10" ht="19.95" customHeight="1" x14ac:dyDescent="0.3">
      <c r="A27" s="4">
        <v>250079</v>
      </c>
      <c r="B27" s="4">
        <v>304</v>
      </c>
      <c r="C27" s="6">
        <v>0.7</v>
      </c>
      <c r="D27" s="6" t="s">
        <v>74</v>
      </c>
      <c r="E27" s="7" t="s">
        <v>77</v>
      </c>
      <c r="F27" s="4"/>
      <c r="G27" s="4">
        <v>304</v>
      </c>
      <c r="H27" s="8">
        <v>964</v>
      </c>
      <c r="I27" s="9"/>
      <c r="J27" s="8">
        <f t="shared" si="2"/>
        <v>964</v>
      </c>
    </row>
    <row r="28" spans="1:10" ht="19.95" customHeight="1" x14ac:dyDescent="0.3">
      <c r="A28" s="4">
        <v>250079</v>
      </c>
      <c r="B28" s="4">
        <v>304</v>
      </c>
      <c r="C28" s="6">
        <v>0.7</v>
      </c>
      <c r="D28" s="6" t="s">
        <v>74</v>
      </c>
      <c r="E28" s="7" t="s">
        <v>78</v>
      </c>
      <c r="F28" s="4"/>
      <c r="G28" s="4">
        <v>304</v>
      </c>
      <c r="H28" s="8">
        <v>36</v>
      </c>
      <c r="I28" s="9"/>
      <c r="J28" s="8">
        <f t="shared" si="2"/>
        <v>36</v>
      </c>
    </row>
    <row r="29" spans="1:10" ht="19.95" customHeight="1" x14ac:dyDescent="0.3">
      <c r="A29" s="4">
        <v>250080</v>
      </c>
      <c r="B29" s="4">
        <v>304</v>
      </c>
      <c r="C29" s="6">
        <v>0.7</v>
      </c>
      <c r="D29" s="6" t="s">
        <v>74</v>
      </c>
      <c r="E29" s="7" t="s">
        <v>79</v>
      </c>
      <c r="F29" s="4"/>
      <c r="G29" s="4">
        <v>430</v>
      </c>
      <c r="H29" s="8">
        <v>1000</v>
      </c>
      <c r="I29" s="9"/>
      <c r="J29" s="8">
        <f t="shared" si="2"/>
        <v>1000</v>
      </c>
    </row>
    <row r="30" spans="1:10" ht="19.95" customHeight="1" x14ac:dyDescent="0.3">
      <c r="A30" s="4">
        <v>250079</v>
      </c>
      <c r="B30" s="4">
        <v>304</v>
      </c>
      <c r="C30" s="6">
        <v>0.7</v>
      </c>
      <c r="D30" s="6" t="s">
        <v>74</v>
      </c>
      <c r="E30" s="7" t="s">
        <v>80</v>
      </c>
      <c r="F30" s="4"/>
      <c r="G30" s="4">
        <v>304</v>
      </c>
      <c r="H30" s="8">
        <v>1314</v>
      </c>
      <c r="I30" s="9"/>
      <c r="J30" s="8">
        <f t="shared" si="2"/>
        <v>1314</v>
      </c>
    </row>
    <row r="31" spans="1:10" ht="19.95" customHeight="1" x14ac:dyDescent="0.3">
      <c r="A31" s="4">
        <v>250079</v>
      </c>
      <c r="B31" s="4">
        <v>304</v>
      </c>
      <c r="C31" s="6">
        <v>0.7</v>
      </c>
      <c r="D31" s="6" t="s">
        <v>74</v>
      </c>
      <c r="E31" s="7" t="s">
        <v>81</v>
      </c>
      <c r="F31" s="4"/>
      <c r="G31" s="4">
        <v>304</v>
      </c>
      <c r="H31" s="8">
        <v>36</v>
      </c>
      <c r="I31" s="9"/>
      <c r="J31" s="8">
        <f t="shared" si="2"/>
        <v>36</v>
      </c>
    </row>
    <row r="32" spans="1:10" ht="19.95" customHeight="1" x14ac:dyDescent="0.3">
      <c r="A32" s="4">
        <v>250080</v>
      </c>
      <c r="B32" s="4">
        <v>304</v>
      </c>
      <c r="C32" s="6">
        <v>0.7</v>
      </c>
      <c r="D32" s="6" t="s">
        <v>74</v>
      </c>
      <c r="E32" s="7" t="s">
        <v>82</v>
      </c>
      <c r="F32" s="4"/>
      <c r="G32" s="4">
        <v>430</v>
      </c>
      <c r="H32" s="8">
        <v>1200</v>
      </c>
      <c r="I32" s="9"/>
      <c r="J32" s="8">
        <f t="shared" si="2"/>
        <v>1200</v>
      </c>
    </row>
    <row r="33" spans="1:10" ht="19.95" customHeight="1" x14ac:dyDescent="0.3">
      <c r="A33" s="4">
        <v>250079</v>
      </c>
      <c r="B33" s="4">
        <v>304</v>
      </c>
      <c r="C33" s="6">
        <v>0.7</v>
      </c>
      <c r="D33" s="6" t="s">
        <v>74</v>
      </c>
      <c r="E33" s="7" t="s">
        <v>83</v>
      </c>
      <c r="F33" s="4"/>
      <c r="G33" s="4">
        <v>304</v>
      </c>
      <c r="H33" s="8">
        <v>1314</v>
      </c>
      <c r="I33" s="9"/>
      <c r="J33" s="8">
        <f t="shared" si="2"/>
        <v>1314</v>
      </c>
    </row>
    <row r="34" spans="1:10" ht="19.95" customHeight="1" x14ac:dyDescent="0.3">
      <c r="A34" s="4">
        <v>250079</v>
      </c>
      <c r="B34" s="4">
        <v>304</v>
      </c>
      <c r="C34" s="6">
        <v>0.7</v>
      </c>
      <c r="D34" s="6" t="s">
        <v>74</v>
      </c>
      <c r="E34" s="7" t="s">
        <v>84</v>
      </c>
      <c r="F34" s="4"/>
      <c r="G34" s="4">
        <v>304</v>
      </c>
      <c r="H34" s="8">
        <v>36</v>
      </c>
      <c r="I34" s="9"/>
      <c r="J34" s="8">
        <f t="shared" si="2"/>
        <v>36</v>
      </c>
    </row>
    <row r="35" spans="1:10" ht="19.95" customHeight="1" x14ac:dyDescent="0.3">
      <c r="A35" s="4"/>
      <c r="B35" s="4"/>
      <c r="C35" s="6"/>
      <c r="D35" s="6"/>
      <c r="E35" s="7"/>
      <c r="F35" s="4"/>
      <c r="G35" s="8"/>
      <c r="H35" s="8"/>
      <c r="I35" s="9"/>
      <c r="J35" s="8">
        <f t="shared" si="2"/>
        <v>0</v>
      </c>
    </row>
    <row r="36" spans="1:10" ht="19.95" customHeight="1" x14ac:dyDescent="0.3">
      <c r="A36" s="10"/>
      <c r="B36" s="10"/>
      <c r="C36" s="10"/>
      <c r="D36" s="10"/>
      <c r="E36" s="11"/>
      <c r="F36" s="10"/>
      <c r="G36" s="12"/>
      <c r="H36" s="8">
        <f>SUM(H26:H35)</f>
        <v>11200</v>
      </c>
      <c r="I36" s="9">
        <f>SUM(I26:I35)</f>
        <v>3650</v>
      </c>
      <c r="J36" s="8">
        <f>SUM(J26:J35)</f>
        <v>7550</v>
      </c>
    </row>
    <row r="37" spans="1:10" ht="19.95" customHeight="1" x14ac:dyDescent="0.3">
      <c r="A37" s="16"/>
      <c r="B37" s="16"/>
      <c r="C37" s="16"/>
      <c r="D37" s="16"/>
      <c r="E37" s="17"/>
      <c r="F37" s="16"/>
      <c r="G37" s="16"/>
      <c r="H37" s="18"/>
      <c r="I37" s="19"/>
      <c r="J37" s="18"/>
    </row>
    <row r="38" spans="1:10" ht="30" customHeight="1" x14ac:dyDescent="0.3">
      <c r="A38" s="31" t="s">
        <v>14</v>
      </c>
      <c r="B38" s="31"/>
      <c r="C38" s="31"/>
      <c r="D38" s="31"/>
      <c r="E38" s="31"/>
      <c r="F38" s="31"/>
      <c r="G38" s="31"/>
      <c r="H38" s="31"/>
      <c r="I38" s="31"/>
      <c r="J38" s="31"/>
    </row>
    <row r="39" spans="1:10" ht="30" customHeight="1" x14ac:dyDescent="0.3">
      <c r="A39" s="4" t="s">
        <v>2</v>
      </c>
      <c r="B39" s="4" t="s">
        <v>3</v>
      </c>
      <c r="C39" s="5" t="s">
        <v>4</v>
      </c>
      <c r="D39" s="5" t="s">
        <v>5</v>
      </c>
      <c r="E39" s="4" t="s">
        <v>6</v>
      </c>
      <c r="F39" s="5" t="s">
        <v>17</v>
      </c>
      <c r="G39" s="5" t="s">
        <v>7</v>
      </c>
      <c r="H39" s="4" t="s">
        <v>8</v>
      </c>
      <c r="I39" s="4" t="s">
        <v>9</v>
      </c>
      <c r="J39" s="4" t="s">
        <v>10</v>
      </c>
    </row>
    <row r="40" spans="1:10" ht="19.95" customHeight="1" x14ac:dyDescent="0.3">
      <c r="A40" s="4">
        <v>230925</v>
      </c>
      <c r="B40" s="4">
        <v>430</v>
      </c>
      <c r="C40" s="6" t="s">
        <v>73</v>
      </c>
      <c r="D40" s="6" t="s">
        <v>74</v>
      </c>
      <c r="E40" s="7" t="s">
        <v>76</v>
      </c>
      <c r="F40" s="4"/>
      <c r="G40" s="4">
        <v>430</v>
      </c>
      <c r="H40" s="8">
        <v>5300</v>
      </c>
      <c r="I40" s="9">
        <v>2185</v>
      </c>
      <c r="J40" s="8">
        <f t="shared" ref="J40:J49" si="3">H40-I40</f>
        <v>3115</v>
      </c>
    </row>
    <row r="41" spans="1:10" ht="19.95" customHeight="1" x14ac:dyDescent="0.3">
      <c r="A41" s="4">
        <v>250079</v>
      </c>
      <c r="B41" s="4">
        <v>304</v>
      </c>
      <c r="C41" s="6">
        <v>0.7</v>
      </c>
      <c r="D41" s="6" t="s">
        <v>74</v>
      </c>
      <c r="E41" s="7" t="s">
        <v>77</v>
      </c>
      <c r="F41" s="4"/>
      <c r="G41" s="4">
        <v>304</v>
      </c>
      <c r="H41" s="8">
        <v>964</v>
      </c>
      <c r="I41" s="9"/>
      <c r="J41" s="8">
        <f>H41-I41</f>
        <v>964</v>
      </c>
    </row>
    <row r="42" spans="1:10" ht="19.95" customHeight="1" x14ac:dyDescent="0.3">
      <c r="A42" s="4">
        <v>250079</v>
      </c>
      <c r="B42" s="4">
        <v>304</v>
      </c>
      <c r="C42" s="6">
        <v>0.7</v>
      </c>
      <c r="D42" s="6" t="s">
        <v>74</v>
      </c>
      <c r="E42" s="7" t="s">
        <v>78</v>
      </c>
      <c r="F42" s="4"/>
      <c r="G42" s="4">
        <v>304</v>
      </c>
      <c r="H42" s="8">
        <v>36</v>
      </c>
      <c r="I42" s="9"/>
      <c r="J42" s="8">
        <f t="shared" ref="J42:J48" si="4">H42-I42</f>
        <v>36</v>
      </c>
    </row>
    <row r="43" spans="1:10" ht="19.95" customHeight="1" x14ac:dyDescent="0.3">
      <c r="A43" s="4">
        <v>250080</v>
      </c>
      <c r="B43" s="4">
        <v>304</v>
      </c>
      <c r="C43" s="6">
        <v>0.7</v>
      </c>
      <c r="D43" s="6" t="s">
        <v>74</v>
      </c>
      <c r="E43" s="7" t="s">
        <v>79</v>
      </c>
      <c r="F43" s="4"/>
      <c r="G43" s="4">
        <v>430</v>
      </c>
      <c r="H43" s="8">
        <v>1000</v>
      </c>
      <c r="I43" s="9"/>
      <c r="J43" s="8">
        <f t="shared" si="4"/>
        <v>1000</v>
      </c>
    </row>
    <row r="44" spans="1:10" ht="19.95" customHeight="1" x14ac:dyDescent="0.3">
      <c r="A44" s="4">
        <v>250079</v>
      </c>
      <c r="B44" s="4">
        <v>304</v>
      </c>
      <c r="C44" s="6">
        <v>0.7</v>
      </c>
      <c r="D44" s="6" t="s">
        <v>74</v>
      </c>
      <c r="E44" s="7" t="s">
        <v>80</v>
      </c>
      <c r="F44" s="4"/>
      <c r="G44" s="4">
        <v>304</v>
      </c>
      <c r="H44" s="8">
        <v>1314</v>
      </c>
      <c r="I44" s="9"/>
      <c r="J44" s="8">
        <f t="shared" si="4"/>
        <v>1314</v>
      </c>
    </row>
    <row r="45" spans="1:10" ht="19.95" customHeight="1" x14ac:dyDescent="0.3">
      <c r="A45" s="4">
        <v>250079</v>
      </c>
      <c r="B45" s="4">
        <v>304</v>
      </c>
      <c r="C45" s="6">
        <v>0.7</v>
      </c>
      <c r="D45" s="6" t="s">
        <v>74</v>
      </c>
      <c r="E45" s="7" t="s">
        <v>81</v>
      </c>
      <c r="F45" s="4"/>
      <c r="G45" s="4">
        <v>304</v>
      </c>
      <c r="H45" s="8">
        <v>36</v>
      </c>
      <c r="I45" s="9"/>
      <c r="J45" s="8">
        <f t="shared" si="4"/>
        <v>36</v>
      </c>
    </row>
    <row r="46" spans="1:10" ht="19.95" customHeight="1" x14ac:dyDescent="0.3">
      <c r="A46" s="4">
        <v>250080</v>
      </c>
      <c r="B46" s="4">
        <v>304</v>
      </c>
      <c r="C46" s="6">
        <v>0.7</v>
      </c>
      <c r="D46" s="6" t="s">
        <v>74</v>
      </c>
      <c r="E46" s="7" t="s">
        <v>82</v>
      </c>
      <c r="F46" s="4"/>
      <c r="G46" s="4">
        <v>430</v>
      </c>
      <c r="H46" s="8">
        <v>1200</v>
      </c>
      <c r="I46" s="9"/>
      <c r="J46" s="8">
        <f t="shared" si="4"/>
        <v>1200</v>
      </c>
    </row>
    <row r="47" spans="1:10" ht="19.95" customHeight="1" x14ac:dyDescent="0.3">
      <c r="A47" s="4">
        <v>250079</v>
      </c>
      <c r="B47" s="4">
        <v>304</v>
      </c>
      <c r="C47" s="6">
        <v>0.7</v>
      </c>
      <c r="D47" s="6" t="s">
        <v>74</v>
      </c>
      <c r="E47" s="7" t="s">
        <v>83</v>
      </c>
      <c r="F47" s="4"/>
      <c r="G47" s="4">
        <v>304</v>
      </c>
      <c r="H47" s="8">
        <v>1314</v>
      </c>
      <c r="I47" s="9"/>
      <c r="J47" s="8">
        <f t="shared" si="4"/>
        <v>1314</v>
      </c>
    </row>
    <row r="48" spans="1:10" ht="19.95" customHeight="1" x14ac:dyDescent="0.3">
      <c r="A48" s="4">
        <v>250079</v>
      </c>
      <c r="B48" s="4">
        <v>304</v>
      </c>
      <c r="C48" s="6">
        <v>0.7</v>
      </c>
      <c r="D48" s="6" t="s">
        <v>74</v>
      </c>
      <c r="E48" s="7" t="s">
        <v>84</v>
      </c>
      <c r="F48" s="4"/>
      <c r="G48" s="4">
        <v>304</v>
      </c>
      <c r="H48" s="8">
        <v>36</v>
      </c>
      <c r="I48" s="9"/>
      <c r="J48" s="8">
        <f t="shared" si="4"/>
        <v>36</v>
      </c>
    </row>
    <row r="49" spans="1:10" ht="19.95" customHeight="1" x14ac:dyDescent="0.3">
      <c r="A49" s="4"/>
      <c r="B49" s="4"/>
      <c r="C49" s="6"/>
      <c r="D49" s="6"/>
      <c r="E49" s="7"/>
      <c r="F49" s="4"/>
      <c r="G49" s="4"/>
      <c r="H49" s="8"/>
      <c r="I49" s="9"/>
      <c r="J49" s="8">
        <f t="shared" si="3"/>
        <v>0</v>
      </c>
    </row>
    <row r="50" spans="1:10" ht="19.95" customHeight="1" x14ac:dyDescent="0.3">
      <c r="A50" s="10"/>
      <c r="B50" s="10"/>
      <c r="C50" s="10"/>
      <c r="D50" s="10"/>
      <c r="E50" s="11"/>
      <c r="F50" s="10"/>
      <c r="G50" s="12"/>
      <c r="H50" s="8">
        <f>SUM(H40:H49)</f>
        <v>11200</v>
      </c>
      <c r="I50" s="9">
        <f>SUM(I40:I49)</f>
        <v>2185</v>
      </c>
      <c r="J50" s="8">
        <f>SUM(J40:J49)</f>
        <v>9015</v>
      </c>
    </row>
    <row r="51" spans="1:10" ht="19.95" customHeight="1" x14ac:dyDescent="0.3">
      <c r="A51" s="16"/>
      <c r="B51" s="16"/>
      <c r="C51" s="16"/>
      <c r="D51" s="16"/>
      <c r="E51" s="17"/>
      <c r="F51" s="16"/>
      <c r="G51" s="16"/>
      <c r="H51" s="18"/>
      <c r="I51" s="19"/>
      <c r="J51" s="18"/>
    </row>
    <row r="52" spans="1:10" ht="30" customHeight="1" x14ac:dyDescent="0.3">
      <c r="A52" s="31" t="s">
        <v>16</v>
      </c>
      <c r="B52" s="31"/>
      <c r="C52" s="31"/>
      <c r="D52" s="31"/>
      <c r="E52" s="31"/>
      <c r="F52" s="31"/>
      <c r="G52" s="31"/>
      <c r="H52" s="31"/>
      <c r="I52" s="31"/>
      <c r="J52" s="31"/>
    </row>
    <row r="53" spans="1:10" ht="30" customHeight="1" x14ac:dyDescent="0.3">
      <c r="A53" s="4" t="s">
        <v>2</v>
      </c>
      <c r="B53" s="4" t="s">
        <v>3</v>
      </c>
      <c r="C53" s="5" t="s">
        <v>4</v>
      </c>
      <c r="D53" s="5" t="s">
        <v>5</v>
      </c>
      <c r="E53" s="4" t="s">
        <v>6</v>
      </c>
      <c r="F53" s="5" t="s">
        <v>18</v>
      </c>
      <c r="G53" s="5" t="s">
        <v>7</v>
      </c>
      <c r="H53" s="4" t="s">
        <v>8</v>
      </c>
      <c r="I53" s="4" t="s">
        <v>9</v>
      </c>
      <c r="J53" s="4" t="s">
        <v>10</v>
      </c>
    </row>
    <row r="54" spans="1:10" ht="19.95" customHeight="1" x14ac:dyDescent="0.3">
      <c r="A54" s="4"/>
      <c r="B54" s="4"/>
      <c r="C54" s="6"/>
      <c r="D54" s="6"/>
      <c r="E54" s="7"/>
      <c r="F54" s="4"/>
      <c r="G54" s="4"/>
      <c r="H54" s="8"/>
      <c r="I54" s="9"/>
      <c r="J54" s="8">
        <f t="shared" ref="J54:J59" si="5">H54-I54</f>
        <v>0</v>
      </c>
    </row>
    <row r="55" spans="1:10" ht="19.95" customHeight="1" x14ac:dyDescent="0.3">
      <c r="A55" s="4"/>
      <c r="B55" s="4"/>
      <c r="C55" s="6"/>
      <c r="D55" s="6"/>
      <c r="E55" s="7"/>
      <c r="F55" s="4"/>
      <c r="G55" s="4"/>
      <c r="H55" s="8"/>
      <c r="I55" s="9"/>
      <c r="J55" s="8">
        <f t="shared" si="5"/>
        <v>0</v>
      </c>
    </row>
    <row r="56" spans="1:10" ht="19.95" customHeight="1" x14ac:dyDescent="0.3">
      <c r="A56" s="4"/>
      <c r="B56" s="4"/>
      <c r="C56" s="6"/>
      <c r="D56" s="6"/>
      <c r="E56" s="7"/>
      <c r="F56" s="4"/>
      <c r="G56" s="4"/>
      <c r="H56" s="8"/>
      <c r="I56" s="9"/>
      <c r="J56" s="8">
        <f t="shared" si="5"/>
        <v>0</v>
      </c>
    </row>
    <row r="57" spans="1:10" ht="19.95" customHeight="1" x14ac:dyDescent="0.3">
      <c r="A57" s="4"/>
      <c r="B57" s="4"/>
      <c r="C57" s="6"/>
      <c r="D57" s="6"/>
      <c r="E57" s="7"/>
      <c r="G57" s="8"/>
      <c r="H57" s="8"/>
      <c r="I57" s="9"/>
      <c r="J57" s="8">
        <f t="shared" si="5"/>
        <v>0</v>
      </c>
    </row>
    <row r="58" spans="1:10" ht="19.95" customHeight="1" x14ac:dyDescent="0.3">
      <c r="A58" s="4"/>
      <c r="B58" s="4"/>
      <c r="C58" s="6"/>
      <c r="D58" s="6"/>
      <c r="E58" s="7"/>
      <c r="F58" s="4"/>
      <c r="G58" s="4"/>
      <c r="H58" s="8"/>
      <c r="I58" s="9"/>
      <c r="J58" s="8">
        <f t="shared" si="5"/>
        <v>0</v>
      </c>
    </row>
    <row r="59" spans="1:10" ht="19.95" customHeight="1" x14ac:dyDescent="0.3">
      <c r="A59" s="4"/>
      <c r="B59" s="4"/>
      <c r="C59" s="6"/>
      <c r="D59" s="6"/>
      <c r="E59" s="7"/>
      <c r="F59" s="4"/>
      <c r="G59" s="4"/>
      <c r="H59" s="8"/>
      <c r="I59" s="9"/>
      <c r="J59" s="8">
        <f t="shared" si="5"/>
        <v>0</v>
      </c>
    </row>
    <row r="60" spans="1:10" ht="19.95" customHeight="1" x14ac:dyDescent="0.3">
      <c r="A60" s="10"/>
      <c r="B60" s="10"/>
      <c r="C60" s="10"/>
      <c r="D60" s="10"/>
      <c r="E60" s="11"/>
      <c r="F60" s="10"/>
      <c r="G60" s="12"/>
      <c r="H60" s="8">
        <f>SUM(H54:H59)</f>
        <v>0</v>
      </c>
      <c r="I60" s="9">
        <f>SUM(I54:I59)</f>
        <v>0</v>
      </c>
      <c r="J60" s="8">
        <f>SUM(J54:J59)</f>
        <v>0</v>
      </c>
    </row>
    <row r="61" spans="1:10" ht="19.95" customHeight="1" x14ac:dyDescent="0.3">
      <c r="A61" s="16"/>
      <c r="B61" s="16"/>
      <c r="C61" s="16"/>
      <c r="D61" s="16"/>
      <c r="E61" s="17"/>
      <c r="F61" s="16"/>
      <c r="G61" s="16"/>
      <c r="H61" s="18"/>
      <c r="I61" s="19"/>
      <c r="J61" s="18"/>
    </row>
    <row r="63" spans="1:10" ht="23.4" x14ac:dyDescent="0.3">
      <c r="A63" s="31" t="s">
        <v>11</v>
      </c>
      <c r="B63" s="31"/>
      <c r="C63" s="31"/>
      <c r="D63" s="31"/>
      <c r="E63" s="31"/>
      <c r="F63" s="31"/>
      <c r="G63" s="31"/>
      <c r="H63" s="31"/>
      <c r="I63" s="31"/>
      <c r="J63" s="31"/>
    </row>
  </sheetData>
  <mergeCells count="8">
    <mergeCell ref="A52:J52"/>
    <mergeCell ref="A63:J63"/>
    <mergeCell ref="I1:J1"/>
    <mergeCell ref="A2:J2"/>
    <mergeCell ref="A3:J3"/>
    <mergeCell ref="A13:J13"/>
    <mergeCell ref="A24:J24"/>
    <mergeCell ref="A38:J38"/>
  </mergeCells>
  <printOptions horizontalCentered="1"/>
  <pageMargins left="0.19685039370078741" right="0.19685039370078741" top="0.19685039370078741" bottom="0.19685039370078741" header="0.39370078740157483" footer="0.39370078740157483"/>
  <pageSetup paperSize="9" scale="67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20</vt:i4>
      </vt:variant>
    </vt:vector>
  </HeadingPairs>
  <TitlesOfParts>
    <vt:vector size="56" baseType="lpstr">
      <vt:lpstr>POLİSAJ ANA TASLAK</vt:lpstr>
      <vt:lpstr>26.09.2025</vt:lpstr>
      <vt:lpstr>27.09.2025</vt:lpstr>
      <vt:lpstr>29.09.2025</vt:lpstr>
      <vt:lpstr>30.09.2025</vt:lpstr>
      <vt:lpstr>01.10.2025</vt:lpstr>
      <vt:lpstr>02.10.2025</vt:lpstr>
      <vt:lpstr>03.10.2025</vt:lpstr>
      <vt:lpstr>04.10.2025</vt:lpstr>
      <vt:lpstr>06.10.2025</vt:lpstr>
      <vt:lpstr>07.10.2025</vt:lpstr>
      <vt:lpstr>08.10.2025</vt:lpstr>
      <vt:lpstr>09.10.2025</vt:lpstr>
      <vt:lpstr>10.10.2025</vt:lpstr>
      <vt:lpstr>11.10.2025</vt:lpstr>
      <vt:lpstr>13.10.2025</vt:lpstr>
      <vt:lpstr>14.10.2025</vt:lpstr>
      <vt:lpstr>15.10.2025</vt:lpstr>
      <vt:lpstr>16.10.2025</vt:lpstr>
      <vt:lpstr>17.10.2025</vt:lpstr>
      <vt:lpstr>18.10.2025</vt:lpstr>
      <vt:lpstr>20.10.2025</vt:lpstr>
      <vt:lpstr>21.10.2025</vt:lpstr>
      <vt:lpstr>22.10.2025</vt:lpstr>
      <vt:lpstr>23.10.2025</vt:lpstr>
      <vt:lpstr>24.10.2025</vt:lpstr>
      <vt:lpstr>25.10.2025</vt:lpstr>
      <vt:lpstr>27.10.2025</vt:lpstr>
      <vt:lpstr>28.10.2025</vt:lpstr>
      <vt:lpstr>30.10.2025</vt:lpstr>
      <vt:lpstr>31.10.2025</vt:lpstr>
      <vt:lpstr>01.11.2025</vt:lpstr>
      <vt:lpstr>03.11.2025</vt:lpstr>
      <vt:lpstr>04.11.2025</vt:lpstr>
      <vt:lpstr>05.10.2025</vt:lpstr>
      <vt:lpstr>06.11.2025</vt:lpstr>
      <vt:lpstr>'01.10.2025'!Print_Area</vt:lpstr>
      <vt:lpstr>'02.10.2025'!Print_Area</vt:lpstr>
      <vt:lpstr>'03.10.2025'!Print_Area</vt:lpstr>
      <vt:lpstr>'04.10.2025'!Print_Area</vt:lpstr>
      <vt:lpstr>'06.10.2025'!Print_Area</vt:lpstr>
      <vt:lpstr>'06.11.2025'!Print_Area</vt:lpstr>
      <vt:lpstr>'07.10.2025'!Print_Area</vt:lpstr>
      <vt:lpstr>'08.10.2025'!Print_Area</vt:lpstr>
      <vt:lpstr>'09.10.2025'!Print_Area</vt:lpstr>
      <vt:lpstr>'10.10.2025'!Print_Area</vt:lpstr>
      <vt:lpstr>'11.10.2025'!Print_Area</vt:lpstr>
      <vt:lpstr>'13.10.2025'!Print_Area</vt:lpstr>
      <vt:lpstr>'14.10.2025'!Print_Area</vt:lpstr>
      <vt:lpstr>'15.10.2025'!Print_Area</vt:lpstr>
      <vt:lpstr>'16.10.2025'!Print_Area</vt:lpstr>
      <vt:lpstr>'17.10.2025'!Print_Area</vt:lpstr>
      <vt:lpstr>'18.10.2025'!Print_Area</vt:lpstr>
      <vt:lpstr>'20.10.2025'!Print_Area</vt:lpstr>
      <vt:lpstr>'21.10.2025'!Print_Area</vt:lpstr>
      <vt:lpstr>'22.10.2025'!Print_Area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2025-11-06T05:47:03Z</dcterms:modified>
</cp:coreProperties>
</file>