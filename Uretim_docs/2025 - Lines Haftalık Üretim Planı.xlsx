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\\192.168.8.5\ortak\İşletme Üretim Ve Planlama\ÜRETİM VE PLANLAMA\GÜNLÜK İŞ PLANLARI\"/>
    </mc:Choice>
  </mc:AlternateContent>
  <bookViews>
    <workbookView xWindow="0" yWindow="0" windowWidth="23040" windowHeight="9192" tabRatio="719" firstSheet="9" activeTab="11"/>
  </bookViews>
  <sheets>
    <sheet name="ANA LİSTE TASLAK" sheetId="15" r:id="rId1"/>
    <sheet name="35.Hafta 2025" sheetId="7" r:id="rId2"/>
    <sheet name="36.Hafta 2025" sheetId="14" r:id="rId3"/>
    <sheet name="37.Hafta 2025" sheetId="22" r:id="rId4"/>
    <sheet name="38.Hafta 2025 " sheetId="8" r:id="rId5"/>
    <sheet name="39.Hafta 2025" sheetId="16" r:id="rId6"/>
    <sheet name="40.Hafta 2025" sheetId="17" r:id="rId7"/>
    <sheet name="41.Hafta 2025" sheetId="18" r:id="rId8"/>
    <sheet name="42.Hafta 2025" sheetId="19" r:id="rId9"/>
    <sheet name="43.Hafta 2025" sheetId="21" r:id="rId10"/>
    <sheet name="44.Hafta 2025 " sheetId="23" r:id="rId11"/>
    <sheet name="45.Hafta 2025" sheetId="24" r:id="rId12"/>
    <sheet name="46.HAFTA" sheetId="25" r:id="rId13"/>
    <sheet name="47.HAFTA" sheetId="26" r:id="rId14"/>
    <sheet name="48.HAFTA" sheetId="27" r:id="rId15"/>
    <sheet name="49.HAFTA" sheetId="28" r:id="rId16"/>
    <sheet name="50.HAFTA" sheetId="29" r:id="rId17"/>
  </sheets>
  <definedNames>
    <definedName name="_xlnm.Print_Area" localSheetId="2">'36.Hafta 2025'!$A$1:$AC$76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L79" i="29" l="1"/>
  <c r="BK79" i="29"/>
  <c r="BA79" i="29"/>
  <c r="AZ79" i="29"/>
  <c r="AP79" i="29"/>
  <c r="AO79" i="29"/>
  <c r="AE79" i="29"/>
  <c r="AD79" i="29"/>
  <c r="U79" i="29"/>
  <c r="T79" i="29"/>
  <c r="S79" i="29"/>
  <c r="I79" i="29"/>
  <c r="H79" i="29"/>
  <c r="BM78" i="29"/>
  <c r="BB78" i="29"/>
  <c r="AQ78" i="29"/>
  <c r="AF78" i="29"/>
  <c r="U78" i="29"/>
  <c r="J78" i="29"/>
  <c r="BM77" i="29"/>
  <c r="BB77" i="29"/>
  <c r="AQ77" i="29"/>
  <c r="AF77" i="29"/>
  <c r="U77" i="29"/>
  <c r="J77" i="29"/>
  <c r="BM76" i="29"/>
  <c r="BB76" i="29"/>
  <c r="AQ76" i="29"/>
  <c r="AF76" i="29"/>
  <c r="U76" i="29"/>
  <c r="J76" i="29"/>
  <c r="BM75" i="29"/>
  <c r="BB75" i="29"/>
  <c r="AQ75" i="29"/>
  <c r="AF75" i="29"/>
  <c r="U75" i="29"/>
  <c r="J75" i="29"/>
  <c r="BM74" i="29"/>
  <c r="BB74" i="29"/>
  <c r="AQ74" i="29"/>
  <c r="AQ79" i="29" s="1"/>
  <c r="AF74" i="29"/>
  <c r="AF79" i="29" s="1"/>
  <c r="U74" i="29"/>
  <c r="J74" i="29"/>
  <c r="BM73" i="29"/>
  <c r="BM79" i="29" s="1"/>
  <c r="BB73" i="29"/>
  <c r="BB79" i="29" s="1"/>
  <c r="AQ73" i="29"/>
  <c r="AF73" i="29"/>
  <c r="U73" i="29"/>
  <c r="J73" i="29"/>
  <c r="J79" i="29" s="1"/>
  <c r="BL68" i="29"/>
  <c r="BK68" i="29"/>
  <c r="BB68" i="29"/>
  <c r="BA68" i="29"/>
  <c r="AZ68" i="29"/>
  <c r="AQ68" i="29"/>
  <c r="AP68" i="29"/>
  <c r="AO68" i="29"/>
  <c r="AE68" i="29"/>
  <c r="AD68" i="29"/>
  <c r="T68" i="29"/>
  <c r="S68" i="29"/>
  <c r="I68" i="29"/>
  <c r="H68" i="29"/>
  <c r="BM67" i="29"/>
  <c r="BB67" i="29"/>
  <c r="AQ67" i="29"/>
  <c r="AF67" i="29"/>
  <c r="U67" i="29"/>
  <c r="J67" i="29"/>
  <c r="BM66" i="29"/>
  <c r="BB66" i="29"/>
  <c r="AQ66" i="29"/>
  <c r="AF66" i="29"/>
  <c r="U66" i="29"/>
  <c r="J66" i="29"/>
  <c r="BM65" i="29"/>
  <c r="BB65" i="29"/>
  <c r="AQ65" i="29"/>
  <c r="AF65" i="29"/>
  <c r="U65" i="29"/>
  <c r="J65" i="29"/>
  <c r="BM64" i="29"/>
  <c r="BB64" i="29"/>
  <c r="AQ64" i="29"/>
  <c r="AF64" i="29"/>
  <c r="U64" i="29"/>
  <c r="J64" i="29"/>
  <c r="BM63" i="29"/>
  <c r="BB63" i="29"/>
  <c r="AQ63" i="29"/>
  <c r="AF63" i="29"/>
  <c r="U63" i="29"/>
  <c r="J63" i="29"/>
  <c r="BM62" i="29"/>
  <c r="BM68" i="29" s="1"/>
  <c r="BB62" i="29"/>
  <c r="AQ62" i="29"/>
  <c r="AF62" i="29"/>
  <c r="AF68" i="29" s="1"/>
  <c r="U62" i="29"/>
  <c r="U68" i="29" s="1"/>
  <c r="J62" i="29"/>
  <c r="J68" i="29" s="1"/>
  <c r="BL57" i="29"/>
  <c r="BK57" i="29"/>
  <c r="BA57" i="29"/>
  <c r="AZ57" i="29"/>
  <c r="AP57" i="29"/>
  <c r="AO57" i="29"/>
  <c r="AE57" i="29"/>
  <c r="AD57" i="29"/>
  <c r="U57" i="29"/>
  <c r="T57" i="29"/>
  <c r="S57" i="29"/>
  <c r="I57" i="29"/>
  <c r="H57" i="29"/>
  <c r="BM56" i="29"/>
  <c r="BB56" i="29"/>
  <c r="AQ56" i="29"/>
  <c r="AF56" i="29"/>
  <c r="U56" i="29"/>
  <c r="J56" i="29"/>
  <c r="BM55" i="29"/>
  <c r="BB55" i="29"/>
  <c r="AQ55" i="29"/>
  <c r="AF55" i="29"/>
  <c r="U55" i="29"/>
  <c r="J55" i="29"/>
  <c r="BM54" i="29"/>
  <c r="BB54" i="29"/>
  <c r="AQ54" i="29"/>
  <c r="AF54" i="29"/>
  <c r="U54" i="29"/>
  <c r="J54" i="29"/>
  <c r="BM53" i="29"/>
  <c r="BB53" i="29"/>
  <c r="AQ53" i="29"/>
  <c r="AF53" i="29"/>
  <c r="U53" i="29"/>
  <c r="J53" i="29"/>
  <c r="BM52" i="29"/>
  <c r="BB52" i="29"/>
  <c r="AQ52" i="29"/>
  <c r="AQ57" i="29" s="1"/>
  <c r="AF52" i="29"/>
  <c r="AF57" i="29" s="1"/>
  <c r="U52" i="29"/>
  <c r="J52" i="29"/>
  <c r="BM51" i="29"/>
  <c r="BM57" i="29" s="1"/>
  <c r="BB51" i="29"/>
  <c r="BB57" i="29" s="1"/>
  <c r="AQ51" i="29"/>
  <c r="AF51" i="29"/>
  <c r="U51" i="29"/>
  <c r="J51" i="29"/>
  <c r="J57" i="29" s="1"/>
  <c r="BL46" i="29"/>
  <c r="BK46" i="29"/>
  <c r="BB46" i="29"/>
  <c r="BA46" i="29"/>
  <c r="AZ46" i="29"/>
  <c r="AQ46" i="29"/>
  <c r="AP46" i="29"/>
  <c r="AO46" i="29"/>
  <c r="AE46" i="29"/>
  <c r="AD46" i="29"/>
  <c r="T46" i="29"/>
  <c r="S46" i="29"/>
  <c r="I46" i="29"/>
  <c r="H46" i="29"/>
  <c r="BM45" i="29"/>
  <c r="BB45" i="29"/>
  <c r="AQ45" i="29"/>
  <c r="AF45" i="29"/>
  <c r="U45" i="29"/>
  <c r="J45" i="29"/>
  <c r="BM44" i="29"/>
  <c r="BB44" i="29"/>
  <c r="AQ44" i="29"/>
  <c r="AF44" i="29"/>
  <c r="U44" i="29"/>
  <c r="J44" i="29"/>
  <c r="BM43" i="29"/>
  <c r="BB43" i="29"/>
  <c r="AQ43" i="29"/>
  <c r="AF43" i="29"/>
  <c r="U43" i="29"/>
  <c r="J43" i="29"/>
  <c r="BM42" i="29"/>
  <c r="BB42" i="29"/>
  <c r="AQ42" i="29"/>
  <c r="AF42" i="29"/>
  <c r="U42" i="29"/>
  <c r="J42" i="29"/>
  <c r="BM41" i="29"/>
  <c r="BB41" i="29"/>
  <c r="AQ41" i="29"/>
  <c r="AF41" i="29"/>
  <c r="U41" i="29"/>
  <c r="J41" i="29"/>
  <c r="BM40" i="29"/>
  <c r="BM46" i="29" s="1"/>
  <c r="BB40" i="29"/>
  <c r="AQ40" i="29"/>
  <c r="AF40" i="29"/>
  <c r="AF46" i="29" s="1"/>
  <c r="U40" i="29"/>
  <c r="U46" i="29" s="1"/>
  <c r="J40" i="29"/>
  <c r="J46" i="29" s="1"/>
  <c r="BL35" i="29"/>
  <c r="BK35" i="29"/>
  <c r="BA35" i="29"/>
  <c r="AZ35" i="29"/>
  <c r="AP35" i="29"/>
  <c r="AO35" i="29"/>
  <c r="AE35" i="29"/>
  <c r="AD35" i="29"/>
  <c r="U35" i="29"/>
  <c r="T35" i="29"/>
  <c r="S35" i="29"/>
  <c r="I35" i="29"/>
  <c r="H35" i="29"/>
  <c r="BM34" i="29"/>
  <c r="BB34" i="29"/>
  <c r="AQ34" i="29"/>
  <c r="AF34" i="29"/>
  <c r="U34" i="29"/>
  <c r="J34" i="29"/>
  <c r="BM33" i="29"/>
  <c r="BB33" i="29"/>
  <c r="AQ33" i="29"/>
  <c r="AF33" i="29"/>
  <c r="U33" i="29"/>
  <c r="J33" i="29"/>
  <c r="BM32" i="29"/>
  <c r="BB32" i="29"/>
  <c r="AQ32" i="29"/>
  <c r="AF32" i="29"/>
  <c r="U32" i="29"/>
  <c r="J32" i="29"/>
  <c r="BM31" i="29"/>
  <c r="BB31" i="29"/>
  <c r="AQ31" i="29"/>
  <c r="AF31" i="29"/>
  <c r="U31" i="29"/>
  <c r="J31" i="29"/>
  <c r="BM30" i="29"/>
  <c r="BB30" i="29"/>
  <c r="AQ30" i="29"/>
  <c r="AQ35" i="29" s="1"/>
  <c r="AF30" i="29"/>
  <c r="AF35" i="29" s="1"/>
  <c r="U30" i="29"/>
  <c r="J30" i="29"/>
  <c r="BM29" i="29"/>
  <c r="BM35" i="29" s="1"/>
  <c r="BB29" i="29"/>
  <c r="BB35" i="29" s="1"/>
  <c r="AQ29" i="29"/>
  <c r="AF29" i="29"/>
  <c r="U29" i="29"/>
  <c r="J29" i="29"/>
  <c r="J35" i="29" s="1"/>
  <c r="BL24" i="29"/>
  <c r="BK24" i="29"/>
  <c r="BB24" i="29"/>
  <c r="BA24" i="29"/>
  <c r="AZ24" i="29"/>
  <c r="AQ24" i="29"/>
  <c r="AP24" i="29"/>
  <c r="AO24" i="29"/>
  <c r="AE24" i="29"/>
  <c r="AD24" i="29"/>
  <c r="T24" i="29"/>
  <c r="S24" i="29"/>
  <c r="I24" i="29"/>
  <c r="H24" i="29"/>
  <c r="BM23" i="29"/>
  <c r="BB23" i="29"/>
  <c r="AQ23" i="29"/>
  <c r="AF23" i="29"/>
  <c r="U23" i="29"/>
  <c r="J23" i="29"/>
  <c r="BM22" i="29"/>
  <c r="BB22" i="29"/>
  <c r="AQ22" i="29"/>
  <c r="AF22" i="29"/>
  <c r="U22" i="29"/>
  <c r="J22" i="29"/>
  <c r="BM21" i="29"/>
  <c r="BB21" i="29"/>
  <c r="AQ21" i="29"/>
  <c r="AF21" i="29"/>
  <c r="U21" i="29"/>
  <c r="J21" i="29"/>
  <c r="BM20" i="29"/>
  <c r="BB20" i="29"/>
  <c r="AQ20" i="29"/>
  <c r="AF20" i="29"/>
  <c r="U20" i="29"/>
  <c r="J20" i="29"/>
  <c r="BM19" i="29"/>
  <c r="BB19" i="29"/>
  <c r="AQ19" i="29"/>
  <c r="AF19" i="29"/>
  <c r="U19" i="29"/>
  <c r="J19" i="29"/>
  <c r="BM18" i="29"/>
  <c r="BM24" i="29" s="1"/>
  <c r="BB18" i="29"/>
  <c r="AQ18" i="29"/>
  <c r="AF18" i="29"/>
  <c r="AF24" i="29" s="1"/>
  <c r="U18" i="29"/>
  <c r="U24" i="29" s="1"/>
  <c r="J18" i="29"/>
  <c r="J24" i="29" s="1"/>
  <c r="BL13" i="29"/>
  <c r="BK13" i="29"/>
  <c r="BA13" i="29"/>
  <c r="AZ13" i="29"/>
  <c r="AP13" i="29"/>
  <c r="AO13" i="29"/>
  <c r="AE13" i="29"/>
  <c r="AD13" i="29"/>
  <c r="U13" i="29"/>
  <c r="T13" i="29"/>
  <c r="S13" i="29"/>
  <c r="I13" i="29"/>
  <c r="H13" i="29"/>
  <c r="BM12" i="29"/>
  <c r="BB12" i="29"/>
  <c r="AQ12" i="29"/>
  <c r="AF12" i="29"/>
  <c r="U12" i="29"/>
  <c r="J12" i="29"/>
  <c r="BM11" i="29"/>
  <c r="BB11" i="29"/>
  <c r="AQ11" i="29"/>
  <c r="AF11" i="29"/>
  <c r="U11" i="29"/>
  <c r="J11" i="29"/>
  <c r="BM10" i="29"/>
  <c r="BB10" i="29"/>
  <c r="AQ10" i="29"/>
  <c r="AF10" i="29"/>
  <c r="U10" i="29"/>
  <c r="J10" i="29"/>
  <c r="BM9" i="29"/>
  <c r="BB9" i="29"/>
  <c r="AQ9" i="29"/>
  <c r="AF9" i="29"/>
  <c r="U9" i="29"/>
  <c r="J9" i="29"/>
  <c r="BM8" i="29"/>
  <c r="BB8" i="29"/>
  <c r="AQ8" i="29"/>
  <c r="AQ13" i="29" s="1"/>
  <c r="AF8" i="29"/>
  <c r="AF13" i="29" s="1"/>
  <c r="U8" i="29"/>
  <c r="J8" i="29"/>
  <c r="BM7" i="29"/>
  <c r="BM13" i="29" s="1"/>
  <c r="BB7" i="29"/>
  <c r="BB13" i="29" s="1"/>
  <c r="AQ7" i="29"/>
  <c r="AF7" i="29"/>
  <c r="U7" i="29"/>
  <c r="J7" i="29"/>
  <c r="J13" i="29" s="1"/>
  <c r="U18" i="23" l="1"/>
  <c r="BL79" i="28" l="1"/>
  <c r="BK79" i="28"/>
  <c r="BA79" i="28"/>
  <c r="AZ79" i="28"/>
  <c r="AP79" i="28"/>
  <c r="AO79" i="28"/>
  <c r="AE79" i="28"/>
  <c r="AD79" i="28"/>
  <c r="T79" i="28"/>
  <c r="S79" i="28"/>
  <c r="I79" i="28"/>
  <c r="H79" i="28"/>
  <c r="BM78" i="28"/>
  <c r="BB78" i="28"/>
  <c r="AQ78" i="28"/>
  <c r="AF78" i="28"/>
  <c r="U78" i="28"/>
  <c r="J78" i="28"/>
  <c r="BM77" i="28"/>
  <c r="BB77" i="28"/>
  <c r="AQ77" i="28"/>
  <c r="AF77" i="28"/>
  <c r="U77" i="28"/>
  <c r="J77" i="28"/>
  <c r="BM76" i="28"/>
  <c r="BB76" i="28"/>
  <c r="AQ76" i="28"/>
  <c r="AF76" i="28"/>
  <c r="U76" i="28"/>
  <c r="J76" i="28"/>
  <c r="BM75" i="28"/>
  <c r="BB75" i="28"/>
  <c r="AQ75" i="28"/>
  <c r="AF75" i="28"/>
  <c r="U75" i="28"/>
  <c r="J75" i="28"/>
  <c r="BM74" i="28"/>
  <c r="BB74" i="28"/>
  <c r="BB79" i="28" s="1"/>
  <c r="AQ74" i="28"/>
  <c r="AF74" i="28"/>
  <c r="U74" i="28"/>
  <c r="J74" i="28"/>
  <c r="J79" i="28" s="1"/>
  <c r="BM73" i="28"/>
  <c r="BM79" i="28" s="1"/>
  <c r="BB73" i="28"/>
  <c r="AQ73" i="28"/>
  <c r="AQ79" i="28" s="1"/>
  <c r="AF73" i="28"/>
  <c r="AF79" i="28" s="1"/>
  <c r="U73" i="28"/>
  <c r="U79" i="28" s="1"/>
  <c r="J73" i="28"/>
  <c r="BL68" i="28"/>
  <c r="BK68" i="28"/>
  <c r="BA68" i="28"/>
  <c r="AZ68" i="28"/>
  <c r="AP68" i="28"/>
  <c r="AO68" i="28"/>
  <c r="AE68" i="28"/>
  <c r="AD68" i="28"/>
  <c r="T68" i="28"/>
  <c r="S68" i="28"/>
  <c r="I68" i="28"/>
  <c r="H68" i="28"/>
  <c r="BM67" i="28"/>
  <c r="BB67" i="28"/>
  <c r="AQ67" i="28"/>
  <c r="AF67" i="28"/>
  <c r="U67" i="28"/>
  <c r="J67" i="28"/>
  <c r="BM66" i="28"/>
  <c r="BB66" i="28"/>
  <c r="AQ66" i="28"/>
  <c r="AF66" i="28"/>
  <c r="U66" i="28"/>
  <c r="J66" i="28"/>
  <c r="BM65" i="28"/>
  <c r="BB65" i="28"/>
  <c r="AQ65" i="28"/>
  <c r="AF65" i="28"/>
  <c r="U65" i="28"/>
  <c r="J65" i="28"/>
  <c r="BM64" i="28"/>
  <c r="BB64" i="28"/>
  <c r="AQ64" i="28"/>
  <c r="AF64" i="28"/>
  <c r="U64" i="28"/>
  <c r="J64" i="28"/>
  <c r="BM63" i="28"/>
  <c r="BB63" i="28"/>
  <c r="AQ63" i="28"/>
  <c r="AF63" i="28"/>
  <c r="U63" i="28"/>
  <c r="J63" i="28"/>
  <c r="BM62" i="28"/>
  <c r="BM68" i="28" s="1"/>
  <c r="BB62" i="28"/>
  <c r="BB68" i="28" s="1"/>
  <c r="AQ62" i="28"/>
  <c r="AQ68" i="28" s="1"/>
  <c r="AF62" i="28"/>
  <c r="AF68" i="28" s="1"/>
  <c r="U62" i="28"/>
  <c r="U68" i="28" s="1"/>
  <c r="J62" i="28"/>
  <c r="J68" i="28" s="1"/>
  <c r="BL57" i="28"/>
  <c r="BK57" i="28"/>
  <c r="BA57" i="28"/>
  <c r="AZ57" i="28"/>
  <c r="AP57" i="28"/>
  <c r="AO57" i="28"/>
  <c r="AE57" i="28"/>
  <c r="AD57" i="28"/>
  <c r="T57" i="28"/>
  <c r="S57" i="28"/>
  <c r="I57" i="28"/>
  <c r="H57" i="28"/>
  <c r="BM56" i="28"/>
  <c r="BB56" i="28"/>
  <c r="AQ56" i="28"/>
  <c r="AF56" i="28"/>
  <c r="U56" i="28"/>
  <c r="J56" i="28"/>
  <c r="BM55" i="28"/>
  <c r="BB55" i="28"/>
  <c r="AQ55" i="28"/>
  <c r="AF55" i="28"/>
  <c r="U55" i="28"/>
  <c r="J55" i="28"/>
  <c r="BM54" i="28"/>
  <c r="BB54" i="28"/>
  <c r="AQ54" i="28"/>
  <c r="AF54" i="28"/>
  <c r="U54" i="28"/>
  <c r="J54" i="28"/>
  <c r="BM53" i="28"/>
  <c r="BB53" i="28"/>
  <c r="AQ53" i="28"/>
  <c r="AQ57" i="28" s="1"/>
  <c r="AF53" i="28"/>
  <c r="U53" i="28"/>
  <c r="J53" i="28"/>
  <c r="BM52" i="28"/>
  <c r="BB52" i="28"/>
  <c r="BB57" i="28" s="1"/>
  <c r="AQ52" i="28"/>
  <c r="AF52" i="28"/>
  <c r="U52" i="28"/>
  <c r="J52" i="28"/>
  <c r="J57" i="28" s="1"/>
  <c r="BM51" i="28"/>
  <c r="BM57" i="28" s="1"/>
  <c r="BB51" i="28"/>
  <c r="AQ51" i="28"/>
  <c r="AF51" i="28"/>
  <c r="AF57" i="28" s="1"/>
  <c r="U51" i="28"/>
  <c r="U57" i="28" s="1"/>
  <c r="J51" i="28"/>
  <c r="BL46" i="28"/>
  <c r="BK46" i="28"/>
  <c r="BA46" i="28"/>
  <c r="AZ46" i="28"/>
  <c r="AP46" i="28"/>
  <c r="AO46" i="28"/>
  <c r="AE46" i="28"/>
  <c r="AD46" i="28"/>
  <c r="T46" i="28"/>
  <c r="S46" i="28"/>
  <c r="I46" i="28"/>
  <c r="H46" i="28"/>
  <c r="BM45" i="28"/>
  <c r="BB45" i="28"/>
  <c r="AQ45" i="28"/>
  <c r="AF45" i="28"/>
  <c r="U45" i="28"/>
  <c r="J45" i="28"/>
  <c r="BM44" i="28"/>
  <c r="BB44" i="28"/>
  <c r="AQ44" i="28"/>
  <c r="AF44" i="28"/>
  <c r="U44" i="28"/>
  <c r="J44" i="28"/>
  <c r="BM43" i="28"/>
  <c r="BB43" i="28"/>
  <c r="AQ43" i="28"/>
  <c r="AF43" i="28"/>
  <c r="AF46" i="28" s="1"/>
  <c r="U43" i="28"/>
  <c r="J43" i="28"/>
  <c r="BM42" i="28"/>
  <c r="BB42" i="28"/>
  <c r="AQ42" i="28"/>
  <c r="AF42" i="28"/>
  <c r="U42" i="28"/>
  <c r="J42" i="28"/>
  <c r="BM41" i="28"/>
  <c r="BB41" i="28"/>
  <c r="AQ41" i="28"/>
  <c r="AF41" i="28"/>
  <c r="U41" i="28"/>
  <c r="J41" i="28"/>
  <c r="J46" i="28" s="1"/>
  <c r="BM40" i="28"/>
  <c r="BM46" i="28" s="1"/>
  <c r="BB40" i="28"/>
  <c r="BB46" i="28" s="1"/>
  <c r="AQ40" i="28"/>
  <c r="AQ46" i="28" s="1"/>
  <c r="AF40" i="28"/>
  <c r="U40" i="28"/>
  <c r="U46" i="28" s="1"/>
  <c r="J40" i="28"/>
  <c r="BL35" i="28"/>
  <c r="BK35" i="28"/>
  <c r="BA35" i="28"/>
  <c r="AZ35" i="28"/>
  <c r="AP35" i="28"/>
  <c r="AO35" i="28"/>
  <c r="AE35" i="28"/>
  <c r="AD35" i="28"/>
  <c r="T35" i="28"/>
  <c r="S35" i="28"/>
  <c r="I35" i="28"/>
  <c r="H35" i="28"/>
  <c r="BM34" i="28"/>
  <c r="BB34" i="28"/>
  <c r="AQ34" i="28"/>
  <c r="AF34" i="28"/>
  <c r="U34" i="28"/>
  <c r="J34" i="28"/>
  <c r="BM33" i="28"/>
  <c r="BB33" i="28"/>
  <c r="AQ33" i="28"/>
  <c r="AF33" i="28"/>
  <c r="U33" i="28"/>
  <c r="J33" i="28"/>
  <c r="BM32" i="28"/>
  <c r="BB32" i="28"/>
  <c r="AQ32" i="28"/>
  <c r="AF32" i="28"/>
  <c r="U32" i="28"/>
  <c r="J32" i="28"/>
  <c r="BM31" i="28"/>
  <c r="BB31" i="28"/>
  <c r="AQ31" i="28"/>
  <c r="AF31" i="28"/>
  <c r="U31" i="28"/>
  <c r="J31" i="28"/>
  <c r="BM30" i="28"/>
  <c r="BB30" i="28"/>
  <c r="BB35" i="28" s="1"/>
  <c r="AQ30" i="28"/>
  <c r="AF30" i="28"/>
  <c r="U30" i="28"/>
  <c r="J30" i="28"/>
  <c r="J35" i="28" s="1"/>
  <c r="BM29" i="28"/>
  <c r="BM35" i="28" s="1"/>
  <c r="BB29" i="28"/>
  <c r="AQ29" i="28"/>
  <c r="AQ35" i="28" s="1"/>
  <c r="AF29" i="28"/>
  <c r="AF35" i="28" s="1"/>
  <c r="U29" i="28"/>
  <c r="U35" i="28" s="1"/>
  <c r="J29" i="28"/>
  <c r="BL24" i="28"/>
  <c r="BK24" i="28"/>
  <c r="BA24" i="28"/>
  <c r="AZ24" i="28"/>
  <c r="AP24" i="28"/>
  <c r="AO24" i="28"/>
  <c r="AE24" i="28"/>
  <c r="AD24" i="28"/>
  <c r="T24" i="28"/>
  <c r="S24" i="28"/>
  <c r="I24" i="28"/>
  <c r="H24" i="28"/>
  <c r="BM23" i="28"/>
  <c r="BB23" i="28"/>
  <c r="AQ23" i="28"/>
  <c r="AF23" i="28"/>
  <c r="U23" i="28"/>
  <c r="J23" i="28"/>
  <c r="BM22" i="28"/>
  <c r="BB22" i="28"/>
  <c r="AQ22" i="28"/>
  <c r="AF22" i="28"/>
  <c r="U22" i="28"/>
  <c r="J22" i="28"/>
  <c r="BM21" i="28"/>
  <c r="BB21" i="28"/>
  <c r="AQ21" i="28"/>
  <c r="AF21" i="28"/>
  <c r="U21" i="28"/>
  <c r="J21" i="28"/>
  <c r="BM20" i="28"/>
  <c r="BB20" i="28"/>
  <c r="AQ20" i="28"/>
  <c r="AF20" i="28"/>
  <c r="U20" i="28"/>
  <c r="J20" i="28"/>
  <c r="BM19" i="28"/>
  <c r="BB19" i="28"/>
  <c r="BB24" i="28" s="1"/>
  <c r="AQ19" i="28"/>
  <c r="AF19" i="28"/>
  <c r="U19" i="28"/>
  <c r="J19" i="28"/>
  <c r="BM18" i="28"/>
  <c r="BM24" i="28" s="1"/>
  <c r="BB18" i="28"/>
  <c r="AQ18" i="28"/>
  <c r="AQ24" i="28" s="1"/>
  <c r="AF18" i="28"/>
  <c r="AF24" i="28" s="1"/>
  <c r="U18" i="28"/>
  <c r="U24" i="28" s="1"/>
  <c r="J18" i="28"/>
  <c r="BL13" i="28"/>
  <c r="BK13" i="28"/>
  <c r="BA13" i="28"/>
  <c r="AZ13" i="28"/>
  <c r="AP13" i="28"/>
  <c r="AO13" i="28"/>
  <c r="AE13" i="28"/>
  <c r="AD13" i="28"/>
  <c r="T13" i="28"/>
  <c r="S13" i="28"/>
  <c r="I13" i="28"/>
  <c r="H13" i="28"/>
  <c r="BM12" i="28"/>
  <c r="BB12" i="28"/>
  <c r="AQ12" i="28"/>
  <c r="AF12" i="28"/>
  <c r="U12" i="28"/>
  <c r="J12" i="28"/>
  <c r="BM11" i="28"/>
  <c r="BB11" i="28"/>
  <c r="AQ11" i="28"/>
  <c r="AF11" i="28"/>
  <c r="U11" i="28"/>
  <c r="J11" i="28"/>
  <c r="BM10" i="28"/>
  <c r="BB10" i="28"/>
  <c r="AQ10" i="28"/>
  <c r="AF10" i="28"/>
  <c r="U10" i="28"/>
  <c r="J10" i="28"/>
  <c r="BM9" i="28"/>
  <c r="BB9" i="28"/>
  <c r="AQ9" i="28"/>
  <c r="AQ13" i="28" s="1"/>
  <c r="AF9" i="28"/>
  <c r="U9" i="28"/>
  <c r="J9" i="28"/>
  <c r="BM8" i="28"/>
  <c r="BB8" i="28"/>
  <c r="BB13" i="28" s="1"/>
  <c r="AQ8" i="28"/>
  <c r="AF8" i="28"/>
  <c r="U8" i="28"/>
  <c r="J8" i="28"/>
  <c r="BM7" i="28"/>
  <c r="BM13" i="28" s="1"/>
  <c r="BB7" i="28"/>
  <c r="AQ7" i="28"/>
  <c r="AF7" i="28"/>
  <c r="AF13" i="28" s="1"/>
  <c r="U7" i="28"/>
  <c r="U13" i="28" s="1"/>
  <c r="J7" i="28"/>
  <c r="J13" i="28" s="1"/>
  <c r="J24" i="28" l="1"/>
  <c r="AP19" i="21"/>
  <c r="T18" i="21" l="1"/>
  <c r="T40" i="21"/>
  <c r="AP18" i="21"/>
  <c r="I18" i="21" l="1"/>
  <c r="BL79" i="27" l="1"/>
  <c r="BK79" i="27"/>
  <c r="BA79" i="27"/>
  <c r="AZ79" i="27"/>
  <c r="AP79" i="27"/>
  <c r="AO79" i="27"/>
  <c r="AE79" i="27"/>
  <c r="AD79" i="27"/>
  <c r="T79" i="27"/>
  <c r="S79" i="27"/>
  <c r="I79" i="27"/>
  <c r="H79" i="27"/>
  <c r="BM78" i="27"/>
  <c r="BB78" i="27"/>
  <c r="AQ78" i="27"/>
  <c r="AF78" i="27"/>
  <c r="U78" i="27"/>
  <c r="J78" i="27"/>
  <c r="BM77" i="27"/>
  <c r="BB77" i="27"/>
  <c r="AQ77" i="27"/>
  <c r="AF77" i="27"/>
  <c r="U77" i="27"/>
  <c r="J77" i="27"/>
  <c r="BM76" i="27"/>
  <c r="BB76" i="27"/>
  <c r="AQ76" i="27"/>
  <c r="AF76" i="27"/>
  <c r="U76" i="27"/>
  <c r="J76" i="27"/>
  <c r="BM75" i="27"/>
  <c r="BB75" i="27"/>
  <c r="AQ75" i="27"/>
  <c r="AF75" i="27"/>
  <c r="U75" i="27"/>
  <c r="J75" i="27"/>
  <c r="BM74" i="27"/>
  <c r="BB74" i="27"/>
  <c r="AQ74" i="27"/>
  <c r="AF74" i="27"/>
  <c r="U74" i="27"/>
  <c r="J74" i="27"/>
  <c r="BM73" i="27"/>
  <c r="BM79" i="27" s="1"/>
  <c r="BB73" i="27"/>
  <c r="BB79" i="27" s="1"/>
  <c r="AQ73" i="27"/>
  <c r="AQ79" i="27" s="1"/>
  <c r="AF73" i="27"/>
  <c r="AF79" i="27" s="1"/>
  <c r="U73" i="27"/>
  <c r="J73" i="27"/>
  <c r="BL68" i="27"/>
  <c r="BK68" i="27"/>
  <c r="BA68" i="27"/>
  <c r="AZ68" i="27"/>
  <c r="AP68" i="27"/>
  <c r="AO68" i="27"/>
  <c r="AE68" i="27"/>
  <c r="AD68" i="27"/>
  <c r="T68" i="27"/>
  <c r="S68" i="27"/>
  <c r="I68" i="27"/>
  <c r="H68" i="27"/>
  <c r="BM67" i="27"/>
  <c r="BB67" i="27"/>
  <c r="AQ67" i="27"/>
  <c r="AF67" i="27"/>
  <c r="U67" i="27"/>
  <c r="J67" i="27"/>
  <c r="BM66" i="27"/>
  <c r="BB66" i="27"/>
  <c r="AQ66" i="27"/>
  <c r="AF66" i="27"/>
  <c r="U66" i="27"/>
  <c r="J66" i="27"/>
  <c r="BM65" i="27"/>
  <c r="BB65" i="27"/>
  <c r="AQ65" i="27"/>
  <c r="AF65" i="27"/>
  <c r="U65" i="27"/>
  <c r="J65" i="27"/>
  <c r="BM64" i="27"/>
  <c r="BB64" i="27"/>
  <c r="AQ64" i="27"/>
  <c r="AF64" i="27"/>
  <c r="U64" i="27"/>
  <c r="J64" i="27"/>
  <c r="BM63" i="27"/>
  <c r="BB63" i="27"/>
  <c r="AQ63" i="27"/>
  <c r="AF63" i="27"/>
  <c r="U63" i="27"/>
  <c r="J63" i="27"/>
  <c r="BM62" i="27"/>
  <c r="BM68" i="27" s="1"/>
  <c r="BB62" i="27"/>
  <c r="BB68" i="27" s="1"/>
  <c r="AQ62" i="27"/>
  <c r="AQ68" i="27" s="1"/>
  <c r="AF62" i="27"/>
  <c r="AF68" i="27" s="1"/>
  <c r="U62" i="27"/>
  <c r="U68" i="27" s="1"/>
  <c r="J62" i="27"/>
  <c r="J68" i="27" s="1"/>
  <c r="BL57" i="27"/>
  <c r="BK57" i="27"/>
  <c r="BA57" i="27"/>
  <c r="AZ57" i="27"/>
  <c r="AP57" i="27"/>
  <c r="AO57" i="27"/>
  <c r="AE57" i="27"/>
  <c r="AD57" i="27"/>
  <c r="T57" i="27"/>
  <c r="S57" i="27"/>
  <c r="I57" i="27"/>
  <c r="H57" i="27"/>
  <c r="BM56" i="27"/>
  <c r="BB56" i="27"/>
  <c r="AQ56" i="27"/>
  <c r="AF56" i="27"/>
  <c r="U56" i="27"/>
  <c r="J56" i="27"/>
  <c r="BM55" i="27"/>
  <c r="BB55" i="27"/>
  <c r="AQ55" i="27"/>
  <c r="AF55" i="27"/>
  <c r="U55" i="27"/>
  <c r="J55" i="27"/>
  <c r="BM54" i="27"/>
  <c r="BB54" i="27"/>
  <c r="AQ54" i="27"/>
  <c r="AF54" i="27"/>
  <c r="U54" i="27"/>
  <c r="J54" i="27"/>
  <c r="BM53" i="27"/>
  <c r="BB53" i="27"/>
  <c r="AQ53" i="27"/>
  <c r="AF53" i="27"/>
  <c r="U53" i="27"/>
  <c r="J53" i="27"/>
  <c r="BM52" i="27"/>
  <c r="BB52" i="27"/>
  <c r="BB57" i="27" s="1"/>
  <c r="AQ52" i="27"/>
  <c r="AF52" i="27"/>
  <c r="U52" i="27"/>
  <c r="J52" i="27"/>
  <c r="BM51" i="27"/>
  <c r="BM57" i="27" s="1"/>
  <c r="BB51" i="27"/>
  <c r="AQ51" i="27"/>
  <c r="AQ57" i="27" s="1"/>
  <c r="AF51" i="27"/>
  <c r="AF57" i="27" s="1"/>
  <c r="U51" i="27"/>
  <c r="U57" i="27" s="1"/>
  <c r="J51" i="27"/>
  <c r="J57" i="27" s="1"/>
  <c r="BL46" i="27"/>
  <c r="BK46" i="27"/>
  <c r="BA46" i="27"/>
  <c r="AZ46" i="27"/>
  <c r="AP46" i="27"/>
  <c r="AO46" i="27"/>
  <c r="AE46" i="27"/>
  <c r="AD46" i="27"/>
  <c r="T46" i="27"/>
  <c r="S46" i="27"/>
  <c r="I46" i="27"/>
  <c r="H46" i="27"/>
  <c r="BM45" i="27"/>
  <c r="BB45" i="27"/>
  <c r="AQ45" i="27"/>
  <c r="AF45" i="27"/>
  <c r="U45" i="27"/>
  <c r="J45" i="27"/>
  <c r="BM44" i="27"/>
  <c r="BB44" i="27"/>
  <c r="AQ44" i="27"/>
  <c r="AF44" i="27"/>
  <c r="U44" i="27"/>
  <c r="J44" i="27"/>
  <c r="BM43" i="27"/>
  <c r="BB43" i="27"/>
  <c r="AQ43" i="27"/>
  <c r="AF43" i="27"/>
  <c r="AF46" i="27" s="1"/>
  <c r="U43" i="27"/>
  <c r="J43" i="27"/>
  <c r="BM42" i="27"/>
  <c r="BB42" i="27"/>
  <c r="AQ42" i="27"/>
  <c r="AF42" i="27"/>
  <c r="U42" i="27"/>
  <c r="J42" i="27"/>
  <c r="BM41" i="27"/>
  <c r="BB41" i="27"/>
  <c r="AQ41" i="27"/>
  <c r="AF41" i="27"/>
  <c r="U41" i="27"/>
  <c r="J41" i="27"/>
  <c r="BM40" i="27"/>
  <c r="BM46" i="27" s="1"/>
  <c r="BB40" i="27"/>
  <c r="BB46" i="27" s="1"/>
  <c r="AQ40" i="27"/>
  <c r="AQ46" i="27" s="1"/>
  <c r="AF40" i="27"/>
  <c r="U40" i="27"/>
  <c r="U46" i="27" s="1"/>
  <c r="J40" i="27"/>
  <c r="J46" i="27" s="1"/>
  <c r="BL35" i="27"/>
  <c r="BK35" i="27"/>
  <c r="BA35" i="27"/>
  <c r="AZ35" i="27"/>
  <c r="AP35" i="27"/>
  <c r="AO35" i="27"/>
  <c r="AE35" i="27"/>
  <c r="AD35" i="27"/>
  <c r="T35" i="27"/>
  <c r="S35" i="27"/>
  <c r="I35" i="27"/>
  <c r="H35" i="27"/>
  <c r="BM34" i="27"/>
  <c r="BB34" i="27"/>
  <c r="AQ34" i="27"/>
  <c r="AF34" i="27"/>
  <c r="U34" i="27"/>
  <c r="J34" i="27"/>
  <c r="BM33" i="27"/>
  <c r="BB33" i="27"/>
  <c r="AQ33" i="27"/>
  <c r="AF33" i="27"/>
  <c r="U33" i="27"/>
  <c r="J33" i="27"/>
  <c r="BM32" i="27"/>
  <c r="BB32" i="27"/>
  <c r="AQ32" i="27"/>
  <c r="AF32" i="27"/>
  <c r="U32" i="27"/>
  <c r="J32" i="27"/>
  <c r="BM31" i="27"/>
  <c r="BB31" i="27"/>
  <c r="AQ31" i="27"/>
  <c r="AF31" i="27"/>
  <c r="U31" i="27"/>
  <c r="J31" i="27"/>
  <c r="BM30" i="27"/>
  <c r="BB30" i="27"/>
  <c r="AQ30" i="27"/>
  <c r="AF30" i="27"/>
  <c r="U30" i="27"/>
  <c r="J30" i="27"/>
  <c r="J35" i="27" s="1"/>
  <c r="BM29" i="27"/>
  <c r="BM35" i="27" s="1"/>
  <c r="BB29" i="27"/>
  <c r="BB35" i="27" s="1"/>
  <c r="AQ29" i="27"/>
  <c r="AQ35" i="27" s="1"/>
  <c r="AF29" i="27"/>
  <c r="AF35" i="27" s="1"/>
  <c r="U29" i="27"/>
  <c r="U35" i="27" s="1"/>
  <c r="J29" i="27"/>
  <c r="BL24" i="27"/>
  <c r="BK24" i="27"/>
  <c r="BA24" i="27"/>
  <c r="AZ24" i="27"/>
  <c r="AP24" i="27"/>
  <c r="AO24" i="27"/>
  <c r="AE24" i="27"/>
  <c r="AD24" i="27"/>
  <c r="T24" i="27"/>
  <c r="S24" i="27"/>
  <c r="I24" i="27"/>
  <c r="H24" i="27"/>
  <c r="BM23" i="27"/>
  <c r="BB23" i="27"/>
  <c r="AQ23" i="27"/>
  <c r="AF23" i="27"/>
  <c r="U23" i="27"/>
  <c r="J23" i="27"/>
  <c r="BM22" i="27"/>
  <c r="BB22" i="27"/>
  <c r="AQ22" i="27"/>
  <c r="AF22" i="27"/>
  <c r="U22" i="27"/>
  <c r="J22" i="27"/>
  <c r="BM21" i="27"/>
  <c r="BB21" i="27"/>
  <c r="AQ21" i="27"/>
  <c r="AF21" i="27"/>
  <c r="U21" i="27"/>
  <c r="J21" i="27"/>
  <c r="BM20" i="27"/>
  <c r="BB20" i="27"/>
  <c r="AQ20" i="27"/>
  <c r="AF20" i="27"/>
  <c r="U20" i="27"/>
  <c r="J20" i="27"/>
  <c r="BM19" i="27"/>
  <c r="BB19" i="27"/>
  <c r="AQ19" i="27"/>
  <c r="AF19" i="27"/>
  <c r="U19" i="27"/>
  <c r="J19" i="27"/>
  <c r="BM18" i="27"/>
  <c r="BB18" i="27"/>
  <c r="AQ18" i="27"/>
  <c r="AQ24" i="27" s="1"/>
  <c r="AF18" i="27"/>
  <c r="AF24" i="27" s="1"/>
  <c r="U18" i="27"/>
  <c r="J18" i="27"/>
  <c r="BL13" i="27"/>
  <c r="BK13" i="27"/>
  <c r="BA13" i="27"/>
  <c r="AZ13" i="27"/>
  <c r="AP13" i="27"/>
  <c r="AO13" i="27"/>
  <c r="AE13" i="27"/>
  <c r="AD13" i="27"/>
  <c r="T13" i="27"/>
  <c r="S13" i="27"/>
  <c r="I13" i="27"/>
  <c r="H13" i="27"/>
  <c r="BM12" i="27"/>
  <c r="BB12" i="27"/>
  <c r="AQ12" i="27"/>
  <c r="AF12" i="27"/>
  <c r="U12" i="27"/>
  <c r="J12" i="27"/>
  <c r="BM11" i="27"/>
  <c r="BB11" i="27"/>
  <c r="AQ11" i="27"/>
  <c r="AF11" i="27"/>
  <c r="U11" i="27"/>
  <c r="J11" i="27"/>
  <c r="BM10" i="27"/>
  <c r="BB10" i="27"/>
  <c r="AQ10" i="27"/>
  <c r="AF10" i="27"/>
  <c r="U10" i="27"/>
  <c r="J10" i="27"/>
  <c r="BM9" i="27"/>
  <c r="BB9" i="27"/>
  <c r="AQ9" i="27"/>
  <c r="AF9" i="27"/>
  <c r="U9" i="27"/>
  <c r="J9" i="27"/>
  <c r="BM8" i="27"/>
  <c r="BB8" i="27"/>
  <c r="BB13" i="27" s="1"/>
  <c r="AQ8" i="27"/>
  <c r="AF8" i="27"/>
  <c r="U8" i="27"/>
  <c r="J8" i="27"/>
  <c r="BM7" i="27"/>
  <c r="BM13" i="27" s="1"/>
  <c r="BB7" i="27"/>
  <c r="AQ7" i="27"/>
  <c r="AQ13" i="27" s="1"/>
  <c r="AF7" i="27"/>
  <c r="AF13" i="27" s="1"/>
  <c r="U7" i="27"/>
  <c r="U13" i="27" s="1"/>
  <c r="J7" i="27"/>
  <c r="U79" i="27" l="1"/>
  <c r="J79" i="27"/>
  <c r="BM24" i="27"/>
  <c r="BB24" i="27"/>
  <c r="U24" i="27"/>
  <c r="J24" i="27"/>
  <c r="J13" i="27"/>
  <c r="AP40" i="19"/>
  <c r="AE41" i="19"/>
  <c r="BL79" i="26" l="1"/>
  <c r="BK79" i="26"/>
  <c r="BA79" i="26"/>
  <c r="AZ79" i="26"/>
  <c r="AQ79" i="26"/>
  <c r="AP79" i="26"/>
  <c r="AO79" i="26"/>
  <c r="AF79" i="26"/>
  <c r="AE79" i="26"/>
  <c r="AD79" i="26"/>
  <c r="T79" i="26"/>
  <c r="S79" i="26"/>
  <c r="I79" i="26"/>
  <c r="H79" i="26"/>
  <c r="BM78" i="26"/>
  <c r="BB78" i="26"/>
  <c r="AQ78" i="26"/>
  <c r="AF78" i="26"/>
  <c r="U78" i="26"/>
  <c r="J78" i="26"/>
  <c r="BM77" i="26"/>
  <c r="BB77" i="26"/>
  <c r="AQ77" i="26"/>
  <c r="AF77" i="26"/>
  <c r="U77" i="26"/>
  <c r="J77" i="26"/>
  <c r="BM76" i="26"/>
  <c r="BB76" i="26"/>
  <c r="AQ76" i="26"/>
  <c r="AF76" i="26"/>
  <c r="U76" i="26"/>
  <c r="J76" i="26"/>
  <c r="BM75" i="26"/>
  <c r="BB75" i="26"/>
  <c r="AQ75" i="26"/>
  <c r="AF75" i="26"/>
  <c r="U75" i="26"/>
  <c r="J75" i="26"/>
  <c r="BM74" i="26"/>
  <c r="BB74" i="26"/>
  <c r="AQ74" i="26"/>
  <c r="AF74" i="26"/>
  <c r="U74" i="26"/>
  <c r="J74" i="26"/>
  <c r="BM73" i="26"/>
  <c r="BM79" i="26" s="1"/>
  <c r="BB73" i="26"/>
  <c r="BB79" i="26" s="1"/>
  <c r="AQ73" i="26"/>
  <c r="AF73" i="26"/>
  <c r="U73" i="26"/>
  <c r="U79" i="26" s="1"/>
  <c r="J73" i="26"/>
  <c r="J79" i="26" s="1"/>
  <c r="BL68" i="26"/>
  <c r="BK68" i="26"/>
  <c r="BB68" i="26"/>
  <c r="BA68" i="26"/>
  <c r="AZ68" i="26"/>
  <c r="AP68" i="26"/>
  <c r="AO68" i="26"/>
  <c r="AE68" i="26"/>
  <c r="AD68" i="26"/>
  <c r="T68" i="26"/>
  <c r="S68" i="26"/>
  <c r="I68" i="26"/>
  <c r="H68" i="26"/>
  <c r="BM67" i="26"/>
  <c r="BB67" i="26"/>
  <c r="AQ67" i="26"/>
  <c r="AF67" i="26"/>
  <c r="U67" i="26"/>
  <c r="J67" i="26"/>
  <c r="BM66" i="26"/>
  <c r="BB66" i="26"/>
  <c r="AQ66" i="26"/>
  <c r="AF66" i="26"/>
  <c r="U66" i="26"/>
  <c r="J66" i="26"/>
  <c r="BM65" i="26"/>
  <c r="BB65" i="26"/>
  <c r="AQ65" i="26"/>
  <c r="AF65" i="26"/>
  <c r="U65" i="26"/>
  <c r="J65" i="26"/>
  <c r="BM64" i="26"/>
  <c r="BB64" i="26"/>
  <c r="AQ64" i="26"/>
  <c r="AF64" i="26"/>
  <c r="U64" i="26"/>
  <c r="J64" i="26"/>
  <c r="BM63" i="26"/>
  <c r="BB63" i="26"/>
  <c r="AQ63" i="26"/>
  <c r="AF63" i="26"/>
  <c r="U63" i="26"/>
  <c r="J63" i="26"/>
  <c r="BM62" i="26"/>
  <c r="BM68" i="26" s="1"/>
  <c r="BB62" i="26"/>
  <c r="AQ62" i="26"/>
  <c r="AQ68" i="26" s="1"/>
  <c r="AF62" i="26"/>
  <c r="AF68" i="26" s="1"/>
  <c r="U62" i="26"/>
  <c r="U68" i="26" s="1"/>
  <c r="J62" i="26"/>
  <c r="J68" i="26" s="1"/>
  <c r="BL57" i="26"/>
  <c r="BK57" i="26"/>
  <c r="BA57" i="26"/>
  <c r="AZ57" i="26"/>
  <c r="AP57" i="26"/>
  <c r="AO57" i="26"/>
  <c r="AE57" i="26"/>
  <c r="AD57" i="26"/>
  <c r="T57" i="26"/>
  <c r="S57" i="26"/>
  <c r="I57" i="26"/>
  <c r="H57" i="26"/>
  <c r="BM56" i="26"/>
  <c r="BB56" i="26"/>
  <c r="AQ56" i="26"/>
  <c r="AF56" i="26"/>
  <c r="U56" i="26"/>
  <c r="J56" i="26"/>
  <c r="BM55" i="26"/>
  <c r="BB55" i="26"/>
  <c r="AQ55" i="26"/>
  <c r="AF55" i="26"/>
  <c r="U55" i="26"/>
  <c r="J55" i="26"/>
  <c r="BM54" i="26"/>
  <c r="BB54" i="26"/>
  <c r="AQ54" i="26"/>
  <c r="AF54" i="26"/>
  <c r="U54" i="26"/>
  <c r="J54" i="26"/>
  <c r="BM53" i="26"/>
  <c r="BB53" i="26"/>
  <c r="AQ53" i="26"/>
  <c r="AF53" i="26"/>
  <c r="U53" i="26"/>
  <c r="J53" i="26"/>
  <c r="BM52" i="26"/>
  <c r="BB52" i="26"/>
  <c r="AQ52" i="26"/>
  <c r="AQ57" i="26" s="1"/>
  <c r="AF52" i="26"/>
  <c r="AF57" i="26" s="1"/>
  <c r="U52" i="26"/>
  <c r="J52" i="26"/>
  <c r="BM51" i="26"/>
  <c r="BM57" i="26" s="1"/>
  <c r="BB51" i="26"/>
  <c r="BB57" i="26" s="1"/>
  <c r="AQ51" i="26"/>
  <c r="AF51" i="26"/>
  <c r="U51" i="26"/>
  <c r="U57" i="26" s="1"/>
  <c r="J51" i="26"/>
  <c r="J57" i="26" s="1"/>
  <c r="BL46" i="26"/>
  <c r="BK46" i="26"/>
  <c r="BB46" i="26"/>
  <c r="BA46" i="26"/>
  <c r="AZ46" i="26"/>
  <c r="AP46" i="26"/>
  <c r="AO46" i="26"/>
  <c r="AE46" i="26"/>
  <c r="AD46" i="26"/>
  <c r="T46" i="26"/>
  <c r="S46" i="26"/>
  <c r="I46" i="26"/>
  <c r="H46" i="26"/>
  <c r="BM45" i="26"/>
  <c r="BB45" i="26"/>
  <c r="AQ45" i="26"/>
  <c r="AF45" i="26"/>
  <c r="U45" i="26"/>
  <c r="J45" i="26"/>
  <c r="BM44" i="26"/>
  <c r="BB44" i="26"/>
  <c r="AQ44" i="26"/>
  <c r="AF44" i="26"/>
  <c r="U44" i="26"/>
  <c r="J44" i="26"/>
  <c r="BM43" i="26"/>
  <c r="BB43" i="26"/>
  <c r="AQ43" i="26"/>
  <c r="AF43" i="26"/>
  <c r="U43" i="26"/>
  <c r="J43" i="26"/>
  <c r="BM42" i="26"/>
  <c r="BB42" i="26"/>
  <c r="AQ42" i="26"/>
  <c r="AF42" i="26"/>
  <c r="U42" i="26"/>
  <c r="J42" i="26"/>
  <c r="BM41" i="26"/>
  <c r="BB41" i="26"/>
  <c r="AQ41" i="26"/>
  <c r="AF41" i="26"/>
  <c r="U41" i="26"/>
  <c r="J41" i="26"/>
  <c r="BM40" i="26"/>
  <c r="BM46" i="26" s="1"/>
  <c r="BB40" i="26"/>
  <c r="AQ40" i="26"/>
  <c r="AQ46" i="26" s="1"/>
  <c r="AF40" i="26"/>
  <c r="AF46" i="26" s="1"/>
  <c r="U40" i="26"/>
  <c r="U46" i="26" s="1"/>
  <c r="J40" i="26"/>
  <c r="J46" i="26" s="1"/>
  <c r="BL35" i="26"/>
  <c r="BK35" i="26"/>
  <c r="BA35" i="26"/>
  <c r="AZ35" i="26"/>
  <c r="AP35" i="26"/>
  <c r="AO35" i="26"/>
  <c r="AE35" i="26"/>
  <c r="AD35" i="26"/>
  <c r="T35" i="26"/>
  <c r="S35" i="26"/>
  <c r="I35" i="26"/>
  <c r="H35" i="26"/>
  <c r="BM34" i="26"/>
  <c r="BB34" i="26"/>
  <c r="AQ34" i="26"/>
  <c r="AF34" i="26"/>
  <c r="U34" i="26"/>
  <c r="J34" i="26"/>
  <c r="BM33" i="26"/>
  <c r="BB33" i="26"/>
  <c r="AQ33" i="26"/>
  <c r="AF33" i="26"/>
  <c r="U33" i="26"/>
  <c r="J33" i="26"/>
  <c r="BM32" i="26"/>
  <c r="BB32" i="26"/>
  <c r="AQ32" i="26"/>
  <c r="AF32" i="26"/>
  <c r="U32" i="26"/>
  <c r="J32" i="26"/>
  <c r="BM31" i="26"/>
  <c r="BB31" i="26"/>
  <c r="AQ31" i="26"/>
  <c r="AF31" i="26"/>
  <c r="U31" i="26"/>
  <c r="J31" i="26"/>
  <c r="BM30" i="26"/>
  <c r="BB30" i="26"/>
  <c r="AQ30" i="26"/>
  <c r="AQ35" i="26" s="1"/>
  <c r="AF30" i="26"/>
  <c r="AF35" i="26" s="1"/>
  <c r="U30" i="26"/>
  <c r="J30" i="26"/>
  <c r="BM29" i="26"/>
  <c r="BM35" i="26" s="1"/>
  <c r="BB29" i="26"/>
  <c r="BB35" i="26" s="1"/>
  <c r="AQ29" i="26"/>
  <c r="AF29" i="26"/>
  <c r="U29" i="26"/>
  <c r="U35" i="26" s="1"/>
  <c r="J29" i="26"/>
  <c r="J35" i="26" s="1"/>
  <c r="BL24" i="26"/>
  <c r="BK24" i="26"/>
  <c r="BA24" i="26"/>
  <c r="AZ24" i="26"/>
  <c r="AP24" i="26"/>
  <c r="AO24" i="26"/>
  <c r="AE24" i="26"/>
  <c r="AD24" i="26"/>
  <c r="T24" i="26"/>
  <c r="S24" i="26"/>
  <c r="I24" i="26"/>
  <c r="H24" i="26"/>
  <c r="BM23" i="26"/>
  <c r="BB23" i="26"/>
  <c r="AQ23" i="26"/>
  <c r="AF23" i="26"/>
  <c r="U23" i="26"/>
  <c r="J23" i="26"/>
  <c r="BM22" i="26"/>
  <c r="BB22" i="26"/>
  <c r="AQ22" i="26"/>
  <c r="AF22" i="26"/>
  <c r="U22" i="26"/>
  <c r="J22" i="26"/>
  <c r="BM21" i="26"/>
  <c r="BB21" i="26"/>
  <c r="AQ21" i="26"/>
  <c r="AF21" i="26"/>
  <c r="U21" i="26"/>
  <c r="J21" i="26"/>
  <c r="BM20" i="26"/>
  <c r="BB20" i="26"/>
  <c r="AQ20" i="26"/>
  <c r="AF20" i="26"/>
  <c r="U20" i="26"/>
  <c r="J20" i="26"/>
  <c r="BM19" i="26"/>
  <c r="BB19" i="26"/>
  <c r="AQ19" i="26"/>
  <c r="AF19" i="26"/>
  <c r="U19" i="26"/>
  <c r="J19" i="26"/>
  <c r="BM18" i="26"/>
  <c r="BB18" i="26"/>
  <c r="BB24" i="26" s="1"/>
  <c r="AQ18" i="26"/>
  <c r="AF18" i="26"/>
  <c r="U18" i="26"/>
  <c r="J18" i="26"/>
  <c r="BL13" i="26"/>
  <c r="BK13" i="26"/>
  <c r="BA13" i="26"/>
  <c r="AZ13" i="26"/>
  <c r="AP13" i="26"/>
  <c r="AO13" i="26"/>
  <c r="AE13" i="26"/>
  <c r="AD13" i="26"/>
  <c r="T13" i="26"/>
  <c r="S13" i="26"/>
  <c r="I13" i="26"/>
  <c r="H13" i="26"/>
  <c r="BM12" i="26"/>
  <c r="BB12" i="26"/>
  <c r="AQ12" i="26"/>
  <c r="AF12" i="26"/>
  <c r="U12" i="26"/>
  <c r="J12" i="26"/>
  <c r="BM11" i="26"/>
  <c r="BB11" i="26"/>
  <c r="AQ11" i="26"/>
  <c r="AF11" i="26"/>
  <c r="U11" i="26"/>
  <c r="J11" i="26"/>
  <c r="BM10" i="26"/>
  <c r="BB10" i="26"/>
  <c r="AQ10" i="26"/>
  <c r="AF10" i="26"/>
  <c r="U10" i="26"/>
  <c r="J10" i="26"/>
  <c r="BM9" i="26"/>
  <c r="BB9" i="26"/>
  <c r="AQ9" i="26"/>
  <c r="AF9" i="26"/>
  <c r="U9" i="26"/>
  <c r="J9" i="26"/>
  <c r="BM8" i="26"/>
  <c r="BB8" i="26"/>
  <c r="AQ8" i="26"/>
  <c r="AQ13" i="26" s="1"/>
  <c r="AF8" i="26"/>
  <c r="AF13" i="26" s="1"/>
  <c r="U8" i="26"/>
  <c r="J8" i="26"/>
  <c r="BM7" i="26"/>
  <c r="BM13" i="26" s="1"/>
  <c r="BB7" i="26"/>
  <c r="BB13" i="26" s="1"/>
  <c r="AQ7" i="26"/>
  <c r="AF7" i="26"/>
  <c r="U7" i="26"/>
  <c r="J7" i="26"/>
  <c r="BM24" i="26" l="1"/>
  <c r="AQ24" i="26"/>
  <c r="AF24" i="26"/>
  <c r="U24" i="26"/>
  <c r="J24" i="26"/>
  <c r="J13" i="26"/>
  <c r="U13" i="26"/>
  <c r="BL79" i="25"/>
  <c r="BK79" i="25"/>
  <c r="BA79" i="25"/>
  <c r="AZ79" i="25"/>
  <c r="AP79" i="25"/>
  <c r="AO79" i="25"/>
  <c r="AE79" i="25"/>
  <c r="AD79" i="25"/>
  <c r="T79" i="25"/>
  <c r="S79" i="25"/>
  <c r="I79" i="25"/>
  <c r="H79" i="25"/>
  <c r="BM78" i="25"/>
  <c r="BB78" i="25"/>
  <c r="AQ78" i="25"/>
  <c r="AF78" i="25"/>
  <c r="U78" i="25"/>
  <c r="J78" i="25"/>
  <c r="BM77" i="25"/>
  <c r="BB77" i="25"/>
  <c r="AQ77" i="25"/>
  <c r="AF77" i="25"/>
  <c r="U77" i="25"/>
  <c r="J77" i="25"/>
  <c r="BM76" i="25"/>
  <c r="BB76" i="25"/>
  <c r="AQ76" i="25"/>
  <c r="AF76" i="25"/>
  <c r="AF79" i="25" s="1"/>
  <c r="U76" i="25"/>
  <c r="J76" i="25"/>
  <c r="BM75" i="25"/>
  <c r="BB75" i="25"/>
  <c r="AQ75" i="25"/>
  <c r="AQ79" i="25" s="1"/>
  <c r="AF75" i="25"/>
  <c r="U75" i="25"/>
  <c r="J75" i="25"/>
  <c r="BM74" i="25"/>
  <c r="BB74" i="25"/>
  <c r="AQ74" i="25"/>
  <c r="AF74" i="25"/>
  <c r="U74" i="25"/>
  <c r="J74" i="25"/>
  <c r="J79" i="25" s="1"/>
  <c r="BM73" i="25"/>
  <c r="BM79" i="25" s="1"/>
  <c r="BB73" i="25"/>
  <c r="BB79" i="25" s="1"/>
  <c r="AQ73" i="25"/>
  <c r="AF73" i="25"/>
  <c r="U73" i="25"/>
  <c r="U79" i="25" s="1"/>
  <c r="J73" i="25"/>
  <c r="BL68" i="25"/>
  <c r="BK68" i="25"/>
  <c r="BA68" i="25"/>
  <c r="AZ68" i="25"/>
  <c r="AP68" i="25"/>
  <c r="AO68" i="25"/>
  <c r="AE68" i="25"/>
  <c r="AD68" i="25"/>
  <c r="T68" i="25"/>
  <c r="S68" i="25"/>
  <c r="I68" i="25"/>
  <c r="H68" i="25"/>
  <c r="BM67" i="25"/>
  <c r="BB67" i="25"/>
  <c r="AQ67" i="25"/>
  <c r="AF67" i="25"/>
  <c r="U67" i="25"/>
  <c r="J67" i="25"/>
  <c r="BM66" i="25"/>
  <c r="BB66" i="25"/>
  <c r="AQ66" i="25"/>
  <c r="AF66" i="25"/>
  <c r="U66" i="25"/>
  <c r="J66" i="25"/>
  <c r="BM65" i="25"/>
  <c r="BB65" i="25"/>
  <c r="AQ65" i="25"/>
  <c r="AF65" i="25"/>
  <c r="U65" i="25"/>
  <c r="J65" i="25"/>
  <c r="BM64" i="25"/>
  <c r="BB64" i="25"/>
  <c r="AQ64" i="25"/>
  <c r="AF64" i="25"/>
  <c r="U64" i="25"/>
  <c r="J64" i="25"/>
  <c r="BM63" i="25"/>
  <c r="BB63" i="25"/>
  <c r="BB68" i="25" s="1"/>
  <c r="AQ63" i="25"/>
  <c r="AF63" i="25"/>
  <c r="U63" i="25"/>
  <c r="J63" i="25"/>
  <c r="BM62" i="25"/>
  <c r="BM68" i="25" s="1"/>
  <c r="BB62" i="25"/>
  <c r="AQ62" i="25"/>
  <c r="AQ68" i="25" s="1"/>
  <c r="AF62" i="25"/>
  <c r="AF68" i="25" s="1"/>
  <c r="U62" i="25"/>
  <c r="U68" i="25" s="1"/>
  <c r="J62" i="25"/>
  <c r="J68" i="25" s="1"/>
  <c r="BL57" i="25"/>
  <c r="BK57" i="25"/>
  <c r="BA57" i="25"/>
  <c r="AZ57" i="25"/>
  <c r="AP57" i="25"/>
  <c r="AO57" i="25"/>
  <c r="AE57" i="25"/>
  <c r="AD57" i="25"/>
  <c r="T57" i="25"/>
  <c r="S57" i="25"/>
  <c r="I57" i="25"/>
  <c r="H57" i="25"/>
  <c r="BM56" i="25"/>
  <c r="BB56" i="25"/>
  <c r="AQ56" i="25"/>
  <c r="AF56" i="25"/>
  <c r="U56" i="25"/>
  <c r="J56" i="25"/>
  <c r="BM55" i="25"/>
  <c r="BB55" i="25"/>
  <c r="AQ55" i="25"/>
  <c r="AF55" i="25"/>
  <c r="U55" i="25"/>
  <c r="J55" i="25"/>
  <c r="BM54" i="25"/>
  <c r="BB54" i="25"/>
  <c r="AQ54" i="25"/>
  <c r="AF54" i="25"/>
  <c r="U54" i="25"/>
  <c r="J54" i="25"/>
  <c r="BM53" i="25"/>
  <c r="BB53" i="25"/>
  <c r="AQ53" i="25"/>
  <c r="AF53" i="25"/>
  <c r="U53" i="25"/>
  <c r="J53" i="25"/>
  <c r="BM52" i="25"/>
  <c r="BB52" i="25"/>
  <c r="BB57" i="25" s="1"/>
  <c r="AQ52" i="25"/>
  <c r="AF52" i="25"/>
  <c r="U52" i="25"/>
  <c r="J52" i="25"/>
  <c r="BM51" i="25"/>
  <c r="BM57" i="25" s="1"/>
  <c r="BB51" i="25"/>
  <c r="AQ51" i="25"/>
  <c r="AQ57" i="25" s="1"/>
  <c r="AF51" i="25"/>
  <c r="AF57" i="25" s="1"/>
  <c r="U51" i="25"/>
  <c r="U57" i="25" s="1"/>
  <c r="J51" i="25"/>
  <c r="J57" i="25" s="1"/>
  <c r="BL46" i="25"/>
  <c r="BK46" i="25"/>
  <c r="BA46" i="25"/>
  <c r="AZ46" i="25"/>
  <c r="AP46" i="25"/>
  <c r="AO46" i="25"/>
  <c r="AE46" i="25"/>
  <c r="AD46" i="25"/>
  <c r="T46" i="25"/>
  <c r="S46" i="25"/>
  <c r="I46" i="25"/>
  <c r="H46" i="25"/>
  <c r="BM45" i="25"/>
  <c r="BB45" i="25"/>
  <c r="AQ45" i="25"/>
  <c r="AF45" i="25"/>
  <c r="U45" i="25"/>
  <c r="J45" i="25"/>
  <c r="BM44" i="25"/>
  <c r="BB44" i="25"/>
  <c r="AQ44" i="25"/>
  <c r="AF44" i="25"/>
  <c r="U44" i="25"/>
  <c r="J44" i="25"/>
  <c r="BM43" i="25"/>
  <c r="BB43" i="25"/>
  <c r="AQ43" i="25"/>
  <c r="AF43" i="25"/>
  <c r="U43" i="25"/>
  <c r="J43" i="25"/>
  <c r="BM42" i="25"/>
  <c r="BB42" i="25"/>
  <c r="AQ42" i="25"/>
  <c r="AQ46" i="25" s="1"/>
  <c r="AF42" i="25"/>
  <c r="U42" i="25"/>
  <c r="J42" i="25"/>
  <c r="BM41" i="25"/>
  <c r="BB41" i="25"/>
  <c r="AQ41" i="25"/>
  <c r="AF41" i="25"/>
  <c r="U41" i="25"/>
  <c r="J41" i="25"/>
  <c r="J46" i="25" s="1"/>
  <c r="BM40" i="25"/>
  <c r="BM46" i="25" s="1"/>
  <c r="BB40" i="25"/>
  <c r="BB46" i="25" s="1"/>
  <c r="AQ40" i="25"/>
  <c r="AF40" i="25"/>
  <c r="U40" i="25"/>
  <c r="J40" i="25"/>
  <c r="BL35" i="25"/>
  <c r="BK35" i="25"/>
  <c r="BA35" i="25"/>
  <c r="AZ35" i="25"/>
  <c r="AP35" i="25"/>
  <c r="AO35" i="25"/>
  <c r="AE35" i="25"/>
  <c r="AD35" i="25"/>
  <c r="T35" i="25"/>
  <c r="S35" i="25"/>
  <c r="I35" i="25"/>
  <c r="H35" i="25"/>
  <c r="BM34" i="25"/>
  <c r="BB34" i="25"/>
  <c r="AQ34" i="25"/>
  <c r="AF34" i="25"/>
  <c r="U34" i="25"/>
  <c r="J34" i="25"/>
  <c r="BM33" i="25"/>
  <c r="BB33" i="25"/>
  <c r="AQ33" i="25"/>
  <c r="AF33" i="25"/>
  <c r="U33" i="25"/>
  <c r="J33" i="25"/>
  <c r="BM32" i="25"/>
  <c r="BB32" i="25"/>
  <c r="AQ32" i="25"/>
  <c r="AF32" i="25"/>
  <c r="U32" i="25"/>
  <c r="J32" i="25"/>
  <c r="BM31" i="25"/>
  <c r="BB31" i="25"/>
  <c r="AQ31" i="25"/>
  <c r="AF31" i="25"/>
  <c r="U31" i="25"/>
  <c r="J31" i="25"/>
  <c r="BM30" i="25"/>
  <c r="BB30" i="25"/>
  <c r="AQ30" i="25"/>
  <c r="AF30" i="25"/>
  <c r="U30" i="25"/>
  <c r="J30" i="25"/>
  <c r="BM29" i="25"/>
  <c r="BM35" i="25" s="1"/>
  <c r="BB29" i="25"/>
  <c r="BB35" i="25" s="1"/>
  <c r="AQ29" i="25"/>
  <c r="AF29" i="25"/>
  <c r="U29" i="25"/>
  <c r="J29" i="25"/>
  <c r="BL24" i="25"/>
  <c r="BK24" i="25"/>
  <c r="BA24" i="25"/>
  <c r="AZ24" i="25"/>
  <c r="AP24" i="25"/>
  <c r="AO24" i="25"/>
  <c r="AE24" i="25"/>
  <c r="AD24" i="25"/>
  <c r="T24" i="25"/>
  <c r="S24" i="25"/>
  <c r="I24" i="25"/>
  <c r="H24" i="25"/>
  <c r="BM23" i="25"/>
  <c r="BB23" i="25"/>
  <c r="AQ23" i="25"/>
  <c r="AF23" i="25"/>
  <c r="U23" i="25"/>
  <c r="J23" i="25"/>
  <c r="BM22" i="25"/>
  <c r="BB22" i="25"/>
  <c r="AQ22" i="25"/>
  <c r="AF22" i="25"/>
  <c r="U22" i="25"/>
  <c r="J22" i="25"/>
  <c r="BM21" i="25"/>
  <c r="BB21" i="25"/>
  <c r="AQ21" i="25"/>
  <c r="AF21" i="25"/>
  <c r="U21" i="25"/>
  <c r="J21" i="25"/>
  <c r="BM20" i="25"/>
  <c r="BB20" i="25"/>
  <c r="AQ20" i="25"/>
  <c r="AF20" i="25"/>
  <c r="U20" i="25"/>
  <c r="J20" i="25"/>
  <c r="BM19" i="25"/>
  <c r="BB19" i="25"/>
  <c r="AQ19" i="25"/>
  <c r="AF19" i="25"/>
  <c r="U19" i="25"/>
  <c r="J19" i="25"/>
  <c r="BM18" i="25"/>
  <c r="BB18" i="25"/>
  <c r="AQ18" i="25"/>
  <c r="AF18" i="25"/>
  <c r="U18" i="25"/>
  <c r="J18" i="25"/>
  <c r="BL13" i="25"/>
  <c r="BK13" i="25"/>
  <c r="BA13" i="25"/>
  <c r="AZ13" i="25"/>
  <c r="AP13" i="25"/>
  <c r="AO13" i="25"/>
  <c r="AE13" i="25"/>
  <c r="AD13" i="25"/>
  <c r="T13" i="25"/>
  <c r="S13" i="25"/>
  <c r="I13" i="25"/>
  <c r="H13" i="25"/>
  <c r="BM12" i="25"/>
  <c r="BB12" i="25"/>
  <c r="AQ12" i="25"/>
  <c r="AF12" i="25"/>
  <c r="U12" i="25"/>
  <c r="J12" i="25"/>
  <c r="BM11" i="25"/>
  <c r="BB11" i="25"/>
  <c r="AQ11" i="25"/>
  <c r="AF11" i="25"/>
  <c r="U11" i="25"/>
  <c r="J11" i="25"/>
  <c r="BM10" i="25"/>
  <c r="BB10" i="25"/>
  <c r="AQ10" i="25"/>
  <c r="AF10" i="25"/>
  <c r="U10" i="25"/>
  <c r="J10" i="25"/>
  <c r="BM9" i="25"/>
  <c r="BB9" i="25"/>
  <c r="AQ9" i="25"/>
  <c r="AF9" i="25"/>
  <c r="U9" i="25"/>
  <c r="J9" i="25"/>
  <c r="BM8" i="25"/>
  <c r="BB8" i="25"/>
  <c r="AQ8" i="25"/>
  <c r="AF8" i="25"/>
  <c r="U8" i="25"/>
  <c r="J8" i="25"/>
  <c r="BM7" i="25"/>
  <c r="BB7" i="25"/>
  <c r="AQ7" i="25"/>
  <c r="AF7" i="25"/>
  <c r="U7" i="25"/>
  <c r="J7" i="25"/>
  <c r="BA41" i="17"/>
  <c r="AQ35" i="25" l="1"/>
  <c r="AF35" i="25"/>
  <c r="U35" i="25"/>
  <c r="U13" i="25"/>
  <c r="J35" i="25"/>
  <c r="U46" i="25"/>
  <c r="AF46" i="25"/>
  <c r="AQ13" i="25"/>
  <c r="U24" i="25"/>
  <c r="AF24" i="25"/>
  <c r="J24" i="25"/>
  <c r="AF13" i="25"/>
  <c r="J13" i="25"/>
  <c r="BB13" i="25"/>
  <c r="BM13" i="25"/>
  <c r="BM24" i="25"/>
  <c r="BB24" i="25"/>
  <c r="AQ24" i="25"/>
  <c r="BL79" i="24"/>
  <c r="BK79" i="24"/>
  <c r="BA79" i="24"/>
  <c r="AZ79" i="24"/>
  <c r="AP79" i="24"/>
  <c r="AO79" i="24"/>
  <c r="AE79" i="24"/>
  <c r="AD79" i="24"/>
  <c r="T79" i="24"/>
  <c r="S79" i="24"/>
  <c r="I79" i="24"/>
  <c r="H79" i="24"/>
  <c r="BM78" i="24"/>
  <c r="BB78" i="24"/>
  <c r="AQ78" i="24"/>
  <c r="AF78" i="24"/>
  <c r="U78" i="24"/>
  <c r="J78" i="24"/>
  <c r="BM77" i="24"/>
  <c r="BB77" i="24"/>
  <c r="AQ77" i="24"/>
  <c r="AF77" i="24"/>
  <c r="U77" i="24"/>
  <c r="J77" i="24"/>
  <c r="BM76" i="24"/>
  <c r="BB76" i="24"/>
  <c r="AQ76" i="24"/>
  <c r="AF76" i="24"/>
  <c r="U76" i="24"/>
  <c r="U79" i="24" s="1"/>
  <c r="J76" i="24"/>
  <c r="BM75" i="24"/>
  <c r="BB75" i="24"/>
  <c r="AQ75" i="24"/>
  <c r="AF75" i="24"/>
  <c r="U75" i="24"/>
  <c r="J75" i="24"/>
  <c r="BM74" i="24"/>
  <c r="BB74" i="24"/>
  <c r="AQ74" i="24"/>
  <c r="AF74" i="24"/>
  <c r="AF79" i="24" s="1"/>
  <c r="U74" i="24"/>
  <c r="J74" i="24"/>
  <c r="BM73" i="24"/>
  <c r="BB73" i="24"/>
  <c r="AQ73" i="24"/>
  <c r="AF73" i="24"/>
  <c r="U73" i="24"/>
  <c r="J73" i="24"/>
  <c r="J79" i="24" s="1"/>
  <c r="BL68" i="24"/>
  <c r="BK68" i="24"/>
  <c r="BA68" i="24"/>
  <c r="AZ68" i="24"/>
  <c r="AQ68" i="24"/>
  <c r="AP68" i="24"/>
  <c r="AO68" i="24"/>
  <c r="AE68" i="24"/>
  <c r="AD68" i="24"/>
  <c r="T68" i="24"/>
  <c r="S68" i="24"/>
  <c r="I68" i="24"/>
  <c r="H68" i="24"/>
  <c r="BM67" i="24"/>
  <c r="BB67" i="24"/>
  <c r="AQ67" i="24"/>
  <c r="AF67" i="24"/>
  <c r="U67" i="24"/>
  <c r="J67" i="24"/>
  <c r="BM66" i="24"/>
  <c r="BB66" i="24"/>
  <c r="AQ66" i="24"/>
  <c r="AF66" i="24"/>
  <c r="U66" i="24"/>
  <c r="J66" i="24"/>
  <c r="BM65" i="24"/>
  <c r="BB65" i="24"/>
  <c r="AQ65" i="24"/>
  <c r="AF65" i="24"/>
  <c r="U65" i="24"/>
  <c r="J65" i="24"/>
  <c r="BM64" i="24"/>
  <c r="BB64" i="24"/>
  <c r="AQ64" i="24"/>
  <c r="AF64" i="24"/>
  <c r="U64" i="24"/>
  <c r="J64" i="24"/>
  <c r="BM63" i="24"/>
  <c r="BB63" i="24"/>
  <c r="AQ63" i="24"/>
  <c r="AF63" i="24"/>
  <c r="U63" i="24"/>
  <c r="J63" i="24"/>
  <c r="BM62" i="24"/>
  <c r="BB62" i="24"/>
  <c r="AQ62" i="24"/>
  <c r="AF62" i="24"/>
  <c r="U62" i="24"/>
  <c r="U68" i="24" s="1"/>
  <c r="J62" i="24"/>
  <c r="BL57" i="24"/>
  <c r="BK57" i="24"/>
  <c r="BA57" i="24"/>
  <c r="AZ57" i="24"/>
  <c r="AP57" i="24"/>
  <c r="AO57" i="24"/>
  <c r="AE57" i="24"/>
  <c r="AD57" i="24"/>
  <c r="T57" i="24"/>
  <c r="S57" i="24"/>
  <c r="I57" i="24"/>
  <c r="H57" i="24"/>
  <c r="BM56" i="24"/>
  <c r="BB56" i="24"/>
  <c r="AQ56" i="24"/>
  <c r="AF56" i="24"/>
  <c r="U56" i="24"/>
  <c r="J56" i="24"/>
  <c r="BM55" i="24"/>
  <c r="BB55" i="24"/>
  <c r="AQ55" i="24"/>
  <c r="AF55" i="24"/>
  <c r="U55" i="24"/>
  <c r="J55" i="24"/>
  <c r="BM54" i="24"/>
  <c r="BB54" i="24"/>
  <c r="AQ54" i="24"/>
  <c r="AF54" i="24"/>
  <c r="U54" i="24"/>
  <c r="J54" i="24"/>
  <c r="BM53" i="24"/>
  <c r="BB53" i="24"/>
  <c r="AQ53" i="24"/>
  <c r="AF53" i="24"/>
  <c r="U53" i="24"/>
  <c r="U57" i="24" s="1"/>
  <c r="J53" i="24"/>
  <c r="BM52" i="24"/>
  <c r="BB52" i="24"/>
  <c r="AQ52" i="24"/>
  <c r="AF52" i="24"/>
  <c r="U52" i="24"/>
  <c r="J52" i="24"/>
  <c r="BM51" i="24"/>
  <c r="BM57" i="24" s="1"/>
  <c r="BB51" i="24"/>
  <c r="AQ51" i="24"/>
  <c r="AF51" i="24"/>
  <c r="U51" i="24"/>
  <c r="J51" i="24"/>
  <c r="BL46" i="24"/>
  <c r="BK46" i="24"/>
  <c r="BA46" i="24"/>
  <c r="AZ46" i="24"/>
  <c r="AP46" i="24"/>
  <c r="AO46" i="24"/>
  <c r="AE46" i="24"/>
  <c r="AD46" i="24"/>
  <c r="T46" i="24"/>
  <c r="S46" i="24"/>
  <c r="I46" i="24"/>
  <c r="H46" i="24"/>
  <c r="BM45" i="24"/>
  <c r="BB45" i="24"/>
  <c r="AQ45" i="24"/>
  <c r="AF45" i="24"/>
  <c r="U45" i="24"/>
  <c r="J45" i="24"/>
  <c r="BM44" i="24"/>
  <c r="BB44" i="24"/>
  <c r="AQ44" i="24"/>
  <c r="AF44" i="24"/>
  <c r="U44" i="24"/>
  <c r="J44" i="24"/>
  <c r="BM43" i="24"/>
  <c r="BB43" i="24"/>
  <c r="AQ43" i="24"/>
  <c r="AF43" i="24"/>
  <c r="U43" i="24"/>
  <c r="J43" i="24"/>
  <c r="BM42" i="24"/>
  <c r="BB42" i="24"/>
  <c r="AQ42" i="24"/>
  <c r="AF42" i="24"/>
  <c r="U42" i="24"/>
  <c r="J42" i="24"/>
  <c r="BM41" i="24"/>
  <c r="BB41" i="24"/>
  <c r="AQ41" i="24"/>
  <c r="AF41" i="24"/>
  <c r="U41" i="24"/>
  <c r="J41" i="24"/>
  <c r="BM40" i="24"/>
  <c r="BB40" i="24"/>
  <c r="AQ40" i="24"/>
  <c r="AQ46" i="24" s="1"/>
  <c r="AF40" i="24"/>
  <c r="U40" i="24"/>
  <c r="J40" i="24"/>
  <c r="BL35" i="24"/>
  <c r="BK35" i="24"/>
  <c r="BA35" i="24"/>
  <c r="AZ35" i="24"/>
  <c r="AP35" i="24"/>
  <c r="AO35" i="24"/>
  <c r="AE35" i="24"/>
  <c r="AD35" i="24"/>
  <c r="T35" i="24"/>
  <c r="S35" i="24"/>
  <c r="I35" i="24"/>
  <c r="H35" i="24"/>
  <c r="BM34" i="24"/>
  <c r="BB34" i="24"/>
  <c r="AQ34" i="24"/>
  <c r="AF34" i="24"/>
  <c r="U34" i="24"/>
  <c r="J34" i="24"/>
  <c r="BM33" i="24"/>
  <c r="BB33" i="24"/>
  <c r="AQ33" i="24"/>
  <c r="AF33" i="24"/>
  <c r="U33" i="24"/>
  <c r="J33" i="24"/>
  <c r="BM32" i="24"/>
  <c r="BB32" i="24"/>
  <c r="AQ32" i="24"/>
  <c r="AF32" i="24"/>
  <c r="U32" i="24"/>
  <c r="J32" i="24"/>
  <c r="BM31" i="24"/>
  <c r="BB31" i="24"/>
  <c r="AQ31" i="24"/>
  <c r="AF31" i="24"/>
  <c r="U31" i="24"/>
  <c r="J31" i="24"/>
  <c r="BM30" i="24"/>
  <c r="BB30" i="24"/>
  <c r="AQ30" i="24"/>
  <c r="AF30" i="24"/>
  <c r="U30" i="24"/>
  <c r="J30" i="24"/>
  <c r="BM29" i="24"/>
  <c r="BB29" i="24"/>
  <c r="AQ29" i="24"/>
  <c r="AF29" i="24"/>
  <c r="U29" i="24"/>
  <c r="J29" i="24"/>
  <c r="BL24" i="24"/>
  <c r="BK24" i="24"/>
  <c r="BA24" i="24"/>
  <c r="AZ24" i="24"/>
  <c r="AP24" i="24"/>
  <c r="AO24" i="24"/>
  <c r="AE24" i="24"/>
  <c r="AD24" i="24"/>
  <c r="T24" i="24"/>
  <c r="S24" i="24"/>
  <c r="I24" i="24"/>
  <c r="H24" i="24"/>
  <c r="BM23" i="24"/>
  <c r="BB23" i="24"/>
  <c r="AQ23" i="24"/>
  <c r="AF23" i="24"/>
  <c r="U23" i="24"/>
  <c r="J23" i="24"/>
  <c r="BM22" i="24"/>
  <c r="BB22" i="24"/>
  <c r="AQ22" i="24"/>
  <c r="AF22" i="24"/>
  <c r="U22" i="24"/>
  <c r="J22" i="24"/>
  <c r="BM21" i="24"/>
  <c r="BB21" i="24"/>
  <c r="AQ21" i="24"/>
  <c r="AF21" i="24"/>
  <c r="U21" i="24"/>
  <c r="J21" i="24"/>
  <c r="BM20" i="24"/>
  <c r="BB20" i="24"/>
  <c r="AQ20" i="24"/>
  <c r="AF20" i="24"/>
  <c r="U20" i="24"/>
  <c r="J20" i="24"/>
  <c r="BM19" i="24"/>
  <c r="BB19" i="24"/>
  <c r="AQ19" i="24"/>
  <c r="AF19" i="24"/>
  <c r="U19" i="24"/>
  <c r="J19" i="24"/>
  <c r="BM18" i="24"/>
  <c r="BB18" i="24"/>
  <c r="AQ18" i="24"/>
  <c r="AF18" i="24"/>
  <c r="U18" i="24"/>
  <c r="J18" i="24"/>
  <c r="BL13" i="24"/>
  <c r="BK13" i="24"/>
  <c r="BA13" i="24"/>
  <c r="AZ13" i="24"/>
  <c r="AP13" i="24"/>
  <c r="AO13" i="24"/>
  <c r="AE13" i="24"/>
  <c r="AD13" i="24"/>
  <c r="T13" i="24"/>
  <c r="S13" i="24"/>
  <c r="I13" i="24"/>
  <c r="H13" i="24"/>
  <c r="BM12" i="24"/>
  <c r="BB12" i="24"/>
  <c r="AQ12" i="24"/>
  <c r="AF12" i="24"/>
  <c r="U12" i="24"/>
  <c r="J12" i="24"/>
  <c r="BM11" i="24"/>
  <c r="BB11" i="24"/>
  <c r="AQ11" i="24"/>
  <c r="AF11" i="24"/>
  <c r="U11" i="24"/>
  <c r="J11" i="24"/>
  <c r="BM10" i="24"/>
  <c r="BB10" i="24"/>
  <c r="AQ10" i="24"/>
  <c r="AF10" i="24"/>
  <c r="U10" i="24"/>
  <c r="J10" i="24"/>
  <c r="BM9" i="24"/>
  <c r="BB9" i="24"/>
  <c r="AQ9" i="24"/>
  <c r="AF9" i="24"/>
  <c r="U9" i="24"/>
  <c r="J9" i="24"/>
  <c r="BM8" i="24"/>
  <c r="BB8" i="24"/>
  <c r="AQ8" i="24"/>
  <c r="AF8" i="24"/>
  <c r="U8" i="24"/>
  <c r="J8" i="24"/>
  <c r="BM7" i="24"/>
  <c r="BB7" i="24"/>
  <c r="AQ7" i="24"/>
  <c r="AF7" i="24"/>
  <c r="U7" i="24"/>
  <c r="J7" i="24"/>
  <c r="BM13" i="24" l="1"/>
  <c r="U13" i="24"/>
  <c r="AF13" i="24"/>
  <c r="J13" i="24"/>
  <c r="AQ24" i="24"/>
  <c r="BB68" i="24"/>
  <c r="BM24" i="24"/>
  <c r="AF68" i="24"/>
  <c r="AQ79" i="24"/>
  <c r="BM35" i="24"/>
  <c r="BM46" i="24"/>
  <c r="BB57" i="24"/>
  <c r="AQ13" i="24"/>
  <c r="BM68" i="24"/>
  <c r="BB79" i="24"/>
  <c r="AF35" i="24"/>
  <c r="BM79" i="24"/>
  <c r="BB24" i="24"/>
  <c r="U35" i="24"/>
  <c r="U46" i="24"/>
  <c r="AF57" i="24"/>
  <c r="BB13" i="24"/>
  <c r="AF46" i="24"/>
  <c r="BB46" i="24"/>
  <c r="AQ57" i="24"/>
  <c r="J68" i="24"/>
  <c r="J57" i="24"/>
  <c r="J46" i="24"/>
  <c r="BB35" i="24"/>
  <c r="AQ35" i="24"/>
  <c r="J35" i="24"/>
  <c r="AF24" i="24"/>
  <c r="U24" i="24"/>
  <c r="J24" i="24"/>
  <c r="J73" i="17"/>
  <c r="J74" i="17"/>
  <c r="J75" i="17"/>
  <c r="AP40" i="16" l="1"/>
  <c r="AE19" i="16"/>
  <c r="AE40" i="16" l="1"/>
  <c r="T18" i="16"/>
  <c r="I18" i="16" l="1"/>
  <c r="T51" i="8" l="1"/>
  <c r="T40" i="8"/>
  <c r="AD13" i="17" l="1"/>
  <c r="BA19" i="22"/>
  <c r="BB19" i="22" s="1"/>
  <c r="BL79" i="23"/>
  <c r="BK79" i="23"/>
  <c r="BA79" i="23"/>
  <c r="AZ79" i="23"/>
  <c r="AP79" i="23"/>
  <c r="AO79" i="23"/>
  <c r="AE79" i="23"/>
  <c r="AD79" i="23"/>
  <c r="T79" i="23"/>
  <c r="S79" i="23"/>
  <c r="I79" i="23"/>
  <c r="H79" i="23"/>
  <c r="BM78" i="23"/>
  <c r="BB78" i="23"/>
  <c r="AQ78" i="23"/>
  <c r="AF78" i="23"/>
  <c r="U78" i="23"/>
  <c r="J78" i="23"/>
  <c r="BM77" i="23"/>
  <c r="BB77" i="23"/>
  <c r="AQ77" i="23"/>
  <c r="AF77" i="23"/>
  <c r="U77" i="23"/>
  <c r="J77" i="23"/>
  <c r="BM76" i="23"/>
  <c r="BB76" i="23"/>
  <c r="AQ76" i="23"/>
  <c r="AF76" i="23"/>
  <c r="U76" i="23"/>
  <c r="J76" i="23"/>
  <c r="BM75" i="23"/>
  <c r="BB75" i="23"/>
  <c r="AQ75" i="23"/>
  <c r="AF75" i="23"/>
  <c r="U75" i="23"/>
  <c r="J75" i="23"/>
  <c r="BM74" i="23"/>
  <c r="BB74" i="23"/>
  <c r="AQ74" i="23"/>
  <c r="AF74" i="23"/>
  <c r="U74" i="23"/>
  <c r="J74" i="23"/>
  <c r="BM73" i="23"/>
  <c r="BB73" i="23"/>
  <c r="AQ73" i="23"/>
  <c r="AF73" i="23"/>
  <c r="U73" i="23"/>
  <c r="J73" i="23"/>
  <c r="BL68" i="23"/>
  <c r="BK68" i="23"/>
  <c r="BA68" i="23"/>
  <c r="AZ68" i="23"/>
  <c r="AP68" i="23"/>
  <c r="AO68" i="23"/>
  <c r="AE68" i="23"/>
  <c r="AD68" i="23"/>
  <c r="T68" i="23"/>
  <c r="S68" i="23"/>
  <c r="I68" i="23"/>
  <c r="H68" i="23"/>
  <c r="BM67" i="23"/>
  <c r="BB67" i="23"/>
  <c r="AQ67" i="23"/>
  <c r="AF67" i="23"/>
  <c r="U67" i="23"/>
  <c r="J67" i="23"/>
  <c r="BM66" i="23"/>
  <c r="BB66" i="23"/>
  <c r="AQ66" i="23"/>
  <c r="AF66" i="23"/>
  <c r="U66" i="23"/>
  <c r="J66" i="23"/>
  <c r="BM65" i="23"/>
  <c r="BB65" i="23"/>
  <c r="AQ65" i="23"/>
  <c r="AF65" i="23"/>
  <c r="U65" i="23"/>
  <c r="J65" i="23"/>
  <c r="BM64" i="23"/>
  <c r="BB64" i="23"/>
  <c r="AQ64" i="23"/>
  <c r="AF64" i="23"/>
  <c r="U64" i="23"/>
  <c r="J64" i="23"/>
  <c r="BM63" i="23"/>
  <c r="BB63" i="23"/>
  <c r="AQ63" i="23"/>
  <c r="AF63" i="23"/>
  <c r="U63" i="23"/>
  <c r="J63" i="23"/>
  <c r="BM62" i="23"/>
  <c r="BB62" i="23"/>
  <c r="AQ62" i="23"/>
  <c r="AF62" i="23"/>
  <c r="U62" i="23"/>
  <c r="J62" i="23"/>
  <c r="BL57" i="23"/>
  <c r="BK57" i="23"/>
  <c r="BA57" i="23"/>
  <c r="AZ57" i="23"/>
  <c r="AP57" i="23"/>
  <c r="AO57" i="23"/>
  <c r="AE57" i="23"/>
  <c r="AD57" i="23"/>
  <c r="T57" i="23"/>
  <c r="S57" i="23"/>
  <c r="I57" i="23"/>
  <c r="H57" i="23"/>
  <c r="BM56" i="23"/>
  <c r="BB56" i="23"/>
  <c r="AQ56" i="23"/>
  <c r="AF56" i="23"/>
  <c r="U56" i="23"/>
  <c r="J56" i="23"/>
  <c r="BM55" i="23"/>
  <c r="BB55" i="23"/>
  <c r="AQ55" i="23"/>
  <c r="AF55" i="23"/>
  <c r="U55" i="23"/>
  <c r="J55" i="23"/>
  <c r="BM54" i="23"/>
  <c r="BB54" i="23"/>
  <c r="AQ54" i="23"/>
  <c r="AF54" i="23"/>
  <c r="U54" i="23"/>
  <c r="J54" i="23"/>
  <c r="BM53" i="23"/>
  <c r="BB53" i="23"/>
  <c r="AQ53" i="23"/>
  <c r="AF53" i="23"/>
  <c r="U53" i="23"/>
  <c r="J53" i="23"/>
  <c r="BM52" i="23"/>
  <c r="BB52" i="23"/>
  <c r="AQ52" i="23"/>
  <c r="AF52" i="23"/>
  <c r="U52" i="23"/>
  <c r="J52" i="23"/>
  <c r="BM51" i="23"/>
  <c r="BB51" i="23"/>
  <c r="AQ51" i="23"/>
  <c r="AF51" i="23"/>
  <c r="U51" i="23"/>
  <c r="J51" i="23"/>
  <c r="BL46" i="23"/>
  <c r="BK46" i="23"/>
  <c r="BA46" i="23"/>
  <c r="AZ46" i="23"/>
  <c r="AP46" i="23"/>
  <c r="AO46" i="23"/>
  <c r="AE46" i="23"/>
  <c r="AD46" i="23"/>
  <c r="T46" i="23"/>
  <c r="S46" i="23"/>
  <c r="I46" i="23"/>
  <c r="H46" i="23"/>
  <c r="BM45" i="23"/>
  <c r="BB45" i="23"/>
  <c r="AQ45" i="23"/>
  <c r="AF45" i="23"/>
  <c r="U45" i="23"/>
  <c r="J45" i="23"/>
  <c r="BM44" i="23"/>
  <c r="BB44" i="23"/>
  <c r="AQ44" i="23"/>
  <c r="AF44" i="23"/>
  <c r="U44" i="23"/>
  <c r="J44" i="23"/>
  <c r="BM43" i="23"/>
  <c r="BB43" i="23"/>
  <c r="AQ43" i="23"/>
  <c r="AF43" i="23"/>
  <c r="U43" i="23"/>
  <c r="J43" i="23"/>
  <c r="BM42" i="23"/>
  <c r="BB42" i="23"/>
  <c r="AQ42" i="23"/>
  <c r="AF42" i="23"/>
  <c r="U42" i="23"/>
  <c r="J42" i="23"/>
  <c r="BM41" i="23"/>
  <c r="BB41" i="23"/>
  <c r="AQ41" i="23"/>
  <c r="AF41" i="23"/>
  <c r="U41" i="23"/>
  <c r="J41" i="23"/>
  <c r="BM40" i="23"/>
  <c r="BB40" i="23"/>
  <c r="AQ40" i="23"/>
  <c r="AF40" i="23"/>
  <c r="U40" i="23"/>
  <c r="J40" i="23"/>
  <c r="BL35" i="23"/>
  <c r="BK35" i="23"/>
  <c r="BA35" i="23"/>
  <c r="AZ35" i="23"/>
  <c r="AP35" i="23"/>
  <c r="AO35" i="23"/>
  <c r="AE35" i="23"/>
  <c r="AD35" i="23"/>
  <c r="T35" i="23"/>
  <c r="S35" i="23"/>
  <c r="I35" i="23"/>
  <c r="H35" i="23"/>
  <c r="BM34" i="23"/>
  <c r="BB34" i="23"/>
  <c r="AQ34" i="23"/>
  <c r="AF34" i="23"/>
  <c r="U34" i="23"/>
  <c r="J34" i="23"/>
  <c r="BM33" i="23"/>
  <c r="BB33" i="23"/>
  <c r="AQ33" i="23"/>
  <c r="AF33" i="23"/>
  <c r="U33" i="23"/>
  <c r="J33" i="23"/>
  <c r="BM32" i="23"/>
  <c r="BB32" i="23"/>
  <c r="AQ32" i="23"/>
  <c r="AF32" i="23"/>
  <c r="U32" i="23"/>
  <c r="J32" i="23"/>
  <c r="BM31" i="23"/>
  <c r="BB31" i="23"/>
  <c r="AQ31" i="23"/>
  <c r="AF31" i="23"/>
  <c r="U31" i="23"/>
  <c r="J31" i="23"/>
  <c r="BM30" i="23"/>
  <c r="BB30" i="23"/>
  <c r="AQ30" i="23"/>
  <c r="AF30" i="23"/>
  <c r="U30" i="23"/>
  <c r="J30" i="23"/>
  <c r="BM29" i="23"/>
  <c r="BB29" i="23"/>
  <c r="AQ29" i="23"/>
  <c r="AF29" i="23"/>
  <c r="U29" i="23"/>
  <c r="J29" i="23"/>
  <c r="BL24" i="23"/>
  <c r="BK24" i="23"/>
  <c r="BA24" i="23"/>
  <c r="AZ24" i="23"/>
  <c r="AP24" i="23"/>
  <c r="AO24" i="23"/>
  <c r="AE24" i="23"/>
  <c r="AD24" i="23"/>
  <c r="T24" i="23"/>
  <c r="S24" i="23"/>
  <c r="I24" i="23"/>
  <c r="H24" i="23"/>
  <c r="BM23" i="23"/>
  <c r="BB23" i="23"/>
  <c r="AQ23" i="23"/>
  <c r="AF23" i="23"/>
  <c r="U23" i="23"/>
  <c r="J23" i="23"/>
  <c r="BM22" i="23"/>
  <c r="BB22" i="23"/>
  <c r="AQ22" i="23"/>
  <c r="AF22" i="23"/>
  <c r="U22" i="23"/>
  <c r="J22" i="23"/>
  <c r="BM21" i="23"/>
  <c r="BB21" i="23"/>
  <c r="AQ21" i="23"/>
  <c r="AF21" i="23"/>
  <c r="U21" i="23"/>
  <c r="J21" i="23"/>
  <c r="BM20" i="23"/>
  <c r="BB20" i="23"/>
  <c r="AQ20" i="23"/>
  <c r="AF20" i="23"/>
  <c r="U20" i="23"/>
  <c r="J20" i="23"/>
  <c r="BM19" i="23"/>
  <c r="BB19" i="23"/>
  <c r="AQ19" i="23"/>
  <c r="AF19" i="23"/>
  <c r="U19" i="23"/>
  <c r="J19" i="23"/>
  <c r="BM18" i="23"/>
  <c r="BB18" i="23"/>
  <c r="AQ18" i="23"/>
  <c r="AF18" i="23"/>
  <c r="J18" i="23"/>
  <c r="BL13" i="23"/>
  <c r="BK13" i="23"/>
  <c r="BA13" i="23"/>
  <c r="AZ13" i="23"/>
  <c r="AP13" i="23"/>
  <c r="AO13" i="23"/>
  <c r="AE13" i="23"/>
  <c r="AD13" i="23"/>
  <c r="T13" i="23"/>
  <c r="S13" i="23"/>
  <c r="I13" i="23"/>
  <c r="H13" i="23"/>
  <c r="BM12" i="23"/>
  <c r="BB12" i="23"/>
  <c r="AQ12" i="23"/>
  <c r="AF12" i="23"/>
  <c r="U12" i="23"/>
  <c r="J12" i="23"/>
  <c r="BM11" i="23"/>
  <c r="BB11" i="23"/>
  <c r="AQ11" i="23"/>
  <c r="AF11" i="23"/>
  <c r="U11" i="23"/>
  <c r="J11" i="23"/>
  <c r="BM10" i="23"/>
  <c r="BB10" i="23"/>
  <c r="AQ10" i="23"/>
  <c r="AF10" i="23"/>
  <c r="U10" i="23"/>
  <c r="J10" i="23"/>
  <c r="BM9" i="23"/>
  <c r="BB9" i="23"/>
  <c r="AQ9" i="23"/>
  <c r="AF9" i="23"/>
  <c r="U9" i="23"/>
  <c r="J9" i="23"/>
  <c r="BM8" i="23"/>
  <c r="BB8" i="23"/>
  <c r="AQ8" i="23"/>
  <c r="AF8" i="23"/>
  <c r="U8" i="23"/>
  <c r="J8" i="23"/>
  <c r="BM7" i="23"/>
  <c r="BB7" i="23"/>
  <c r="AQ7" i="23"/>
  <c r="AF7" i="23"/>
  <c r="U7" i="23"/>
  <c r="J7" i="23"/>
  <c r="AQ23" i="17"/>
  <c r="AQ22" i="17"/>
  <c r="AQ21" i="17"/>
  <c r="AQ20" i="17"/>
  <c r="AQ19" i="17"/>
  <c r="AQ18" i="17"/>
  <c r="BM78" i="22"/>
  <c r="BB78" i="22"/>
  <c r="AQ78" i="22"/>
  <c r="AF78" i="22"/>
  <c r="U78" i="22"/>
  <c r="J78" i="22"/>
  <c r="BM77" i="22"/>
  <c r="BB77" i="22"/>
  <c r="AQ77" i="22"/>
  <c r="AF77" i="22"/>
  <c r="U77" i="22"/>
  <c r="J77" i="22"/>
  <c r="BM76" i="22"/>
  <c r="BB76" i="22"/>
  <c r="AQ76" i="22"/>
  <c r="AF76" i="22"/>
  <c r="U76" i="22"/>
  <c r="J76" i="22"/>
  <c r="BM75" i="22"/>
  <c r="BB75" i="22"/>
  <c r="AQ75" i="22"/>
  <c r="AF75" i="22"/>
  <c r="U75" i="22"/>
  <c r="J75" i="22"/>
  <c r="BM74" i="22"/>
  <c r="BB74" i="22"/>
  <c r="AQ74" i="22"/>
  <c r="AF74" i="22"/>
  <c r="U74" i="22"/>
  <c r="J74" i="22"/>
  <c r="BM73" i="22"/>
  <c r="BB73" i="22"/>
  <c r="AQ73" i="22"/>
  <c r="AF73" i="22"/>
  <c r="U73" i="22"/>
  <c r="J73" i="22"/>
  <c r="BM67" i="22"/>
  <c r="BB67" i="22"/>
  <c r="AQ67" i="22"/>
  <c r="AF67" i="22"/>
  <c r="U67" i="22"/>
  <c r="J67" i="22"/>
  <c r="BM66" i="22"/>
  <c r="BB66" i="22"/>
  <c r="AQ66" i="22"/>
  <c r="AF66" i="22"/>
  <c r="U66" i="22"/>
  <c r="J66" i="22"/>
  <c r="BM65" i="22"/>
  <c r="BB65" i="22"/>
  <c r="AQ65" i="22"/>
  <c r="AF65" i="22"/>
  <c r="U65" i="22"/>
  <c r="J65" i="22"/>
  <c r="BM64" i="22"/>
  <c r="BB64" i="22"/>
  <c r="AQ64" i="22"/>
  <c r="AF64" i="22"/>
  <c r="U64" i="22"/>
  <c r="J64" i="22"/>
  <c r="BM63" i="22"/>
  <c r="BB63" i="22"/>
  <c r="AQ63" i="22"/>
  <c r="AF63" i="22"/>
  <c r="U63" i="22"/>
  <c r="J63" i="22"/>
  <c r="BM62" i="22"/>
  <c r="BB62" i="22"/>
  <c r="AQ62" i="22"/>
  <c r="AF62" i="22"/>
  <c r="U62" i="22"/>
  <c r="J62" i="22"/>
  <c r="BM56" i="22"/>
  <c r="BB56" i="22"/>
  <c r="AQ56" i="22"/>
  <c r="AF56" i="22"/>
  <c r="U56" i="22"/>
  <c r="J56" i="22"/>
  <c r="BM55" i="22"/>
  <c r="BB55" i="22"/>
  <c r="AQ55" i="22"/>
  <c r="AF55" i="22"/>
  <c r="U55" i="22"/>
  <c r="J55" i="22"/>
  <c r="BM54" i="22"/>
  <c r="BB54" i="22"/>
  <c r="AQ54" i="22"/>
  <c r="AF54" i="22"/>
  <c r="U54" i="22"/>
  <c r="J54" i="22"/>
  <c r="BM53" i="22"/>
  <c r="BB53" i="22"/>
  <c r="AQ53" i="22"/>
  <c r="AF53" i="22"/>
  <c r="U53" i="22"/>
  <c r="J53" i="22"/>
  <c r="BM52" i="22"/>
  <c r="BB52" i="22"/>
  <c r="AQ52" i="22"/>
  <c r="AF52" i="22"/>
  <c r="U52" i="22"/>
  <c r="J52" i="22"/>
  <c r="BM51" i="22"/>
  <c r="BB51" i="22"/>
  <c r="AQ51" i="22"/>
  <c r="AF51" i="22"/>
  <c r="U51" i="22"/>
  <c r="J51" i="22"/>
  <c r="BM45" i="22"/>
  <c r="BB45" i="22"/>
  <c r="AQ45" i="22"/>
  <c r="AF45" i="22"/>
  <c r="U45" i="22"/>
  <c r="J45" i="22"/>
  <c r="BM44" i="22"/>
  <c r="BB44" i="22"/>
  <c r="AQ44" i="22"/>
  <c r="AF44" i="22"/>
  <c r="U44" i="22"/>
  <c r="J44" i="22"/>
  <c r="BM43" i="22"/>
  <c r="BB43" i="22"/>
  <c r="AQ43" i="22"/>
  <c r="AF43" i="22"/>
  <c r="U43" i="22"/>
  <c r="J43" i="22"/>
  <c r="BM42" i="22"/>
  <c r="BB42" i="22"/>
  <c r="AQ42" i="22"/>
  <c r="AF42" i="22"/>
  <c r="U42" i="22"/>
  <c r="J42" i="22"/>
  <c r="BM41" i="22"/>
  <c r="BB41" i="22"/>
  <c r="AQ41" i="22"/>
  <c r="AF41" i="22"/>
  <c r="U41" i="22"/>
  <c r="J41" i="22"/>
  <c r="BM40" i="22"/>
  <c r="BB40" i="22"/>
  <c r="AQ40" i="22"/>
  <c r="AF40" i="22"/>
  <c r="U40" i="22"/>
  <c r="J40" i="22"/>
  <c r="BM34" i="22"/>
  <c r="BB34" i="22"/>
  <c r="AQ34" i="22"/>
  <c r="AF34" i="22"/>
  <c r="U34" i="22"/>
  <c r="J34" i="22"/>
  <c r="BM33" i="22"/>
  <c r="BB33" i="22"/>
  <c r="AQ33" i="22"/>
  <c r="AF33" i="22"/>
  <c r="U33" i="22"/>
  <c r="J33" i="22"/>
  <c r="BM32" i="22"/>
  <c r="BB32" i="22"/>
  <c r="AQ32" i="22"/>
  <c r="AF32" i="22"/>
  <c r="U32" i="22"/>
  <c r="J32" i="22"/>
  <c r="BM31" i="22"/>
  <c r="BB31" i="22"/>
  <c r="AQ31" i="22"/>
  <c r="AF31" i="22"/>
  <c r="U31" i="22"/>
  <c r="J31" i="22"/>
  <c r="BM30" i="22"/>
  <c r="BB30" i="22"/>
  <c r="AQ30" i="22"/>
  <c r="AF30" i="22"/>
  <c r="U30" i="22"/>
  <c r="J30" i="22"/>
  <c r="BM29" i="22"/>
  <c r="BB29" i="22"/>
  <c r="AQ29" i="22"/>
  <c r="AF29" i="22"/>
  <c r="U29" i="22"/>
  <c r="J29" i="22"/>
  <c r="BM23" i="22"/>
  <c r="BB23" i="22"/>
  <c r="AQ23" i="22"/>
  <c r="AF23" i="22"/>
  <c r="U23" i="22"/>
  <c r="J23" i="22"/>
  <c r="BM22" i="22"/>
  <c r="BB22" i="22"/>
  <c r="AQ22" i="22"/>
  <c r="AF22" i="22"/>
  <c r="U22" i="22"/>
  <c r="J22" i="22"/>
  <c r="BM21" i="22"/>
  <c r="BB21" i="22"/>
  <c r="AQ21" i="22"/>
  <c r="AF21" i="22"/>
  <c r="U21" i="22"/>
  <c r="J21" i="22"/>
  <c r="BM20" i="22"/>
  <c r="BB20" i="22"/>
  <c r="AQ20" i="22"/>
  <c r="AF20" i="22"/>
  <c r="U20" i="22"/>
  <c r="J20" i="22"/>
  <c r="BM19" i="22"/>
  <c r="AQ19" i="22"/>
  <c r="AF19" i="22"/>
  <c r="U19" i="22"/>
  <c r="J19" i="22"/>
  <c r="BM18" i="22"/>
  <c r="BB18" i="22"/>
  <c r="AQ18" i="22"/>
  <c r="AF18" i="22"/>
  <c r="U18" i="22"/>
  <c r="J18" i="22"/>
  <c r="BM12" i="22"/>
  <c r="BB12" i="22"/>
  <c r="AQ12" i="22"/>
  <c r="AF12" i="22"/>
  <c r="U12" i="22"/>
  <c r="J12" i="22"/>
  <c r="BM11" i="22"/>
  <c r="BB11" i="22"/>
  <c r="AQ11" i="22"/>
  <c r="AF11" i="22"/>
  <c r="U11" i="22"/>
  <c r="J11" i="22"/>
  <c r="BM10" i="22"/>
  <c r="BB10" i="22"/>
  <c r="AQ10" i="22"/>
  <c r="AF10" i="22"/>
  <c r="U10" i="22"/>
  <c r="J10" i="22"/>
  <c r="BM9" i="22"/>
  <c r="BB9" i="22"/>
  <c r="AQ9" i="22"/>
  <c r="AF9" i="22"/>
  <c r="U9" i="22"/>
  <c r="J9" i="22"/>
  <c r="BM8" i="22"/>
  <c r="BB8" i="22"/>
  <c r="AQ8" i="22"/>
  <c r="AF8" i="22"/>
  <c r="U8" i="22"/>
  <c r="J8" i="22"/>
  <c r="BM7" i="22"/>
  <c r="BB7" i="22"/>
  <c r="AQ7" i="22"/>
  <c r="AF7" i="22"/>
  <c r="U7" i="22"/>
  <c r="J7" i="22"/>
  <c r="BL79" i="22"/>
  <c r="BK79" i="22"/>
  <c r="BA79" i="22"/>
  <c r="AZ79" i="22"/>
  <c r="AP79" i="22"/>
  <c r="AO79" i="22"/>
  <c r="AE79" i="22"/>
  <c r="AD79" i="22"/>
  <c r="T79" i="22"/>
  <c r="S79" i="22"/>
  <c r="I79" i="22"/>
  <c r="H79" i="22"/>
  <c r="BL68" i="22"/>
  <c r="BK68" i="22"/>
  <c r="BA68" i="22"/>
  <c r="AZ68" i="22"/>
  <c r="AP68" i="22"/>
  <c r="AO68" i="22"/>
  <c r="AE68" i="22"/>
  <c r="AD68" i="22"/>
  <c r="T68" i="22"/>
  <c r="S68" i="22"/>
  <c r="I68" i="22"/>
  <c r="H68" i="22"/>
  <c r="BL57" i="22"/>
  <c r="BK57" i="22"/>
  <c r="BA57" i="22"/>
  <c r="AZ57" i="22"/>
  <c r="AP57" i="22"/>
  <c r="AO57" i="22"/>
  <c r="AE57" i="22"/>
  <c r="AD57" i="22"/>
  <c r="T57" i="22"/>
  <c r="S57" i="22"/>
  <c r="I57" i="22"/>
  <c r="H57" i="22"/>
  <c r="BL46" i="22"/>
  <c r="BK46" i="22"/>
  <c r="BA46" i="22"/>
  <c r="AZ46" i="22"/>
  <c r="AP46" i="22"/>
  <c r="AO46" i="22"/>
  <c r="AE46" i="22"/>
  <c r="AD46" i="22"/>
  <c r="T46" i="22"/>
  <c r="S46" i="22"/>
  <c r="I46" i="22"/>
  <c r="H46" i="22"/>
  <c r="BL35" i="22"/>
  <c r="BK35" i="22"/>
  <c r="BA35" i="22"/>
  <c r="AZ35" i="22"/>
  <c r="AP35" i="22"/>
  <c r="AO35" i="22"/>
  <c r="AE35" i="22"/>
  <c r="AD35" i="22"/>
  <c r="T35" i="22"/>
  <c r="S35" i="22"/>
  <c r="I35" i="22"/>
  <c r="H35" i="22"/>
  <c r="BL24" i="22"/>
  <c r="BK24" i="22"/>
  <c r="BA24" i="22"/>
  <c r="AZ24" i="22"/>
  <c r="AP24" i="22"/>
  <c r="AO24" i="22"/>
  <c r="AE24" i="22"/>
  <c r="AD24" i="22"/>
  <c r="T24" i="22"/>
  <c r="S24" i="22"/>
  <c r="I24" i="22"/>
  <c r="H24" i="22"/>
  <c r="BL13" i="22"/>
  <c r="BK13" i="22"/>
  <c r="BA13" i="22"/>
  <c r="AZ13" i="22"/>
  <c r="AP13" i="22"/>
  <c r="AO13" i="22"/>
  <c r="AE13" i="22"/>
  <c r="AD13" i="22"/>
  <c r="T13" i="22"/>
  <c r="S13" i="22"/>
  <c r="I13" i="22"/>
  <c r="H13" i="22"/>
  <c r="BL79" i="21"/>
  <c r="BK79" i="21"/>
  <c r="BA79" i="21"/>
  <c r="AZ79" i="21"/>
  <c r="AP79" i="21"/>
  <c r="AO79" i="21"/>
  <c r="AE79" i="21"/>
  <c r="AD79" i="21"/>
  <c r="T79" i="21"/>
  <c r="S79" i="21"/>
  <c r="I79" i="21"/>
  <c r="H79" i="21"/>
  <c r="BM78" i="21"/>
  <c r="BB78" i="21"/>
  <c r="AQ78" i="21"/>
  <c r="AF78" i="21"/>
  <c r="U78" i="21"/>
  <c r="J78" i="21"/>
  <c r="BM77" i="21"/>
  <c r="BB77" i="21"/>
  <c r="AQ77" i="21"/>
  <c r="AF77" i="21"/>
  <c r="U77" i="21"/>
  <c r="J77" i="21"/>
  <c r="BM76" i="21"/>
  <c r="BB76" i="21"/>
  <c r="AQ76" i="21"/>
  <c r="AF76" i="21"/>
  <c r="U76" i="21"/>
  <c r="J76" i="21"/>
  <c r="BM75" i="21"/>
  <c r="BB75" i="21"/>
  <c r="AQ75" i="21"/>
  <c r="AF75" i="21"/>
  <c r="U75" i="21"/>
  <c r="J75" i="21"/>
  <c r="BM74" i="21"/>
  <c r="BB74" i="21"/>
  <c r="AQ74" i="21"/>
  <c r="AF74" i="21"/>
  <c r="U74" i="21"/>
  <c r="J74" i="21"/>
  <c r="BM73" i="21"/>
  <c r="BB73" i="21"/>
  <c r="AQ73" i="21"/>
  <c r="AF73" i="21"/>
  <c r="U73" i="21"/>
  <c r="J73" i="21"/>
  <c r="BL68" i="21"/>
  <c r="BK68" i="21"/>
  <c r="BA68" i="21"/>
  <c r="AZ68" i="21"/>
  <c r="AP68" i="21"/>
  <c r="AO68" i="21"/>
  <c r="AE68" i="21"/>
  <c r="AD68" i="21"/>
  <c r="T68" i="21"/>
  <c r="S68" i="21"/>
  <c r="I68" i="21"/>
  <c r="H68" i="21"/>
  <c r="BM67" i="21"/>
  <c r="BB67" i="21"/>
  <c r="AQ67" i="21"/>
  <c r="AF67" i="21"/>
  <c r="U67" i="21"/>
  <c r="J67" i="21"/>
  <c r="BM66" i="21"/>
  <c r="BB66" i="21"/>
  <c r="AQ66" i="21"/>
  <c r="AF66" i="21"/>
  <c r="U66" i="21"/>
  <c r="J66" i="21"/>
  <c r="BM65" i="21"/>
  <c r="BB65" i="21"/>
  <c r="AQ65" i="21"/>
  <c r="AF65" i="21"/>
  <c r="U65" i="21"/>
  <c r="J65" i="21"/>
  <c r="BM64" i="21"/>
  <c r="BB64" i="21"/>
  <c r="AQ64" i="21"/>
  <c r="AF64" i="21"/>
  <c r="U64" i="21"/>
  <c r="J64" i="21"/>
  <c r="BM63" i="21"/>
  <c r="BB63" i="21"/>
  <c r="AQ63" i="21"/>
  <c r="AF63" i="21"/>
  <c r="U63" i="21"/>
  <c r="J63" i="21"/>
  <c r="BM62" i="21"/>
  <c r="BB62" i="21"/>
  <c r="AQ62" i="21"/>
  <c r="AF62" i="21"/>
  <c r="U62" i="21"/>
  <c r="J62" i="21"/>
  <c r="BL57" i="21"/>
  <c r="BK57" i="21"/>
  <c r="BA57" i="21"/>
  <c r="AZ57" i="21"/>
  <c r="AP57" i="21"/>
  <c r="AO57" i="21"/>
  <c r="AE57" i="21"/>
  <c r="AD57" i="21"/>
  <c r="T57" i="21"/>
  <c r="S57" i="21"/>
  <c r="I57" i="21"/>
  <c r="H57" i="21"/>
  <c r="BM56" i="21"/>
  <c r="BB56" i="21"/>
  <c r="AQ56" i="21"/>
  <c r="AF56" i="21"/>
  <c r="U56" i="21"/>
  <c r="J56" i="21"/>
  <c r="BM55" i="21"/>
  <c r="BB55" i="21"/>
  <c r="AQ55" i="21"/>
  <c r="AF55" i="21"/>
  <c r="U55" i="21"/>
  <c r="J55" i="21"/>
  <c r="BM54" i="21"/>
  <c r="BB54" i="21"/>
  <c r="AQ54" i="21"/>
  <c r="AF54" i="21"/>
  <c r="U54" i="21"/>
  <c r="J54" i="21"/>
  <c r="BM53" i="21"/>
  <c r="BB53" i="21"/>
  <c r="AQ53" i="21"/>
  <c r="AF53" i="21"/>
  <c r="U53" i="21"/>
  <c r="J53" i="21"/>
  <c r="BM52" i="21"/>
  <c r="BB52" i="21"/>
  <c r="AQ52" i="21"/>
  <c r="AF52" i="21"/>
  <c r="U52" i="21"/>
  <c r="J52" i="21"/>
  <c r="BM51" i="21"/>
  <c r="BB51" i="21"/>
  <c r="AQ51" i="21"/>
  <c r="AF51" i="21"/>
  <c r="U51" i="21"/>
  <c r="J51" i="21"/>
  <c r="BL46" i="21"/>
  <c r="BK46" i="21"/>
  <c r="BA46" i="21"/>
  <c r="AZ46" i="21"/>
  <c r="AP46" i="21"/>
  <c r="AO46" i="21"/>
  <c r="AE46" i="21"/>
  <c r="AD46" i="21"/>
  <c r="T46" i="21"/>
  <c r="S46" i="21"/>
  <c r="I46" i="21"/>
  <c r="H46" i="21"/>
  <c r="BM45" i="21"/>
  <c r="BB45" i="21"/>
  <c r="AQ45" i="21"/>
  <c r="AF45" i="21"/>
  <c r="U45" i="21"/>
  <c r="J45" i="21"/>
  <c r="BM44" i="21"/>
  <c r="BB44" i="21"/>
  <c r="AQ44" i="21"/>
  <c r="AF44" i="21"/>
  <c r="U44" i="21"/>
  <c r="J44" i="21"/>
  <c r="BM43" i="21"/>
  <c r="BB43" i="21"/>
  <c r="AQ43" i="21"/>
  <c r="AF43" i="21"/>
  <c r="U43" i="21"/>
  <c r="J43" i="21"/>
  <c r="BM42" i="21"/>
  <c r="BB42" i="21"/>
  <c r="AQ42" i="21"/>
  <c r="AF42" i="21"/>
  <c r="U42" i="21"/>
  <c r="J42" i="21"/>
  <c r="BM41" i="21"/>
  <c r="BB41" i="21"/>
  <c r="AQ41" i="21"/>
  <c r="AF41" i="21"/>
  <c r="U41" i="21"/>
  <c r="J41" i="21"/>
  <c r="BM40" i="21"/>
  <c r="BB40" i="21"/>
  <c r="AQ40" i="21"/>
  <c r="AF40" i="21"/>
  <c r="U40" i="21"/>
  <c r="J40" i="21"/>
  <c r="BL35" i="21"/>
  <c r="BK35" i="21"/>
  <c r="BA35" i="21"/>
  <c r="AZ35" i="21"/>
  <c r="AP35" i="21"/>
  <c r="AO35" i="21"/>
  <c r="AE35" i="21"/>
  <c r="AD35" i="21"/>
  <c r="T35" i="21"/>
  <c r="S35" i="21"/>
  <c r="I35" i="21"/>
  <c r="H35" i="21"/>
  <c r="BM34" i="21"/>
  <c r="BB34" i="21"/>
  <c r="AQ34" i="21"/>
  <c r="AF34" i="21"/>
  <c r="U34" i="21"/>
  <c r="J34" i="21"/>
  <c r="BM33" i="21"/>
  <c r="BB33" i="21"/>
  <c r="AQ33" i="21"/>
  <c r="AF33" i="21"/>
  <c r="U33" i="21"/>
  <c r="J33" i="21"/>
  <c r="BM32" i="21"/>
  <c r="BB32" i="21"/>
  <c r="AQ32" i="21"/>
  <c r="AF32" i="21"/>
  <c r="U32" i="21"/>
  <c r="J32" i="21"/>
  <c r="BM31" i="21"/>
  <c r="BB31" i="21"/>
  <c r="AQ31" i="21"/>
  <c r="AF31" i="21"/>
  <c r="U31" i="21"/>
  <c r="J31" i="21"/>
  <c r="BM30" i="21"/>
  <c r="BB30" i="21"/>
  <c r="AQ30" i="21"/>
  <c r="AF30" i="21"/>
  <c r="U30" i="21"/>
  <c r="J30" i="21"/>
  <c r="BM29" i="21"/>
  <c r="BB29" i="21"/>
  <c r="AQ29" i="21"/>
  <c r="AF29" i="21"/>
  <c r="U29" i="21"/>
  <c r="J29" i="21"/>
  <c r="BL24" i="21"/>
  <c r="BK24" i="21"/>
  <c r="BA24" i="21"/>
  <c r="AZ24" i="21"/>
  <c r="AP24" i="21"/>
  <c r="AO24" i="21"/>
  <c r="AE24" i="21"/>
  <c r="AD24" i="21"/>
  <c r="T24" i="21"/>
  <c r="S24" i="21"/>
  <c r="I24" i="21"/>
  <c r="H24" i="21"/>
  <c r="BM23" i="21"/>
  <c r="BB23" i="21"/>
  <c r="AQ23" i="21"/>
  <c r="AF23" i="21"/>
  <c r="U23" i="21"/>
  <c r="J23" i="21"/>
  <c r="BM22" i="21"/>
  <c r="BB22" i="21"/>
  <c r="AQ22" i="21"/>
  <c r="AF22" i="21"/>
  <c r="U22" i="21"/>
  <c r="J22" i="21"/>
  <c r="BM21" i="21"/>
  <c r="BB21" i="21"/>
  <c r="AQ21" i="21"/>
  <c r="AF21" i="21"/>
  <c r="U21" i="21"/>
  <c r="J21" i="21"/>
  <c r="BM20" i="21"/>
  <c r="BB20" i="21"/>
  <c r="AQ20" i="21"/>
  <c r="AF20" i="21"/>
  <c r="U20" i="21"/>
  <c r="J20" i="21"/>
  <c r="BM19" i="21"/>
  <c r="BB19" i="21"/>
  <c r="AQ19" i="21"/>
  <c r="AF19" i="21"/>
  <c r="U19" i="21"/>
  <c r="J19" i="21"/>
  <c r="BM18" i="21"/>
  <c r="BB18" i="21"/>
  <c r="AQ18" i="21"/>
  <c r="AF18" i="21"/>
  <c r="U18" i="21"/>
  <c r="J18" i="21"/>
  <c r="BL13" i="21"/>
  <c r="BK13" i="21"/>
  <c r="BA13" i="21"/>
  <c r="AZ13" i="21"/>
  <c r="AP13" i="21"/>
  <c r="AO13" i="21"/>
  <c r="AE13" i="21"/>
  <c r="AD13" i="21"/>
  <c r="T13" i="21"/>
  <c r="S13" i="21"/>
  <c r="I13" i="21"/>
  <c r="H13" i="21"/>
  <c r="BM12" i="21"/>
  <c r="BB12" i="21"/>
  <c r="AQ12" i="21"/>
  <c r="AF12" i="21"/>
  <c r="U12" i="21"/>
  <c r="J12" i="21"/>
  <c r="BM11" i="21"/>
  <c r="BB11" i="21"/>
  <c r="AQ11" i="21"/>
  <c r="AF11" i="21"/>
  <c r="U11" i="21"/>
  <c r="J11" i="21"/>
  <c r="BM10" i="21"/>
  <c r="BB10" i="21"/>
  <c r="AQ10" i="21"/>
  <c r="AF10" i="21"/>
  <c r="U10" i="21"/>
  <c r="J10" i="21"/>
  <c r="BM9" i="21"/>
  <c r="BB9" i="21"/>
  <c r="AQ9" i="21"/>
  <c r="AF9" i="21"/>
  <c r="U9" i="21"/>
  <c r="J9" i="21"/>
  <c r="BM8" i="21"/>
  <c r="BB8" i="21"/>
  <c r="AQ8" i="21"/>
  <c r="AF8" i="21"/>
  <c r="U8" i="21"/>
  <c r="J8" i="21"/>
  <c r="BM7" i="21"/>
  <c r="BB7" i="21"/>
  <c r="AQ7" i="21"/>
  <c r="AF7" i="21"/>
  <c r="U7" i="21"/>
  <c r="J7" i="21"/>
  <c r="AQ79" i="23" l="1"/>
  <c r="BB13" i="23"/>
  <c r="AF13" i="23"/>
  <c r="BB57" i="23"/>
  <c r="AF57" i="23"/>
  <c r="BB68" i="23"/>
  <c r="BB79" i="23"/>
  <c r="BM13" i="23"/>
  <c r="BM24" i="23"/>
  <c r="BM35" i="23"/>
  <c r="BM46" i="23"/>
  <c r="BM57" i="23"/>
  <c r="BM68" i="23"/>
  <c r="BM79" i="23"/>
  <c r="J13" i="23"/>
  <c r="J24" i="23"/>
  <c r="J57" i="23"/>
  <c r="AF68" i="23"/>
  <c r="BB24" i="21"/>
  <c r="J35" i="23"/>
  <c r="J79" i="23"/>
  <c r="U13" i="23"/>
  <c r="U24" i="23"/>
  <c r="U35" i="23"/>
  <c r="U46" i="23"/>
  <c r="AQ46" i="23"/>
  <c r="U57" i="23"/>
  <c r="U68" i="23"/>
  <c r="U79" i="23"/>
  <c r="AF46" i="23"/>
  <c r="BB46" i="23"/>
  <c r="AF79" i="23"/>
  <c r="AQ13" i="23"/>
  <c r="AQ57" i="23"/>
  <c r="AQ68" i="23"/>
  <c r="J68" i="23"/>
  <c r="J46" i="23"/>
  <c r="BB35" i="23"/>
  <c r="AQ35" i="23"/>
  <c r="AQ24" i="23"/>
  <c r="BB24" i="23"/>
  <c r="AF35" i="23"/>
  <c r="AF24" i="23"/>
  <c r="BM68" i="21"/>
  <c r="BM57" i="21"/>
  <c r="BM79" i="21"/>
  <c r="BM24" i="22"/>
  <c r="J13" i="21"/>
  <c r="J24" i="21"/>
  <c r="BB13" i="22"/>
  <c r="J24" i="22"/>
  <c r="BB24" i="22"/>
  <c r="BB35" i="22"/>
  <c r="J35" i="22"/>
  <c r="J46" i="22"/>
  <c r="BB57" i="22"/>
  <c r="J68" i="22"/>
  <c r="BB79" i="22"/>
  <c r="AF79" i="21"/>
  <c r="BM13" i="22"/>
  <c r="U24" i="22"/>
  <c r="AQ24" i="22"/>
  <c r="BM35" i="22"/>
  <c r="U46" i="22"/>
  <c r="BM57" i="22"/>
  <c r="U68" i="22"/>
  <c r="BM79" i="22"/>
  <c r="BB46" i="21"/>
  <c r="BB68" i="21"/>
  <c r="U35" i="22"/>
  <c r="AQ35" i="22"/>
  <c r="BM46" i="22"/>
  <c r="AF13" i="21"/>
  <c r="U13" i="21"/>
  <c r="AQ13" i="21"/>
  <c r="U24" i="21"/>
  <c r="J35" i="21"/>
  <c r="AF35" i="21"/>
  <c r="J46" i="21"/>
  <c r="AF24" i="22"/>
  <c r="AF46" i="22"/>
  <c r="AF68" i="22"/>
  <c r="AF24" i="21"/>
  <c r="U35" i="21"/>
  <c r="AQ35" i="21"/>
  <c r="U46" i="21"/>
  <c r="J57" i="21"/>
  <c r="AF57" i="21"/>
  <c r="J68" i="21"/>
  <c r="AQ46" i="22"/>
  <c r="AQ68" i="22"/>
  <c r="AQ24" i="21"/>
  <c r="BB35" i="21"/>
  <c r="AF46" i="21"/>
  <c r="U57" i="21"/>
  <c r="AQ57" i="21"/>
  <c r="U68" i="21"/>
  <c r="J79" i="21"/>
  <c r="J13" i="22"/>
  <c r="BB46" i="22"/>
  <c r="J57" i="22"/>
  <c r="BB68" i="22"/>
  <c r="J79" i="22"/>
  <c r="BB13" i="21"/>
  <c r="AQ46" i="21"/>
  <c r="BB57" i="21"/>
  <c r="AF68" i="21"/>
  <c r="U79" i="21"/>
  <c r="AQ79" i="21"/>
  <c r="U13" i="22"/>
  <c r="U57" i="22"/>
  <c r="BM68" i="22"/>
  <c r="U79" i="22"/>
  <c r="BM13" i="21"/>
  <c r="AQ68" i="21"/>
  <c r="AF13" i="22"/>
  <c r="AF35" i="22"/>
  <c r="AF57" i="22"/>
  <c r="AF79" i="22"/>
  <c r="BM24" i="21"/>
  <c r="BB79" i="21"/>
  <c r="BM35" i="21"/>
  <c r="BM46" i="21"/>
  <c r="AQ13" i="22"/>
  <c r="AQ57" i="22"/>
  <c r="AQ79" i="22"/>
  <c r="AE24" i="17"/>
  <c r="AD24" i="17"/>
  <c r="T24" i="17"/>
  <c r="S24" i="17"/>
  <c r="I24" i="17"/>
  <c r="H24" i="17"/>
  <c r="AF23" i="17"/>
  <c r="U23" i="17"/>
  <c r="J23" i="17"/>
  <c r="AF22" i="17"/>
  <c r="U22" i="17"/>
  <c r="J22" i="17"/>
  <c r="AF21" i="17"/>
  <c r="U21" i="17"/>
  <c r="J21" i="17"/>
  <c r="AF20" i="17"/>
  <c r="U20" i="17"/>
  <c r="J20" i="17"/>
  <c r="AF19" i="17"/>
  <c r="U19" i="17"/>
  <c r="J19" i="17"/>
  <c r="AF18" i="17"/>
  <c r="U18" i="17"/>
  <c r="J18" i="17"/>
  <c r="BM21" i="19"/>
  <c r="BB21" i="19"/>
  <c r="AQ21" i="19"/>
  <c r="AF21" i="19"/>
  <c r="U21" i="19"/>
  <c r="J21" i="19"/>
  <c r="BM20" i="19"/>
  <c r="BB20" i="19"/>
  <c r="AQ20" i="19"/>
  <c r="AF20" i="19"/>
  <c r="U20" i="19"/>
  <c r="J20" i="19"/>
  <c r="BM19" i="19"/>
  <c r="BB19" i="19"/>
  <c r="AQ19" i="19"/>
  <c r="AF19" i="19"/>
  <c r="U19" i="19"/>
  <c r="J19" i="19"/>
  <c r="BM18" i="19"/>
  <c r="BB18" i="19"/>
  <c r="AQ18" i="19"/>
  <c r="AF18" i="19"/>
  <c r="U18" i="19"/>
  <c r="J18" i="19"/>
  <c r="J24" i="17" l="1"/>
  <c r="AF24" i="17"/>
  <c r="U24" i="17"/>
  <c r="BL79" i="19"/>
  <c r="BK79" i="19"/>
  <c r="BA79" i="19"/>
  <c r="AZ79" i="19"/>
  <c r="AP79" i="19"/>
  <c r="AO79" i="19"/>
  <c r="AE79" i="19"/>
  <c r="AD79" i="19"/>
  <c r="T79" i="19"/>
  <c r="S79" i="19"/>
  <c r="I79" i="19"/>
  <c r="H79" i="19"/>
  <c r="BM78" i="19"/>
  <c r="BB78" i="19"/>
  <c r="AQ78" i="19"/>
  <c r="AF78" i="19"/>
  <c r="U78" i="19"/>
  <c r="J78" i="19"/>
  <c r="BM77" i="19"/>
  <c r="BB77" i="19"/>
  <c r="AQ77" i="19"/>
  <c r="AF77" i="19"/>
  <c r="U77" i="19"/>
  <c r="J77" i="19"/>
  <c r="BM76" i="19"/>
  <c r="BB76" i="19"/>
  <c r="AQ76" i="19"/>
  <c r="AF76" i="19"/>
  <c r="U76" i="19"/>
  <c r="J76" i="19"/>
  <c r="BM75" i="19"/>
  <c r="BB75" i="19"/>
  <c r="AQ75" i="19"/>
  <c r="AF75" i="19"/>
  <c r="U75" i="19"/>
  <c r="J75" i="19"/>
  <c r="BM74" i="19"/>
  <c r="BB74" i="19"/>
  <c r="AQ74" i="19"/>
  <c r="AF74" i="19"/>
  <c r="U74" i="19"/>
  <c r="J74" i="19"/>
  <c r="BM73" i="19"/>
  <c r="BB73" i="19"/>
  <c r="AQ73" i="19"/>
  <c r="AF73" i="19"/>
  <c r="U73" i="19"/>
  <c r="J73" i="19"/>
  <c r="BL68" i="19"/>
  <c r="BK68" i="19"/>
  <c r="BA68" i="19"/>
  <c r="AZ68" i="19"/>
  <c r="AP68" i="19"/>
  <c r="AO68" i="19"/>
  <c r="AE68" i="19"/>
  <c r="AD68" i="19"/>
  <c r="T68" i="19"/>
  <c r="S68" i="19"/>
  <c r="I68" i="19"/>
  <c r="H68" i="19"/>
  <c r="BM67" i="19"/>
  <c r="BB67" i="19"/>
  <c r="AQ67" i="19"/>
  <c r="AF67" i="19"/>
  <c r="U67" i="19"/>
  <c r="J67" i="19"/>
  <c r="BM66" i="19"/>
  <c r="BB66" i="19"/>
  <c r="AQ66" i="19"/>
  <c r="AF66" i="19"/>
  <c r="U66" i="19"/>
  <c r="J66" i="19"/>
  <c r="BM65" i="19"/>
  <c r="BB65" i="19"/>
  <c r="AQ65" i="19"/>
  <c r="AF65" i="19"/>
  <c r="U65" i="19"/>
  <c r="J65" i="19"/>
  <c r="BM64" i="19"/>
  <c r="BB64" i="19"/>
  <c r="AQ64" i="19"/>
  <c r="AF64" i="19"/>
  <c r="U64" i="19"/>
  <c r="J64" i="19"/>
  <c r="BM63" i="19"/>
  <c r="BB63" i="19"/>
  <c r="AQ63" i="19"/>
  <c r="AF63" i="19"/>
  <c r="U63" i="19"/>
  <c r="J63" i="19"/>
  <c r="BM62" i="19"/>
  <c r="BB62" i="19"/>
  <c r="AQ62" i="19"/>
  <c r="AF62" i="19"/>
  <c r="U62" i="19"/>
  <c r="J62" i="19"/>
  <c r="BL57" i="19"/>
  <c r="BK57" i="19"/>
  <c r="BA57" i="19"/>
  <c r="AZ57" i="19"/>
  <c r="AP57" i="19"/>
  <c r="AO57" i="19"/>
  <c r="AE57" i="19"/>
  <c r="AD57" i="19"/>
  <c r="T57" i="19"/>
  <c r="S57" i="19"/>
  <c r="I57" i="19"/>
  <c r="H57" i="19"/>
  <c r="BM56" i="19"/>
  <c r="BB56" i="19"/>
  <c r="AQ56" i="19"/>
  <c r="AF56" i="19"/>
  <c r="U56" i="19"/>
  <c r="J56" i="19"/>
  <c r="BM55" i="19"/>
  <c r="BB55" i="19"/>
  <c r="AQ55" i="19"/>
  <c r="AF55" i="19"/>
  <c r="U55" i="19"/>
  <c r="J55" i="19"/>
  <c r="BM54" i="19"/>
  <c r="BB54" i="19"/>
  <c r="AQ54" i="19"/>
  <c r="AF54" i="19"/>
  <c r="U54" i="19"/>
  <c r="J54" i="19"/>
  <c r="BM53" i="19"/>
  <c r="BB53" i="19"/>
  <c r="AQ53" i="19"/>
  <c r="AF53" i="19"/>
  <c r="U53" i="19"/>
  <c r="J53" i="19"/>
  <c r="BM52" i="19"/>
  <c r="BB52" i="19"/>
  <c r="AQ52" i="19"/>
  <c r="AF52" i="19"/>
  <c r="U52" i="19"/>
  <c r="J52" i="19"/>
  <c r="BM51" i="19"/>
  <c r="BB51" i="19"/>
  <c r="AQ51" i="19"/>
  <c r="AF51" i="19"/>
  <c r="U51" i="19"/>
  <c r="J51" i="19"/>
  <c r="BL46" i="19"/>
  <c r="BK46" i="19"/>
  <c r="BA46" i="19"/>
  <c r="AZ46" i="19"/>
  <c r="AP46" i="19"/>
  <c r="AO46" i="19"/>
  <c r="AE46" i="19"/>
  <c r="AD46" i="19"/>
  <c r="T46" i="19"/>
  <c r="S46" i="19"/>
  <c r="I46" i="19"/>
  <c r="H46" i="19"/>
  <c r="BM45" i="19"/>
  <c r="BB45" i="19"/>
  <c r="AQ45" i="19"/>
  <c r="AF45" i="19"/>
  <c r="U45" i="19"/>
  <c r="J45" i="19"/>
  <c r="BM44" i="19"/>
  <c r="BB44" i="19"/>
  <c r="AQ44" i="19"/>
  <c r="AF44" i="19"/>
  <c r="U44" i="19"/>
  <c r="J44" i="19"/>
  <c r="BM43" i="19"/>
  <c r="BB43" i="19"/>
  <c r="AQ43" i="19"/>
  <c r="AF43" i="19"/>
  <c r="U43" i="19"/>
  <c r="J43" i="19"/>
  <c r="BM42" i="19"/>
  <c r="BB42" i="19"/>
  <c r="AQ42" i="19"/>
  <c r="AF42" i="19"/>
  <c r="U42" i="19"/>
  <c r="J42" i="19"/>
  <c r="BM41" i="19"/>
  <c r="BB41" i="19"/>
  <c r="AQ41" i="19"/>
  <c r="AF41" i="19"/>
  <c r="U41" i="19"/>
  <c r="J41" i="19"/>
  <c r="BM40" i="19"/>
  <c r="BB40" i="19"/>
  <c r="AQ40" i="19"/>
  <c r="AF40" i="19"/>
  <c r="U40" i="19"/>
  <c r="J40" i="19"/>
  <c r="BL35" i="19"/>
  <c r="BK35" i="19"/>
  <c r="BA35" i="19"/>
  <c r="AZ35" i="19"/>
  <c r="AP35" i="19"/>
  <c r="AO35" i="19"/>
  <c r="AE35" i="19"/>
  <c r="AD35" i="19"/>
  <c r="T35" i="19"/>
  <c r="S35" i="19"/>
  <c r="I35" i="19"/>
  <c r="H35" i="19"/>
  <c r="BM34" i="19"/>
  <c r="BB34" i="19"/>
  <c r="AQ34" i="19"/>
  <c r="AF34" i="19"/>
  <c r="U34" i="19"/>
  <c r="J34" i="19"/>
  <c r="BM33" i="19"/>
  <c r="BB33" i="19"/>
  <c r="AQ33" i="19"/>
  <c r="AF33" i="19"/>
  <c r="U33" i="19"/>
  <c r="J33" i="19"/>
  <c r="BM32" i="19"/>
  <c r="BB32" i="19"/>
  <c r="AQ32" i="19"/>
  <c r="AF32" i="19"/>
  <c r="U32" i="19"/>
  <c r="J32" i="19"/>
  <c r="BM31" i="19"/>
  <c r="BB31" i="19"/>
  <c r="AQ31" i="19"/>
  <c r="AF31" i="19"/>
  <c r="U31" i="19"/>
  <c r="J31" i="19"/>
  <c r="BM30" i="19"/>
  <c r="BB30" i="19"/>
  <c r="AQ30" i="19"/>
  <c r="AF30" i="19"/>
  <c r="U30" i="19"/>
  <c r="J30" i="19"/>
  <c r="BM29" i="19"/>
  <c r="BB29" i="19"/>
  <c r="AQ29" i="19"/>
  <c r="AF29" i="19"/>
  <c r="U29" i="19"/>
  <c r="J29" i="19"/>
  <c r="BL24" i="19"/>
  <c r="BK24" i="19"/>
  <c r="BA24" i="19"/>
  <c r="AZ24" i="19"/>
  <c r="AP24" i="19"/>
  <c r="AO24" i="19"/>
  <c r="AE24" i="19"/>
  <c r="AD24" i="19"/>
  <c r="T24" i="19"/>
  <c r="S24" i="19"/>
  <c r="I24" i="19"/>
  <c r="H24" i="19"/>
  <c r="BM23" i="19"/>
  <c r="BB23" i="19"/>
  <c r="AQ23" i="19"/>
  <c r="AF23" i="19"/>
  <c r="U23" i="19"/>
  <c r="J23" i="19"/>
  <c r="BM22" i="19"/>
  <c r="BB22" i="19"/>
  <c r="AQ22" i="19"/>
  <c r="AF22" i="19"/>
  <c r="U22" i="19"/>
  <c r="J22" i="19"/>
  <c r="BL13" i="19"/>
  <c r="BK13" i="19"/>
  <c r="BA13" i="19"/>
  <c r="AZ13" i="19"/>
  <c r="AP13" i="19"/>
  <c r="AO13" i="19"/>
  <c r="AE13" i="19"/>
  <c r="AD13" i="19"/>
  <c r="T13" i="19"/>
  <c r="S13" i="19"/>
  <c r="I13" i="19"/>
  <c r="H13" i="19"/>
  <c r="BM12" i="19"/>
  <c r="BB12" i="19"/>
  <c r="AQ12" i="19"/>
  <c r="AF12" i="19"/>
  <c r="U12" i="19"/>
  <c r="J12" i="19"/>
  <c r="BM11" i="19"/>
  <c r="BB11" i="19"/>
  <c r="AQ11" i="19"/>
  <c r="AF11" i="19"/>
  <c r="U11" i="19"/>
  <c r="J11" i="19"/>
  <c r="BM10" i="19"/>
  <c r="BB10" i="19"/>
  <c r="AQ10" i="19"/>
  <c r="AF10" i="19"/>
  <c r="U10" i="19"/>
  <c r="J10" i="19"/>
  <c r="BM9" i="19"/>
  <c r="BB9" i="19"/>
  <c r="AQ9" i="19"/>
  <c r="AF9" i="19"/>
  <c r="U9" i="19"/>
  <c r="J9" i="19"/>
  <c r="BM8" i="19"/>
  <c r="BB8" i="19"/>
  <c r="AQ8" i="19"/>
  <c r="AF8" i="19"/>
  <c r="U8" i="19"/>
  <c r="J8" i="19"/>
  <c r="BM7" i="19"/>
  <c r="BB7" i="19"/>
  <c r="AQ7" i="19"/>
  <c r="AF7" i="19"/>
  <c r="U7" i="19"/>
  <c r="J7" i="19"/>
  <c r="BM23" i="18"/>
  <c r="BB23" i="18"/>
  <c r="AQ23" i="18"/>
  <c r="AF23" i="18"/>
  <c r="U23" i="18"/>
  <c r="J23" i="18"/>
  <c r="BM22" i="18"/>
  <c r="BB22" i="18"/>
  <c r="AQ22" i="18"/>
  <c r="AF22" i="18"/>
  <c r="U22" i="18"/>
  <c r="J22" i="18"/>
  <c r="BM21" i="18"/>
  <c r="BB21" i="18"/>
  <c r="AQ21" i="18"/>
  <c r="AF21" i="18"/>
  <c r="U21" i="18"/>
  <c r="J21" i="18"/>
  <c r="BM20" i="18"/>
  <c r="BB20" i="18"/>
  <c r="AQ20" i="18"/>
  <c r="AF20" i="18"/>
  <c r="U20" i="18"/>
  <c r="J20" i="18"/>
  <c r="BM19" i="18"/>
  <c r="BB19" i="18"/>
  <c r="AQ19" i="18"/>
  <c r="AF19" i="18"/>
  <c r="U19" i="18"/>
  <c r="J19" i="18"/>
  <c r="BM18" i="18"/>
  <c r="BB18" i="18"/>
  <c r="AQ18" i="18"/>
  <c r="AF18" i="18"/>
  <c r="U18" i="18"/>
  <c r="J18" i="18"/>
  <c r="BL79" i="18"/>
  <c r="BK79" i="18"/>
  <c r="BA79" i="18"/>
  <c r="AZ79" i="18"/>
  <c r="AP79" i="18"/>
  <c r="AO79" i="18"/>
  <c r="AE79" i="18"/>
  <c r="AD79" i="18"/>
  <c r="T79" i="18"/>
  <c r="S79" i="18"/>
  <c r="I79" i="18"/>
  <c r="H79" i="18"/>
  <c r="BM78" i="18"/>
  <c r="BB78" i="18"/>
  <c r="AQ78" i="18"/>
  <c r="AF78" i="18"/>
  <c r="U78" i="18"/>
  <c r="J78" i="18"/>
  <c r="BM77" i="18"/>
  <c r="BB77" i="18"/>
  <c r="AQ77" i="18"/>
  <c r="AF77" i="18"/>
  <c r="U77" i="18"/>
  <c r="J77" i="18"/>
  <c r="BM76" i="18"/>
  <c r="BB76" i="18"/>
  <c r="AQ76" i="18"/>
  <c r="AF76" i="18"/>
  <c r="U76" i="18"/>
  <c r="J76" i="18"/>
  <c r="BM75" i="18"/>
  <c r="BB75" i="18"/>
  <c r="AQ75" i="18"/>
  <c r="AF75" i="18"/>
  <c r="U75" i="18"/>
  <c r="J75" i="18"/>
  <c r="BM74" i="18"/>
  <c r="BB74" i="18"/>
  <c r="AQ74" i="18"/>
  <c r="AF74" i="18"/>
  <c r="U74" i="18"/>
  <c r="J74" i="18"/>
  <c r="BM73" i="18"/>
  <c r="BB73" i="18"/>
  <c r="AQ73" i="18"/>
  <c r="AF73" i="18"/>
  <c r="U73" i="18"/>
  <c r="J73" i="18"/>
  <c r="BL68" i="18"/>
  <c r="BK68" i="18"/>
  <c r="BA68" i="18"/>
  <c r="AZ68" i="18"/>
  <c r="AP68" i="18"/>
  <c r="AO68" i="18"/>
  <c r="AE68" i="18"/>
  <c r="AD68" i="18"/>
  <c r="T68" i="18"/>
  <c r="S68" i="18"/>
  <c r="I68" i="18"/>
  <c r="H68" i="18"/>
  <c r="BM67" i="18"/>
  <c r="BB67" i="18"/>
  <c r="AQ67" i="18"/>
  <c r="AF67" i="18"/>
  <c r="U67" i="18"/>
  <c r="J67" i="18"/>
  <c r="BM66" i="18"/>
  <c r="BB66" i="18"/>
  <c r="AQ66" i="18"/>
  <c r="AF66" i="18"/>
  <c r="U66" i="18"/>
  <c r="J66" i="18"/>
  <c r="BM65" i="18"/>
  <c r="BB65" i="18"/>
  <c r="AQ65" i="18"/>
  <c r="AF65" i="18"/>
  <c r="U65" i="18"/>
  <c r="J65" i="18"/>
  <c r="BM64" i="18"/>
  <c r="BB64" i="18"/>
  <c r="AQ64" i="18"/>
  <c r="AF64" i="18"/>
  <c r="U64" i="18"/>
  <c r="J64" i="18"/>
  <c r="BM63" i="18"/>
  <c r="BB63" i="18"/>
  <c r="AQ63" i="18"/>
  <c r="AF63" i="18"/>
  <c r="U63" i="18"/>
  <c r="J63" i="18"/>
  <c r="BM62" i="18"/>
  <c r="BB62" i="18"/>
  <c r="AQ62" i="18"/>
  <c r="AF62" i="18"/>
  <c r="U62" i="18"/>
  <c r="J62" i="18"/>
  <c r="BL57" i="18"/>
  <c r="BK57" i="18"/>
  <c r="BA57" i="18"/>
  <c r="AZ57" i="18"/>
  <c r="AP57" i="18"/>
  <c r="AO57" i="18"/>
  <c r="AE57" i="18"/>
  <c r="AD57" i="18"/>
  <c r="T57" i="18"/>
  <c r="S57" i="18"/>
  <c r="I57" i="18"/>
  <c r="H57" i="18"/>
  <c r="BM56" i="18"/>
  <c r="BB56" i="18"/>
  <c r="AQ56" i="18"/>
  <c r="AF56" i="18"/>
  <c r="U56" i="18"/>
  <c r="J56" i="18"/>
  <c r="BM55" i="18"/>
  <c r="BB55" i="18"/>
  <c r="AQ55" i="18"/>
  <c r="AF55" i="18"/>
  <c r="U55" i="18"/>
  <c r="J55" i="18"/>
  <c r="BM54" i="18"/>
  <c r="BB54" i="18"/>
  <c r="AQ54" i="18"/>
  <c r="AF54" i="18"/>
  <c r="U54" i="18"/>
  <c r="J54" i="18"/>
  <c r="BM53" i="18"/>
  <c r="BB53" i="18"/>
  <c r="AQ53" i="18"/>
  <c r="AF53" i="18"/>
  <c r="U53" i="18"/>
  <c r="J53" i="18"/>
  <c r="BM52" i="18"/>
  <c r="BB52" i="18"/>
  <c r="AQ52" i="18"/>
  <c r="AF52" i="18"/>
  <c r="U52" i="18"/>
  <c r="J52" i="18"/>
  <c r="BM51" i="18"/>
  <c r="BB51" i="18"/>
  <c r="AQ51" i="18"/>
  <c r="AF51" i="18"/>
  <c r="U51" i="18"/>
  <c r="J51" i="18"/>
  <c r="BL46" i="18"/>
  <c r="BK46" i="18"/>
  <c r="BA46" i="18"/>
  <c r="AZ46" i="18"/>
  <c r="AP46" i="18"/>
  <c r="AO46" i="18"/>
  <c r="AE46" i="18"/>
  <c r="AD46" i="18"/>
  <c r="T46" i="18"/>
  <c r="S46" i="18"/>
  <c r="I46" i="18"/>
  <c r="H46" i="18"/>
  <c r="BM45" i="18"/>
  <c r="BB45" i="18"/>
  <c r="AQ45" i="18"/>
  <c r="AF45" i="18"/>
  <c r="U45" i="18"/>
  <c r="J45" i="18"/>
  <c r="BM44" i="18"/>
  <c r="BB44" i="18"/>
  <c r="AQ44" i="18"/>
  <c r="AF44" i="18"/>
  <c r="U44" i="18"/>
  <c r="J44" i="18"/>
  <c r="BM43" i="18"/>
  <c r="BB43" i="18"/>
  <c r="AQ43" i="18"/>
  <c r="AF43" i="18"/>
  <c r="U43" i="18"/>
  <c r="J43" i="18"/>
  <c r="BM42" i="18"/>
  <c r="BB42" i="18"/>
  <c r="AQ42" i="18"/>
  <c r="AF42" i="18"/>
  <c r="U42" i="18"/>
  <c r="J42" i="18"/>
  <c r="BM41" i="18"/>
  <c r="BB41" i="18"/>
  <c r="AQ41" i="18"/>
  <c r="AF41" i="18"/>
  <c r="U41" i="18"/>
  <c r="J41" i="18"/>
  <c r="BM40" i="18"/>
  <c r="BB40" i="18"/>
  <c r="AQ40" i="18"/>
  <c r="AF40" i="18"/>
  <c r="U40" i="18"/>
  <c r="J40" i="18"/>
  <c r="BL35" i="18"/>
  <c r="BK35" i="18"/>
  <c r="BA35" i="18"/>
  <c r="AZ35" i="18"/>
  <c r="AP35" i="18"/>
  <c r="AO35" i="18"/>
  <c r="AE35" i="18"/>
  <c r="AD35" i="18"/>
  <c r="T35" i="18"/>
  <c r="S35" i="18"/>
  <c r="I35" i="18"/>
  <c r="H35" i="18"/>
  <c r="BM34" i="18"/>
  <c r="BB34" i="18"/>
  <c r="AQ34" i="18"/>
  <c r="AF34" i="18"/>
  <c r="U34" i="18"/>
  <c r="J34" i="18"/>
  <c r="BM33" i="18"/>
  <c r="BB33" i="18"/>
  <c r="AQ33" i="18"/>
  <c r="AF33" i="18"/>
  <c r="U33" i="18"/>
  <c r="J33" i="18"/>
  <c r="BM32" i="18"/>
  <c r="BB32" i="18"/>
  <c r="AQ32" i="18"/>
  <c r="AF32" i="18"/>
  <c r="U32" i="18"/>
  <c r="J32" i="18"/>
  <c r="BM31" i="18"/>
  <c r="BB31" i="18"/>
  <c r="AQ31" i="18"/>
  <c r="AF31" i="18"/>
  <c r="U31" i="18"/>
  <c r="J31" i="18"/>
  <c r="BM30" i="18"/>
  <c r="BB30" i="18"/>
  <c r="AQ30" i="18"/>
  <c r="AF30" i="18"/>
  <c r="U30" i="18"/>
  <c r="J30" i="18"/>
  <c r="BM29" i="18"/>
  <c r="BB29" i="18"/>
  <c r="AQ29" i="18"/>
  <c r="AF29" i="18"/>
  <c r="U29" i="18"/>
  <c r="J29" i="18"/>
  <c r="BL24" i="18"/>
  <c r="BK24" i="18"/>
  <c r="BA24" i="18"/>
  <c r="AZ24" i="18"/>
  <c r="AP24" i="18"/>
  <c r="AO24" i="18"/>
  <c r="AE24" i="18"/>
  <c r="AD24" i="18"/>
  <c r="T24" i="18"/>
  <c r="S24" i="18"/>
  <c r="I24" i="18"/>
  <c r="H24" i="18"/>
  <c r="BL13" i="18"/>
  <c r="BK13" i="18"/>
  <c r="BA13" i="18"/>
  <c r="AZ13" i="18"/>
  <c r="AP13" i="18"/>
  <c r="AO13" i="18"/>
  <c r="AE13" i="18"/>
  <c r="AD13" i="18"/>
  <c r="T13" i="18"/>
  <c r="S13" i="18"/>
  <c r="I13" i="18"/>
  <c r="H13" i="18"/>
  <c r="BM12" i="18"/>
  <c r="BB12" i="18"/>
  <c r="AQ12" i="18"/>
  <c r="AF12" i="18"/>
  <c r="U12" i="18"/>
  <c r="J12" i="18"/>
  <c r="BM11" i="18"/>
  <c r="BB11" i="18"/>
  <c r="AQ11" i="18"/>
  <c r="AF11" i="18"/>
  <c r="U11" i="18"/>
  <c r="J11" i="18"/>
  <c r="BM10" i="18"/>
  <c r="BB10" i="18"/>
  <c r="AQ10" i="18"/>
  <c r="AF10" i="18"/>
  <c r="U10" i="18"/>
  <c r="J10" i="18"/>
  <c r="BM9" i="18"/>
  <c r="BB9" i="18"/>
  <c r="AQ9" i="18"/>
  <c r="AF9" i="18"/>
  <c r="U9" i="18"/>
  <c r="J9" i="18"/>
  <c r="BM8" i="18"/>
  <c r="BB8" i="18"/>
  <c r="AQ8" i="18"/>
  <c r="AF8" i="18"/>
  <c r="U8" i="18"/>
  <c r="J8" i="18"/>
  <c r="BM7" i="18"/>
  <c r="BB7" i="18"/>
  <c r="AQ7" i="18"/>
  <c r="AF7" i="18"/>
  <c r="U7" i="18"/>
  <c r="J7" i="18"/>
  <c r="BM45" i="17"/>
  <c r="BB45" i="17"/>
  <c r="AQ45" i="17"/>
  <c r="AF45" i="17"/>
  <c r="U45" i="17"/>
  <c r="J45" i="17"/>
  <c r="BM44" i="17"/>
  <c r="BB44" i="17"/>
  <c r="AQ44" i="17"/>
  <c r="AF44" i="17"/>
  <c r="U44" i="17"/>
  <c r="J44" i="17"/>
  <c r="BM43" i="17"/>
  <c r="BB43" i="17"/>
  <c r="AQ43" i="17"/>
  <c r="AF43" i="17"/>
  <c r="U43" i="17"/>
  <c r="J43" i="17"/>
  <c r="BM42" i="17"/>
  <c r="BB42" i="17"/>
  <c r="AQ42" i="17"/>
  <c r="AF42" i="17"/>
  <c r="U42" i="17"/>
  <c r="J42" i="17"/>
  <c r="BM41" i="17"/>
  <c r="BB41" i="17"/>
  <c r="AQ41" i="17"/>
  <c r="AF41" i="17"/>
  <c r="U41" i="17"/>
  <c r="J41" i="17"/>
  <c r="BM40" i="17"/>
  <c r="BB40" i="17"/>
  <c r="AQ40" i="17"/>
  <c r="AF40" i="17"/>
  <c r="U40" i="17"/>
  <c r="J40" i="17"/>
  <c r="BM23" i="17"/>
  <c r="BB23" i="17"/>
  <c r="BM22" i="17"/>
  <c r="BB22" i="17"/>
  <c r="BM21" i="17"/>
  <c r="BB21" i="17"/>
  <c r="BM20" i="17"/>
  <c r="BB20" i="17"/>
  <c r="BM19" i="17"/>
  <c r="BB19" i="17"/>
  <c r="BM18" i="17"/>
  <c r="BB18" i="17"/>
  <c r="BL79" i="17"/>
  <c r="BK79" i="17"/>
  <c r="BA79" i="17"/>
  <c r="AZ79" i="17"/>
  <c r="AP79" i="17"/>
  <c r="AO79" i="17"/>
  <c r="AE79" i="17"/>
  <c r="AD79" i="17"/>
  <c r="T79" i="17"/>
  <c r="S79" i="17"/>
  <c r="I79" i="17"/>
  <c r="H79" i="17"/>
  <c r="BM78" i="17"/>
  <c r="BB78" i="17"/>
  <c r="AQ78" i="17"/>
  <c r="AF78" i="17"/>
  <c r="U78" i="17"/>
  <c r="J78" i="17"/>
  <c r="BM77" i="17"/>
  <c r="BB77" i="17"/>
  <c r="AQ77" i="17"/>
  <c r="AF77" i="17"/>
  <c r="U77" i="17"/>
  <c r="J77" i="17"/>
  <c r="BM76" i="17"/>
  <c r="BB76" i="17"/>
  <c r="AQ76" i="17"/>
  <c r="AF76" i="17"/>
  <c r="U76" i="17"/>
  <c r="J76" i="17"/>
  <c r="BM75" i="17"/>
  <c r="BB75" i="17"/>
  <c r="AQ75" i="17"/>
  <c r="AF75" i="17"/>
  <c r="U75" i="17"/>
  <c r="BM74" i="17"/>
  <c r="BB74" i="17"/>
  <c r="AQ74" i="17"/>
  <c r="AF74" i="17"/>
  <c r="U74" i="17"/>
  <c r="BM73" i="17"/>
  <c r="BB73" i="17"/>
  <c r="AQ73" i="17"/>
  <c r="AF73" i="17"/>
  <c r="U73" i="17"/>
  <c r="BL68" i="17"/>
  <c r="BK68" i="17"/>
  <c r="BA68" i="17"/>
  <c r="AZ68" i="17"/>
  <c r="AP68" i="17"/>
  <c r="AO68" i="17"/>
  <c r="AE68" i="17"/>
  <c r="AD68" i="17"/>
  <c r="T68" i="17"/>
  <c r="S68" i="17"/>
  <c r="I68" i="17"/>
  <c r="H68" i="17"/>
  <c r="BM67" i="17"/>
  <c r="BB67" i="17"/>
  <c r="AQ67" i="17"/>
  <c r="AF67" i="17"/>
  <c r="U67" i="17"/>
  <c r="J67" i="17"/>
  <c r="BM66" i="17"/>
  <c r="BB66" i="17"/>
  <c r="AQ66" i="17"/>
  <c r="AF66" i="17"/>
  <c r="U66" i="17"/>
  <c r="J66" i="17"/>
  <c r="BM65" i="17"/>
  <c r="BB65" i="17"/>
  <c r="AQ65" i="17"/>
  <c r="AF65" i="17"/>
  <c r="U65" i="17"/>
  <c r="J65" i="17"/>
  <c r="BM64" i="17"/>
  <c r="BB64" i="17"/>
  <c r="AQ64" i="17"/>
  <c r="AF64" i="17"/>
  <c r="U64" i="17"/>
  <c r="J64" i="17"/>
  <c r="BM63" i="17"/>
  <c r="BB63" i="17"/>
  <c r="AQ63" i="17"/>
  <c r="AF63" i="17"/>
  <c r="U63" i="17"/>
  <c r="J63" i="17"/>
  <c r="BM62" i="17"/>
  <c r="BB62" i="17"/>
  <c r="AQ62" i="17"/>
  <c r="AF62" i="17"/>
  <c r="U62" i="17"/>
  <c r="J62" i="17"/>
  <c r="BL57" i="17"/>
  <c r="BK57" i="17"/>
  <c r="BA57" i="17"/>
  <c r="AZ57" i="17"/>
  <c r="AP57" i="17"/>
  <c r="AO57" i="17"/>
  <c r="AE57" i="17"/>
  <c r="AD57" i="17"/>
  <c r="T57" i="17"/>
  <c r="S57" i="17"/>
  <c r="I57" i="17"/>
  <c r="H57" i="17"/>
  <c r="BM56" i="17"/>
  <c r="BB56" i="17"/>
  <c r="AQ56" i="17"/>
  <c r="AF56" i="17"/>
  <c r="U56" i="17"/>
  <c r="J56" i="17"/>
  <c r="BM55" i="17"/>
  <c r="BB55" i="17"/>
  <c r="AQ55" i="17"/>
  <c r="AF55" i="17"/>
  <c r="U55" i="17"/>
  <c r="J55" i="17"/>
  <c r="BM54" i="17"/>
  <c r="BB54" i="17"/>
  <c r="AQ54" i="17"/>
  <c r="AF54" i="17"/>
  <c r="U54" i="17"/>
  <c r="J54" i="17"/>
  <c r="BM53" i="17"/>
  <c r="BB53" i="17"/>
  <c r="AQ53" i="17"/>
  <c r="AF53" i="17"/>
  <c r="U53" i="17"/>
  <c r="J53" i="17"/>
  <c r="BM52" i="17"/>
  <c r="BB52" i="17"/>
  <c r="AQ52" i="17"/>
  <c r="AF52" i="17"/>
  <c r="U52" i="17"/>
  <c r="J52" i="17"/>
  <c r="BM51" i="17"/>
  <c r="BB51" i="17"/>
  <c r="AQ51" i="17"/>
  <c r="AF51" i="17"/>
  <c r="U51" i="17"/>
  <c r="J51" i="17"/>
  <c r="BL46" i="17"/>
  <c r="BK46" i="17"/>
  <c r="BA46" i="17"/>
  <c r="AZ46" i="17"/>
  <c r="AP46" i="17"/>
  <c r="AO46" i="17"/>
  <c r="AE46" i="17"/>
  <c r="AD46" i="17"/>
  <c r="T46" i="17"/>
  <c r="S46" i="17"/>
  <c r="I46" i="17"/>
  <c r="H46" i="17"/>
  <c r="BL35" i="17"/>
  <c r="BK35" i="17"/>
  <c r="BA35" i="17"/>
  <c r="AZ35" i="17"/>
  <c r="AP35" i="17"/>
  <c r="AO35" i="17"/>
  <c r="AE35" i="17"/>
  <c r="AD35" i="17"/>
  <c r="T35" i="17"/>
  <c r="S35" i="17"/>
  <c r="I35" i="17"/>
  <c r="H35" i="17"/>
  <c r="BM34" i="17"/>
  <c r="BB34" i="17"/>
  <c r="AQ34" i="17"/>
  <c r="AF34" i="17"/>
  <c r="U34" i="17"/>
  <c r="J34" i="17"/>
  <c r="BM33" i="17"/>
  <c r="BB33" i="17"/>
  <c r="AQ33" i="17"/>
  <c r="AF33" i="17"/>
  <c r="U33" i="17"/>
  <c r="J33" i="17"/>
  <c r="BM32" i="17"/>
  <c r="BB32" i="17"/>
  <c r="AQ32" i="17"/>
  <c r="AF32" i="17"/>
  <c r="U32" i="17"/>
  <c r="J32" i="17"/>
  <c r="BM31" i="17"/>
  <c r="BB31" i="17"/>
  <c r="AQ31" i="17"/>
  <c r="AF31" i="17"/>
  <c r="U31" i="17"/>
  <c r="J31" i="17"/>
  <c r="BM30" i="17"/>
  <c r="BB30" i="17"/>
  <c r="AQ30" i="17"/>
  <c r="AF30" i="17"/>
  <c r="U30" i="17"/>
  <c r="J30" i="17"/>
  <c r="BM29" i="17"/>
  <c r="BB29" i="17"/>
  <c r="AQ29" i="17"/>
  <c r="AF29" i="17"/>
  <c r="U29" i="17"/>
  <c r="J29" i="17"/>
  <c r="BL24" i="17"/>
  <c r="BK24" i="17"/>
  <c r="BA24" i="17"/>
  <c r="AZ24" i="17"/>
  <c r="AP24" i="17"/>
  <c r="AO24" i="17"/>
  <c r="BL13" i="17"/>
  <c r="BK13" i="17"/>
  <c r="BA13" i="17"/>
  <c r="AZ13" i="17"/>
  <c r="AP13" i="17"/>
  <c r="AO13" i="17"/>
  <c r="AE13" i="17"/>
  <c r="T13" i="17"/>
  <c r="S13" i="17"/>
  <c r="I13" i="17"/>
  <c r="H13" i="17"/>
  <c r="BM12" i="17"/>
  <c r="BB12" i="17"/>
  <c r="AQ12" i="17"/>
  <c r="AF12" i="17"/>
  <c r="U12" i="17"/>
  <c r="J12" i="17"/>
  <c r="BM11" i="17"/>
  <c r="BB11" i="17"/>
  <c r="AQ11" i="17"/>
  <c r="AF11" i="17"/>
  <c r="U11" i="17"/>
  <c r="J11" i="17"/>
  <c r="BM10" i="17"/>
  <c r="BB10" i="17"/>
  <c r="AQ10" i="17"/>
  <c r="AF10" i="17"/>
  <c r="U10" i="17"/>
  <c r="J10" i="17"/>
  <c r="BM9" i="17"/>
  <c r="BB9" i="17"/>
  <c r="AQ9" i="17"/>
  <c r="AF9" i="17"/>
  <c r="U9" i="17"/>
  <c r="J9" i="17"/>
  <c r="BM8" i="17"/>
  <c r="BB8" i="17"/>
  <c r="AQ8" i="17"/>
  <c r="AF8" i="17"/>
  <c r="U8" i="17"/>
  <c r="J8" i="17"/>
  <c r="BM7" i="17"/>
  <c r="BB7" i="17"/>
  <c r="AQ7" i="17"/>
  <c r="AF7" i="17"/>
  <c r="U7" i="17"/>
  <c r="J7" i="17"/>
  <c r="BL79" i="16"/>
  <c r="BK79" i="16"/>
  <c r="BA79" i="16"/>
  <c r="AZ79" i="16"/>
  <c r="AP79" i="16"/>
  <c r="AO79" i="16"/>
  <c r="AE79" i="16"/>
  <c r="AD79" i="16"/>
  <c r="T79" i="16"/>
  <c r="S79" i="16"/>
  <c r="I79" i="16"/>
  <c r="H79" i="16"/>
  <c r="BM78" i="16"/>
  <c r="BB78" i="16"/>
  <c r="AQ78" i="16"/>
  <c r="AF78" i="16"/>
  <c r="U78" i="16"/>
  <c r="J78" i="16"/>
  <c r="BM77" i="16"/>
  <c r="BB77" i="16"/>
  <c r="AQ77" i="16"/>
  <c r="AF77" i="16"/>
  <c r="U77" i="16"/>
  <c r="J77" i="16"/>
  <c r="BM76" i="16"/>
  <c r="BB76" i="16"/>
  <c r="AQ76" i="16"/>
  <c r="AF76" i="16"/>
  <c r="U76" i="16"/>
  <c r="J76" i="16"/>
  <c r="BM75" i="16"/>
  <c r="BB75" i="16"/>
  <c r="AQ75" i="16"/>
  <c r="AF75" i="16"/>
  <c r="U75" i="16"/>
  <c r="J75" i="16"/>
  <c r="BM74" i="16"/>
  <c r="BB74" i="16"/>
  <c r="AQ74" i="16"/>
  <c r="AF74" i="16"/>
  <c r="U74" i="16"/>
  <c r="J74" i="16"/>
  <c r="BM73" i="16"/>
  <c r="BB73" i="16"/>
  <c r="AQ73" i="16"/>
  <c r="AF73" i="16"/>
  <c r="U73" i="16"/>
  <c r="J73" i="16"/>
  <c r="BL68" i="16"/>
  <c r="BK68" i="16"/>
  <c r="BA68" i="16"/>
  <c r="AZ68" i="16"/>
  <c r="AP68" i="16"/>
  <c r="AO68" i="16"/>
  <c r="AE68" i="16"/>
  <c r="AD68" i="16"/>
  <c r="T68" i="16"/>
  <c r="S68" i="16"/>
  <c r="I68" i="16"/>
  <c r="H68" i="16"/>
  <c r="BM67" i="16"/>
  <c r="BB67" i="16"/>
  <c r="AQ67" i="16"/>
  <c r="AF67" i="16"/>
  <c r="U67" i="16"/>
  <c r="J67" i="16"/>
  <c r="BM66" i="16"/>
  <c r="BB66" i="16"/>
  <c r="AQ66" i="16"/>
  <c r="AF66" i="16"/>
  <c r="U66" i="16"/>
  <c r="J66" i="16"/>
  <c r="BM65" i="16"/>
  <c r="BB65" i="16"/>
  <c r="AQ65" i="16"/>
  <c r="AF65" i="16"/>
  <c r="U65" i="16"/>
  <c r="J65" i="16"/>
  <c r="BM64" i="16"/>
  <c r="BB64" i="16"/>
  <c r="AQ64" i="16"/>
  <c r="AF64" i="16"/>
  <c r="U64" i="16"/>
  <c r="J64" i="16"/>
  <c r="BM63" i="16"/>
  <c r="BB63" i="16"/>
  <c r="AQ63" i="16"/>
  <c r="AF63" i="16"/>
  <c r="U63" i="16"/>
  <c r="J63" i="16"/>
  <c r="BM62" i="16"/>
  <c r="BB62" i="16"/>
  <c r="AQ62" i="16"/>
  <c r="AF62" i="16"/>
  <c r="U62" i="16"/>
  <c r="J62" i="16"/>
  <c r="BL57" i="16"/>
  <c r="BK57" i="16"/>
  <c r="BA57" i="16"/>
  <c r="AZ57" i="16"/>
  <c r="AP57" i="16"/>
  <c r="AO57" i="16"/>
  <c r="AE57" i="16"/>
  <c r="AD57" i="16"/>
  <c r="T57" i="16"/>
  <c r="S57" i="16"/>
  <c r="I57" i="16"/>
  <c r="H57" i="16"/>
  <c r="BM56" i="16"/>
  <c r="BB56" i="16"/>
  <c r="AQ56" i="16"/>
  <c r="AF56" i="16"/>
  <c r="U56" i="16"/>
  <c r="J56" i="16"/>
  <c r="BM55" i="16"/>
  <c r="BB55" i="16"/>
  <c r="AQ55" i="16"/>
  <c r="AF55" i="16"/>
  <c r="U55" i="16"/>
  <c r="J55" i="16"/>
  <c r="BM54" i="16"/>
  <c r="BB54" i="16"/>
  <c r="AQ54" i="16"/>
  <c r="AF54" i="16"/>
  <c r="U54" i="16"/>
  <c r="J54" i="16"/>
  <c r="BM53" i="16"/>
  <c r="BB53" i="16"/>
  <c r="AQ53" i="16"/>
  <c r="AF53" i="16"/>
  <c r="U53" i="16"/>
  <c r="J53" i="16"/>
  <c r="BM52" i="16"/>
  <c r="BB52" i="16"/>
  <c r="AQ52" i="16"/>
  <c r="AF52" i="16"/>
  <c r="U52" i="16"/>
  <c r="J52" i="16"/>
  <c r="BM51" i="16"/>
  <c r="BB51" i="16"/>
  <c r="AQ51" i="16"/>
  <c r="AF51" i="16"/>
  <c r="U51" i="16"/>
  <c r="J51" i="16"/>
  <c r="BL46" i="16"/>
  <c r="BK46" i="16"/>
  <c r="BA46" i="16"/>
  <c r="AZ46" i="16"/>
  <c r="AP46" i="16"/>
  <c r="AO46" i="16"/>
  <c r="AE46" i="16"/>
  <c r="AD46" i="16"/>
  <c r="T46" i="16"/>
  <c r="S46" i="16"/>
  <c r="I46" i="16"/>
  <c r="H46" i="16"/>
  <c r="BM45" i="16"/>
  <c r="BB45" i="16"/>
  <c r="AQ45" i="16"/>
  <c r="AF45" i="16"/>
  <c r="U45" i="16"/>
  <c r="J45" i="16"/>
  <c r="BM44" i="16"/>
  <c r="BB44" i="16"/>
  <c r="AQ44" i="16"/>
  <c r="AF44" i="16"/>
  <c r="U44" i="16"/>
  <c r="J44" i="16"/>
  <c r="BM43" i="16"/>
  <c r="BB43" i="16"/>
  <c r="AQ43" i="16"/>
  <c r="AF43" i="16"/>
  <c r="U43" i="16"/>
  <c r="J43" i="16"/>
  <c r="BM42" i="16"/>
  <c r="BB42" i="16"/>
  <c r="AQ42" i="16"/>
  <c r="AF42" i="16"/>
  <c r="U42" i="16"/>
  <c r="J42" i="16"/>
  <c r="BM41" i="16"/>
  <c r="BB41" i="16"/>
  <c r="AQ41" i="16"/>
  <c r="AF41" i="16"/>
  <c r="U41" i="16"/>
  <c r="J41" i="16"/>
  <c r="BM40" i="16"/>
  <c r="BB40" i="16"/>
  <c r="AQ40" i="16"/>
  <c r="AF40" i="16"/>
  <c r="U40" i="16"/>
  <c r="J40" i="16"/>
  <c r="BL35" i="16"/>
  <c r="BK35" i="16"/>
  <c r="BA35" i="16"/>
  <c r="AZ35" i="16"/>
  <c r="AP35" i="16"/>
  <c r="AO35" i="16"/>
  <c r="AE35" i="16"/>
  <c r="AD35" i="16"/>
  <c r="T35" i="16"/>
  <c r="S35" i="16"/>
  <c r="I35" i="16"/>
  <c r="H35" i="16"/>
  <c r="BM34" i="16"/>
  <c r="BB34" i="16"/>
  <c r="AQ34" i="16"/>
  <c r="AF34" i="16"/>
  <c r="U34" i="16"/>
  <c r="J34" i="16"/>
  <c r="BM33" i="16"/>
  <c r="BB33" i="16"/>
  <c r="AQ33" i="16"/>
  <c r="AF33" i="16"/>
  <c r="U33" i="16"/>
  <c r="J33" i="16"/>
  <c r="BM32" i="16"/>
  <c r="BB32" i="16"/>
  <c r="AQ32" i="16"/>
  <c r="AF32" i="16"/>
  <c r="U32" i="16"/>
  <c r="J32" i="16"/>
  <c r="BM31" i="16"/>
  <c r="BB31" i="16"/>
  <c r="AQ31" i="16"/>
  <c r="AF31" i="16"/>
  <c r="U31" i="16"/>
  <c r="J31" i="16"/>
  <c r="BM30" i="16"/>
  <c r="BB30" i="16"/>
  <c r="AQ30" i="16"/>
  <c r="AF30" i="16"/>
  <c r="U30" i="16"/>
  <c r="J30" i="16"/>
  <c r="BM29" i="16"/>
  <c r="BB29" i="16"/>
  <c r="AQ29" i="16"/>
  <c r="AF29" i="16"/>
  <c r="U29" i="16"/>
  <c r="J29" i="16"/>
  <c r="BL24" i="16"/>
  <c r="BK24" i="16"/>
  <c r="BA24" i="16"/>
  <c r="AZ24" i="16"/>
  <c r="AP24" i="16"/>
  <c r="AO24" i="16"/>
  <c r="AE24" i="16"/>
  <c r="AD24" i="16"/>
  <c r="T24" i="16"/>
  <c r="S24" i="16"/>
  <c r="I24" i="16"/>
  <c r="H24" i="16"/>
  <c r="BB23" i="16"/>
  <c r="AQ23" i="16"/>
  <c r="AF23" i="16"/>
  <c r="U23" i="16"/>
  <c r="J23" i="16"/>
  <c r="BB22" i="16"/>
  <c r="AQ22" i="16"/>
  <c r="AF22" i="16"/>
  <c r="U22" i="16"/>
  <c r="J22" i="16"/>
  <c r="BB21" i="16"/>
  <c r="AQ21" i="16"/>
  <c r="AF21" i="16"/>
  <c r="U21" i="16"/>
  <c r="J21" i="16"/>
  <c r="BB20" i="16"/>
  <c r="AQ20" i="16"/>
  <c r="AF20" i="16"/>
  <c r="U20" i="16"/>
  <c r="J20" i="16"/>
  <c r="BB19" i="16"/>
  <c r="AQ19" i="16"/>
  <c r="AF19" i="16"/>
  <c r="U19" i="16"/>
  <c r="J19" i="16"/>
  <c r="BB18" i="16"/>
  <c r="AQ18" i="16"/>
  <c r="AF18" i="16"/>
  <c r="U18" i="16"/>
  <c r="J18" i="16"/>
  <c r="BL13" i="16"/>
  <c r="BK13" i="16"/>
  <c r="BA13" i="16"/>
  <c r="AZ13" i="16"/>
  <c r="AP13" i="16"/>
  <c r="AO13" i="16"/>
  <c r="AE13" i="16"/>
  <c r="AD13" i="16"/>
  <c r="T13" i="16"/>
  <c r="S13" i="16"/>
  <c r="I13" i="16"/>
  <c r="H13" i="16"/>
  <c r="BM12" i="16"/>
  <c r="BB12" i="16"/>
  <c r="AQ12" i="16"/>
  <c r="AF12" i="16"/>
  <c r="U12" i="16"/>
  <c r="J12" i="16"/>
  <c r="BM11" i="16"/>
  <c r="BB11" i="16"/>
  <c r="AQ11" i="16"/>
  <c r="AF11" i="16"/>
  <c r="U11" i="16"/>
  <c r="J11" i="16"/>
  <c r="BM10" i="16"/>
  <c r="BB10" i="16"/>
  <c r="AQ10" i="16"/>
  <c r="AF10" i="16"/>
  <c r="U10" i="16"/>
  <c r="J10" i="16"/>
  <c r="BM9" i="16"/>
  <c r="BB9" i="16"/>
  <c r="AQ9" i="16"/>
  <c r="AF9" i="16"/>
  <c r="U9" i="16"/>
  <c r="J9" i="16"/>
  <c r="BM8" i="16"/>
  <c r="BB8" i="16"/>
  <c r="AQ8" i="16"/>
  <c r="AF8" i="16"/>
  <c r="U8" i="16"/>
  <c r="J8" i="16"/>
  <c r="BM7" i="16"/>
  <c r="BB7" i="16"/>
  <c r="AQ7" i="16"/>
  <c r="AF7" i="16"/>
  <c r="U7" i="16"/>
  <c r="J7" i="16"/>
  <c r="AF24" i="19" l="1"/>
  <c r="J46" i="17"/>
  <c r="U79" i="18"/>
  <c r="BB24" i="19"/>
  <c r="U35" i="16"/>
  <c r="U46" i="16"/>
  <c r="BM24" i="19"/>
  <c r="BM79" i="19"/>
  <c r="AQ46" i="18"/>
  <c r="AQ68" i="18"/>
  <c r="AQ24" i="18"/>
  <c r="BM24" i="18"/>
  <c r="U13" i="19"/>
  <c r="U13" i="16"/>
  <c r="AQ13" i="16"/>
  <c r="AQ35" i="16"/>
  <c r="U57" i="16"/>
  <c r="BB35" i="18"/>
  <c r="BB46" i="18"/>
  <c r="AQ46" i="19"/>
  <c r="AF35" i="16"/>
  <c r="AF13" i="16"/>
  <c r="AQ57" i="16"/>
  <c r="AF46" i="18"/>
  <c r="BB68" i="18"/>
  <c r="AQ68" i="19"/>
  <c r="AF79" i="16"/>
  <c r="U13" i="18"/>
  <c r="BM35" i="18"/>
  <c r="BM79" i="18"/>
  <c r="BB24" i="18"/>
  <c r="AF24" i="18"/>
  <c r="AF13" i="19"/>
  <c r="J79" i="19"/>
  <c r="J24" i="19"/>
  <c r="AF35" i="19"/>
  <c r="J46" i="19"/>
  <c r="U57" i="19"/>
  <c r="BB68" i="16"/>
  <c r="U57" i="17"/>
  <c r="U68" i="17"/>
  <c r="AQ68" i="17"/>
  <c r="BB24" i="17"/>
  <c r="U46" i="17"/>
  <c r="U57" i="18"/>
  <c r="U24" i="19"/>
  <c r="U46" i="19"/>
  <c r="AF57" i="19"/>
  <c r="AF57" i="17"/>
  <c r="BB68" i="17"/>
  <c r="AF79" i="17"/>
  <c r="BB13" i="18"/>
  <c r="J57" i="18"/>
  <c r="AF57" i="18"/>
  <c r="U79" i="19"/>
  <c r="J13" i="17"/>
  <c r="U35" i="18"/>
  <c r="U46" i="18"/>
  <c r="AQ24" i="19"/>
  <c r="U68" i="16"/>
  <c r="J68" i="16"/>
  <c r="AQ46" i="17"/>
  <c r="J79" i="16"/>
  <c r="BM13" i="17"/>
  <c r="J35" i="17"/>
  <c r="J68" i="17"/>
  <c r="AF68" i="17"/>
  <c r="AQ24" i="17"/>
  <c r="J46" i="18"/>
  <c r="J13" i="19"/>
  <c r="J57" i="19"/>
  <c r="BM68" i="19"/>
  <c r="BB79" i="19"/>
  <c r="U79" i="17"/>
  <c r="BB13" i="16"/>
  <c r="BB24" i="16"/>
  <c r="BB35" i="16"/>
  <c r="AF46" i="16"/>
  <c r="AF57" i="16"/>
  <c r="BB57" i="16"/>
  <c r="U79" i="16"/>
  <c r="AQ79" i="16"/>
  <c r="U35" i="17"/>
  <c r="AQ57" i="17"/>
  <c r="AQ79" i="17"/>
  <c r="BM13" i="18"/>
  <c r="AQ57" i="18"/>
  <c r="J68" i="18"/>
  <c r="AF46" i="19"/>
  <c r="BB46" i="19"/>
  <c r="J68" i="19"/>
  <c r="BM24" i="17"/>
  <c r="AQ46" i="16"/>
  <c r="AQ68" i="16"/>
  <c r="BB79" i="16"/>
  <c r="U13" i="17"/>
  <c r="AF35" i="17"/>
  <c r="BB57" i="17"/>
  <c r="BB79" i="17"/>
  <c r="AF46" i="17"/>
  <c r="BB57" i="18"/>
  <c r="U68" i="18"/>
  <c r="AQ35" i="19"/>
  <c r="U35" i="19"/>
  <c r="U68" i="19"/>
  <c r="AF79" i="19"/>
  <c r="BB46" i="16"/>
  <c r="AF13" i="17"/>
  <c r="AQ35" i="17"/>
  <c r="BM57" i="17"/>
  <c r="BM68" i="17"/>
  <c r="BM46" i="18"/>
  <c r="AF68" i="18"/>
  <c r="J79" i="18"/>
  <c r="AF79" i="18"/>
  <c r="AQ13" i="19"/>
  <c r="BB35" i="19"/>
  <c r="AQ57" i="19"/>
  <c r="AF68" i="19"/>
  <c r="BB68" i="19"/>
  <c r="BM13" i="16"/>
  <c r="BM24" i="16"/>
  <c r="BM35" i="16"/>
  <c r="BM46" i="16"/>
  <c r="BM57" i="16"/>
  <c r="BM68" i="16"/>
  <c r="AQ13" i="17"/>
  <c r="BB35" i="17"/>
  <c r="J57" i="17"/>
  <c r="J79" i="17"/>
  <c r="BB46" i="17"/>
  <c r="J13" i="18"/>
  <c r="AF13" i="18"/>
  <c r="J35" i="18"/>
  <c r="AF35" i="18"/>
  <c r="BM68" i="18"/>
  <c r="AQ79" i="18"/>
  <c r="J24" i="18"/>
  <c r="BB13" i="19"/>
  <c r="BM35" i="19"/>
  <c r="BM46" i="19"/>
  <c r="BB57" i="19"/>
  <c r="BM79" i="17"/>
  <c r="J13" i="16"/>
  <c r="J35" i="16"/>
  <c r="J57" i="16"/>
  <c r="BM79" i="16"/>
  <c r="BB13" i="17"/>
  <c r="BM35" i="17"/>
  <c r="BM46" i="17"/>
  <c r="AQ13" i="18"/>
  <c r="AQ35" i="18"/>
  <c r="BM57" i="18"/>
  <c r="BB79" i="18"/>
  <c r="U24" i="18"/>
  <c r="BM13" i="19"/>
  <c r="J35" i="19"/>
  <c r="BM57" i="19"/>
  <c r="AQ79" i="19"/>
  <c r="AF24" i="16"/>
  <c r="AQ24" i="16"/>
  <c r="U24" i="16"/>
  <c r="AF68" i="16"/>
  <c r="J46" i="16"/>
  <c r="J24" i="16"/>
  <c r="BL79" i="15"/>
  <c r="BK79" i="15"/>
  <c r="BA79" i="15"/>
  <c r="AZ79" i="15"/>
  <c r="AP79" i="15"/>
  <c r="AO79" i="15"/>
  <c r="AE79" i="15"/>
  <c r="AD79" i="15"/>
  <c r="T79" i="15"/>
  <c r="S79" i="15"/>
  <c r="I79" i="15"/>
  <c r="H79" i="15"/>
  <c r="BM78" i="15"/>
  <c r="BB78" i="15"/>
  <c r="AQ78" i="15"/>
  <c r="AF78" i="15"/>
  <c r="U78" i="15"/>
  <c r="J78" i="15"/>
  <c r="BM77" i="15"/>
  <c r="BB77" i="15"/>
  <c r="AQ77" i="15"/>
  <c r="AF77" i="15"/>
  <c r="U77" i="15"/>
  <c r="J77" i="15"/>
  <c r="BM76" i="15"/>
  <c r="BB76" i="15"/>
  <c r="AQ76" i="15"/>
  <c r="AF76" i="15"/>
  <c r="U76" i="15"/>
  <c r="J76" i="15"/>
  <c r="BM75" i="15"/>
  <c r="BB75" i="15"/>
  <c r="AQ75" i="15"/>
  <c r="AF75" i="15"/>
  <c r="U75" i="15"/>
  <c r="J75" i="15"/>
  <c r="BM74" i="15"/>
  <c r="BB74" i="15"/>
  <c r="AQ74" i="15"/>
  <c r="AF74" i="15"/>
  <c r="U74" i="15"/>
  <c r="J74" i="15"/>
  <c r="BM73" i="15"/>
  <c r="BB73" i="15"/>
  <c r="AQ73" i="15"/>
  <c r="AF73" i="15"/>
  <c r="U73" i="15"/>
  <c r="J73" i="15"/>
  <c r="BL68" i="15"/>
  <c r="BK68" i="15"/>
  <c r="BA68" i="15"/>
  <c r="AZ68" i="15"/>
  <c r="AP68" i="15"/>
  <c r="AO68" i="15"/>
  <c r="AE68" i="15"/>
  <c r="AD68" i="15"/>
  <c r="T68" i="15"/>
  <c r="S68" i="15"/>
  <c r="I68" i="15"/>
  <c r="H68" i="15"/>
  <c r="BM67" i="15"/>
  <c r="BB67" i="15"/>
  <c r="AQ67" i="15"/>
  <c r="AF67" i="15"/>
  <c r="U67" i="15"/>
  <c r="J67" i="15"/>
  <c r="BM66" i="15"/>
  <c r="BB66" i="15"/>
  <c r="AQ66" i="15"/>
  <c r="AF66" i="15"/>
  <c r="U66" i="15"/>
  <c r="J66" i="15"/>
  <c r="BM65" i="15"/>
  <c r="BB65" i="15"/>
  <c r="AQ65" i="15"/>
  <c r="AF65" i="15"/>
  <c r="U65" i="15"/>
  <c r="J65" i="15"/>
  <c r="BM64" i="15"/>
  <c r="BB64" i="15"/>
  <c r="AQ64" i="15"/>
  <c r="AF64" i="15"/>
  <c r="U64" i="15"/>
  <c r="J64" i="15"/>
  <c r="BM63" i="15"/>
  <c r="BB63" i="15"/>
  <c r="AQ63" i="15"/>
  <c r="AF63" i="15"/>
  <c r="U63" i="15"/>
  <c r="J63" i="15"/>
  <c r="BM62" i="15"/>
  <c r="BB62" i="15"/>
  <c r="AQ62" i="15"/>
  <c r="AF62" i="15"/>
  <c r="U62" i="15"/>
  <c r="J62" i="15"/>
  <c r="BL57" i="15"/>
  <c r="BK57" i="15"/>
  <c r="BA57" i="15"/>
  <c r="AZ57" i="15"/>
  <c r="AP57" i="15"/>
  <c r="AO57" i="15"/>
  <c r="AE57" i="15"/>
  <c r="AD57" i="15"/>
  <c r="T57" i="15"/>
  <c r="S57" i="15"/>
  <c r="I57" i="15"/>
  <c r="H57" i="15"/>
  <c r="BM56" i="15"/>
  <c r="BB56" i="15"/>
  <c r="AQ56" i="15"/>
  <c r="AF56" i="15"/>
  <c r="U56" i="15"/>
  <c r="J56" i="15"/>
  <c r="BM55" i="15"/>
  <c r="BB55" i="15"/>
  <c r="AQ55" i="15"/>
  <c r="AF55" i="15"/>
  <c r="U55" i="15"/>
  <c r="J55" i="15"/>
  <c r="BM54" i="15"/>
  <c r="BB54" i="15"/>
  <c r="AQ54" i="15"/>
  <c r="AF54" i="15"/>
  <c r="U54" i="15"/>
  <c r="J54" i="15"/>
  <c r="BM53" i="15"/>
  <c r="BB53" i="15"/>
  <c r="AQ53" i="15"/>
  <c r="AF53" i="15"/>
  <c r="U53" i="15"/>
  <c r="J53" i="15"/>
  <c r="BM52" i="15"/>
  <c r="BB52" i="15"/>
  <c r="AQ52" i="15"/>
  <c r="AF52" i="15"/>
  <c r="U52" i="15"/>
  <c r="J52" i="15"/>
  <c r="BM51" i="15"/>
  <c r="BB51" i="15"/>
  <c r="AQ51" i="15"/>
  <c r="AF51" i="15"/>
  <c r="U51" i="15"/>
  <c r="J51" i="15"/>
  <c r="BL46" i="15"/>
  <c r="BK46" i="15"/>
  <c r="BA46" i="15"/>
  <c r="AZ46" i="15"/>
  <c r="AP46" i="15"/>
  <c r="AO46" i="15"/>
  <c r="AE46" i="15"/>
  <c r="AD46" i="15"/>
  <c r="T46" i="15"/>
  <c r="S46" i="15"/>
  <c r="I46" i="15"/>
  <c r="H46" i="15"/>
  <c r="BM45" i="15"/>
  <c r="BB45" i="15"/>
  <c r="AQ45" i="15"/>
  <c r="AF45" i="15"/>
  <c r="U45" i="15"/>
  <c r="J45" i="15"/>
  <c r="BM44" i="15"/>
  <c r="BB44" i="15"/>
  <c r="AQ44" i="15"/>
  <c r="AF44" i="15"/>
  <c r="U44" i="15"/>
  <c r="J44" i="15"/>
  <c r="BM43" i="15"/>
  <c r="BB43" i="15"/>
  <c r="AQ43" i="15"/>
  <c r="AF43" i="15"/>
  <c r="U43" i="15"/>
  <c r="J43" i="15"/>
  <c r="BM42" i="15"/>
  <c r="BB42" i="15"/>
  <c r="AQ42" i="15"/>
  <c r="AF42" i="15"/>
  <c r="U42" i="15"/>
  <c r="J42" i="15"/>
  <c r="BM41" i="15"/>
  <c r="BB41" i="15"/>
  <c r="AQ41" i="15"/>
  <c r="AF41" i="15"/>
  <c r="U41" i="15"/>
  <c r="J41" i="15"/>
  <c r="BM40" i="15"/>
  <c r="BB40" i="15"/>
  <c r="AQ40" i="15"/>
  <c r="AF40" i="15"/>
  <c r="U40" i="15"/>
  <c r="J40" i="15"/>
  <c r="BL35" i="15"/>
  <c r="BK35" i="15"/>
  <c r="BA35" i="15"/>
  <c r="AZ35" i="15"/>
  <c r="AP35" i="15"/>
  <c r="AO35" i="15"/>
  <c r="AE35" i="15"/>
  <c r="AD35" i="15"/>
  <c r="T35" i="15"/>
  <c r="S35" i="15"/>
  <c r="I35" i="15"/>
  <c r="H35" i="15"/>
  <c r="BM34" i="15"/>
  <c r="BB34" i="15"/>
  <c r="AQ34" i="15"/>
  <c r="AF34" i="15"/>
  <c r="U34" i="15"/>
  <c r="J34" i="15"/>
  <c r="BM33" i="15"/>
  <c r="BB33" i="15"/>
  <c r="AQ33" i="15"/>
  <c r="AF33" i="15"/>
  <c r="U33" i="15"/>
  <c r="J33" i="15"/>
  <c r="BM32" i="15"/>
  <c r="BB32" i="15"/>
  <c r="AQ32" i="15"/>
  <c r="AF32" i="15"/>
  <c r="U32" i="15"/>
  <c r="J32" i="15"/>
  <c r="BM31" i="15"/>
  <c r="BB31" i="15"/>
  <c r="AQ31" i="15"/>
  <c r="AF31" i="15"/>
  <c r="U31" i="15"/>
  <c r="J31" i="15"/>
  <c r="BM30" i="15"/>
  <c r="BB30" i="15"/>
  <c r="AQ30" i="15"/>
  <c r="AF30" i="15"/>
  <c r="U30" i="15"/>
  <c r="J30" i="15"/>
  <c r="BM29" i="15"/>
  <c r="BB29" i="15"/>
  <c r="AQ29" i="15"/>
  <c r="AF29" i="15"/>
  <c r="U29" i="15"/>
  <c r="J29" i="15"/>
  <c r="BL24" i="15"/>
  <c r="BK24" i="15"/>
  <c r="BA24" i="15"/>
  <c r="AZ24" i="15"/>
  <c r="AP24" i="15"/>
  <c r="AO24" i="15"/>
  <c r="AE24" i="15"/>
  <c r="AD24" i="15"/>
  <c r="T24" i="15"/>
  <c r="S24" i="15"/>
  <c r="I24" i="15"/>
  <c r="H24" i="15"/>
  <c r="BM23" i="15"/>
  <c r="BB23" i="15"/>
  <c r="AQ23" i="15"/>
  <c r="AF23" i="15"/>
  <c r="U23" i="15"/>
  <c r="J23" i="15"/>
  <c r="BM22" i="15"/>
  <c r="BB22" i="15"/>
  <c r="AQ22" i="15"/>
  <c r="AF22" i="15"/>
  <c r="U22" i="15"/>
  <c r="J22" i="15"/>
  <c r="BM21" i="15"/>
  <c r="BB21" i="15"/>
  <c r="AQ21" i="15"/>
  <c r="AF21" i="15"/>
  <c r="U21" i="15"/>
  <c r="J21" i="15"/>
  <c r="BM20" i="15"/>
  <c r="BB20" i="15"/>
  <c r="AQ20" i="15"/>
  <c r="AF20" i="15"/>
  <c r="U20" i="15"/>
  <c r="J20" i="15"/>
  <c r="BM19" i="15"/>
  <c r="BB19" i="15"/>
  <c r="AQ19" i="15"/>
  <c r="AF19" i="15"/>
  <c r="U19" i="15"/>
  <c r="J19" i="15"/>
  <c r="BM18" i="15"/>
  <c r="BB18" i="15"/>
  <c r="AQ18" i="15"/>
  <c r="AF18" i="15"/>
  <c r="U18" i="15"/>
  <c r="J18" i="15"/>
  <c r="BM12" i="15"/>
  <c r="BM11" i="15"/>
  <c r="BM10" i="15"/>
  <c r="BM9" i="15"/>
  <c r="BM8" i="15"/>
  <c r="BM7" i="15"/>
  <c r="BB12" i="15"/>
  <c r="BB11" i="15"/>
  <c r="BB10" i="15"/>
  <c r="BB9" i="15"/>
  <c r="BB8" i="15"/>
  <c r="BB7" i="15"/>
  <c r="AQ12" i="15"/>
  <c r="AQ11" i="15"/>
  <c r="AQ10" i="15"/>
  <c r="AQ9" i="15"/>
  <c r="AQ8" i="15"/>
  <c r="AQ7" i="15"/>
  <c r="AF12" i="15"/>
  <c r="AF11" i="15"/>
  <c r="AF10" i="15"/>
  <c r="AF9" i="15"/>
  <c r="AF8" i="15"/>
  <c r="AF7" i="15"/>
  <c r="U12" i="15"/>
  <c r="U11" i="15"/>
  <c r="U10" i="15"/>
  <c r="U9" i="15"/>
  <c r="U8" i="15"/>
  <c r="U7" i="15"/>
  <c r="BL13" i="15"/>
  <c r="BK13" i="15"/>
  <c r="BA13" i="15"/>
  <c r="AZ13" i="15"/>
  <c r="AP13" i="15"/>
  <c r="AO13" i="15"/>
  <c r="AE13" i="15"/>
  <c r="AD13" i="15"/>
  <c r="T13" i="15"/>
  <c r="S13" i="15"/>
  <c r="I13" i="15"/>
  <c r="H13" i="15"/>
  <c r="J12" i="15"/>
  <c r="J11" i="15"/>
  <c r="J10" i="15"/>
  <c r="J9" i="15"/>
  <c r="J8" i="15"/>
  <c r="J7" i="15"/>
  <c r="U79" i="15" l="1"/>
  <c r="AQ79" i="15"/>
  <c r="AF13" i="15"/>
  <c r="BB24" i="15"/>
  <c r="BB35" i="15"/>
  <c r="BB46" i="15"/>
  <c r="BB57" i="15"/>
  <c r="BB68" i="15"/>
  <c r="AQ13" i="15"/>
  <c r="U68" i="15"/>
  <c r="BM13" i="15"/>
  <c r="BB79" i="15"/>
  <c r="BB13" i="15"/>
  <c r="BM24" i="15"/>
  <c r="BM35" i="15"/>
  <c r="BM46" i="15"/>
  <c r="BM57" i="15"/>
  <c r="BM68" i="15"/>
  <c r="U13" i="15"/>
  <c r="BM79" i="15"/>
  <c r="J24" i="15"/>
  <c r="AF24" i="15"/>
  <c r="J35" i="15"/>
  <c r="AF35" i="15"/>
  <c r="J46" i="15"/>
  <c r="AF46" i="15"/>
  <c r="J57" i="15"/>
  <c r="AF57" i="15"/>
  <c r="J68" i="15"/>
  <c r="AF68" i="15"/>
  <c r="U24" i="15"/>
  <c r="AQ24" i="15"/>
  <c r="U35" i="15"/>
  <c r="AQ35" i="15"/>
  <c r="U46" i="15"/>
  <c r="AQ46" i="15"/>
  <c r="U57" i="15"/>
  <c r="AQ57" i="15"/>
  <c r="AQ68" i="15"/>
  <c r="J79" i="15"/>
  <c r="AF79" i="15"/>
  <c r="J13" i="15"/>
  <c r="S46" i="8" l="1"/>
  <c r="J40" i="8"/>
  <c r="AV48" i="14"/>
  <c r="H70" i="14" l="1"/>
  <c r="AV6" i="14" l="1"/>
  <c r="H85" i="7" l="1"/>
  <c r="G85" i="7"/>
  <c r="AB15" i="14" l="1"/>
  <c r="BE43" i="14" l="1"/>
  <c r="AL4" i="14" l="1"/>
  <c r="AM4" i="14" s="1"/>
  <c r="I7" i="14"/>
  <c r="S7" i="14"/>
  <c r="AC7" i="14"/>
  <c r="AM7" i="14"/>
  <c r="AW7" i="14"/>
  <c r="BG7" i="14"/>
  <c r="I8" i="14"/>
  <c r="S8" i="14"/>
  <c r="AC8" i="14"/>
  <c r="AM8" i="14"/>
  <c r="AW8" i="14"/>
  <c r="BG8" i="14"/>
  <c r="G43" i="14"/>
  <c r="BF76" i="14"/>
  <c r="BE76" i="14"/>
  <c r="AV76" i="14"/>
  <c r="AU76" i="14"/>
  <c r="AL76" i="14"/>
  <c r="AK76" i="14"/>
  <c r="AB76" i="14"/>
  <c r="AA76" i="14"/>
  <c r="H76" i="14"/>
  <c r="G76" i="14"/>
  <c r="BG75" i="14"/>
  <c r="AW75" i="14"/>
  <c r="AM75" i="14"/>
  <c r="AC75" i="14"/>
  <c r="S75" i="14"/>
  <c r="I75" i="14"/>
  <c r="BG74" i="14"/>
  <c r="AW74" i="14"/>
  <c r="AM74" i="14"/>
  <c r="AC74" i="14"/>
  <c r="S74" i="14"/>
  <c r="I74" i="14"/>
  <c r="BG73" i="14"/>
  <c r="AW73" i="14"/>
  <c r="AM73" i="14"/>
  <c r="AC73" i="14"/>
  <c r="S73" i="14"/>
  <c r="I73" i="14"/>
  <c r="BG72" i="14"/>
  <c r="AW72" i="14"/>
  <c r="AM72" i="14"/>
  <c r="AC72" i="14"/>
  <c r="S72" i="14"/>
  <c r="I72" i="14"/>
  <c r="BG71" i="14"/>
  <c r="AW71" i="14"/>
  <c r="AM71" i="14"/>
  <c r="AC71" i="14"/>
  <c r="S71" i="14"/>
  <c r="I71" i="14"/>
  <c r="BG70" i="14"/>
  <c r="AW70" i="14"/>
  <c r="AM70" i="14"/>
  <c r="AC70" i="14"/>
  <c r="S70" i="14"/>
  <c r="I70" i="14"/>
  <c r="BF65" i="14"/>
  <c r="BE65" i="14"/>
  <c r="AV65" i="14"/>
  <c r="AU65" i="14"/>
  <c r="AL65" i="14"/>
  <c r="AK65" i="14"/>
  <c r="AB65" i="14"/>
  <c r="AA65" i="14"/>
  <c r="R65" i="14"/>
  <c r="Q65" i="14"/>
  <c r="H65" i="14"/>
  <c r="G65" i="14"/>
  <c r="BG64" i="14"/>
  <c r="AW64" i="14"/>
  <c r="AM64" i="14"/>
  <c r="AC64" i="14"/>
  <c r="S64" i="14"/>
  <c r="I64" i="14"/>
  <c r="BG63" i="14"/>
  <c r="AW63" i="14"/>
  <c r="AM63" i="14"/>
  <c r="AC63" i="14"/>
  <c r="S63" i="14"/>
  <c r="I63" i="14"/>
  <c r="BG62" i="14"/>
  <c r="AW62" i="14"/>
  <c r="AM62" i="14"/>
  <c r="AC62" i="14"/>
  <c r="S62" i="14"/>
  <c r="I62" i="14"/>
  <c r="BG61" i="14"/>
  <c r="AW61" i="14"/>
  <c r="AM61" i="14"/>
  <c r="AC61" i="14"/>
  <c r="S61" i="14"/>
  <c r="I61" i="14"/>
  <c r="BG60" i="14"/>
  <c r="AW60" i="14"/>
  <c r="AM60" i="14"/>
  <c r="AC60" i="14"/>
  <c r="S60" i="14"/>
  <c r="I60" i="14"/>
  <c r="BG59" i="14"/>
  <c r="AW59" i="14"/>
  <c r="AM59" i="14"/>
  <c r="AC59" i="14"/>
  <c r="S59" i="14"/>
  <c r="I59" i="14"/>
  <c r="BF54" i="14"/>
  <c r="BE54" i="14"/>
  <c r="AV54" i="14"/>
  <c r="AU54" i="14"/>
  <c r="AL54" i="14"/>
  <c r="AK54" i="14"/>
  <c r="AB54" i="14"/>
  <c r="AA54" i="14"/>
  <c r="R54" i="14"/>
  <c r="Q54" i="14"/>
  <c r="H54" i="14"/>
  <c r="G54" i="14"/>
  <c r="BG53" i="14"/>
  <c r="AW53" i="14"/>
  <c r="AM53" i="14"/>
  <c r="AC53" i="14"/>
  <c r="S53" i="14"/>
  <c r="I53" i="14"/>
  <c r="BG52" i="14"/>
  <c r="AW52" i="14"/>
  <c r="AM52" i="14"/>
  <c r="AC52" i="14"/>
  <c r="S52" i="14"/>
  <c r="I52" i="14"/>
  <c r="BG51" i="14"/>
  <c r="AW51" i="14"/>
  <c r="AM51" i="14"/>
  <c r="AC51" i="14"/>
  <c r="S51" i="14"/>
  <c r="I51" i="14"/>
  <c r="BG50" i="14"/>
  <c r="AW50" i="14"/>
  <c r="AM50" i="14"/>
  <c r="AC50" i="14"/>
  <c r="S50" i="14"/>
  <c r="I50" i="14"/>
  <c r="BG49" i="14"/>
  <c r="AW49" i="14"/>
  <c r="AM49" i="14"/>
  <c r="AC49" i="14"/>
  <c r="S49" i="14"/>
  <c r="I49" i="14"/>
  <c r="BG48" i="14"/>
  <c r="AW48" i="14"/>
  <c r="AM48" i="14"/>
  <c r="AC48" i="14"/>
  <c r="S48" i="14"/>
  <c r="I48" i="14"/>
  <c r="BF43" i="14"/>
  <c r="AV43" i="14"/>
  <c r="AU43" i="14"/>
  <c r="AL43" i="14"/>
  <c r="AK43" i="14"/>
  <c r="AB43" i="14"/>
  <c r="AA43" i="14"/>
  <c r="R43" i="14"/>
  <c r="Q43" i="14"/>
  <c r="H43" i="14"/>
  <c r="BG42" i="14"/>
  <c r="AW42" i="14"/>
  <c r="AM42" i="14"/>
  <c r="AC42" i="14"/>
  <c r="S42" i="14"/>
  <c r="I42" i="14"/>
  <c r="BG41" i="14"/>
  <c r="AW41" i="14"/>
  <c r="AM41" i="14"/>
  <c r="AC41" i="14"/>
  <c r="S41" i="14"/>
  <c r="I41" i="14"/>
  <c r="BG40" i="14"/>
  <c r="AW40" i="14"/>
  <c r="AM40" i="14"/>
  <c r="AC40" i="14"/>
  <c r="S40" i="14"/>
  <c r="I40" i="14"/>
  <c r="BG39" i="14"/>
  <c r="AW39" i="14"/>
  <c r="AM39" i="14"/>
  <c r="AC39" i="14"/>
  <c r="S39" i="14"/>
  <c r="I39" i="14"/>
  <c r="BG38" i="14"/>
  <c r="AW38" i="14"/>
  <c r="AM38" i="14"/>
  <c r="AC38" i="14"/>
  <c r="S38" i="14"/>
  <c r="I38" i="14"/>
  <c r="BG37" i="14"/>
  <c r="AW37" i="14"/>
  <c r="AM37" i="14"/>
  <c r="AC37" i="14"/>
  <c r="S37" i="14"/>
  <c r="I37" i="14"/>
  <c r="BF32" i="14"/>
  <c r="BE32" i="14"/>
  <c r="AV32" i="14"/>
  <c r="AU32" i="14"/>
  <c r="AL32" i="14"/>
  <c r="AK32" i="14"/>
  <c r="AB32" i="14"/>
  <c r="AA32" i="14"/>
  <c r="R32" i="14"/>
  <c r="Q32" i="14"/>
  <c r="H32" i="14"/>
  <c r="G32" i="14"/>
  <c r="BG31" i="14"/>
  <c r="AW31" i="14"/>
  <c r="AM31" i="14"/>
  <c r="AC31" i="14"/>
  <c r="S31" i="14"/>
  <c r="I31" i="14"/>
  <c r="BG30" i="14"/>
  <c r="AW30" i="14"/>
  <c r="AM30" i="14"/>
  <c r="AC30" i="14"/>
  <c r="S30" i="14"/>
  <c r="I30" i="14"/>
  <c r="BG29" i="14"/>
  <c r="AW29" i="14"/>
  <c r="AM29" i="14"/>
  <c r="AC29" i="14"/>
  <c r="S29" i="14"/>
  <c r="I29" i="14"/>
  <c r="BG28" i="14"/>
  <c r="AW28" i="14"/>
  <c r="AM28" i="14"/>
  <c r="AC28" i="14"/>
  <c r="S28" i="14"/>
  <c r="I28" i="14"/>
  <c r="BG27" i="14"/>
  <c r="AW27" i="14"/>
  <c r="AM27" i="14"/>
  <c r="AC27" i="14"/>
  <c r="S27" i="14"/>
  <c r="I27" i="14"/>
  <c r="BG26" i="14"/>
  <c r="AW26" i="14"/>
  <c r="AM26" i="14"/>
  <c r="AC26" i="14"/>
  <c r="S26" i="14"/>
  <c r="I26" i="14"/>
  <c r="BF21" i="14"/>
  <c r="BE21" i="14"/>
  <c r="AV21" i="14"/>
  <c r="AU21" i="14"/>
  <c r="AL21" i="14"/>
  <c r="AK21" i="14"/>
  <c r="AB21" i="14"/>
  <c r="AA21" i="14"/>
  <c r="R21" i="14"/>
  <c r="Q21" i="14"/>
  <c r="H21" i="14"/>
  <c r="G21" i="14"/>
  <c r="BG20" i="14"/>
  <c r="AW20" i="14"/>
  <c r="AM20" i="14"/>
  <c r="AC20" i="14"/>
  <c r="S20" i="14"/>
  <c r="I20" i="14"/>
  <c r="BG19" i="14"/>
  <c r="AW19" i="14"/>
  <c r="AM19" i="14"/>
  <c r="AC19" i="14"/>
  <c r="S19" i="14"/>
  <c r="I19" i="14"/>
  <c r="BG18" i="14"/>
  <c r="AW18" i="14"/>
  <c r="AM18" i="14"/>
  <c r="AC18" i="14"/>
  <c r="S18" i="14"/>
  <c r="I18" i="14"/>
  <c r="BG17" i="14"/>
  <c r="AW17" i="14"/>
  <c r="AM17" i="14"/>
  <c r="AC17" i="14"/>
  <c r="S17" i="14"/>
  <c r="I17" i="14"/>
  <c r="BG16" i="14"/>
  <c r="AW16" i="14"/>
  <c r="AM16" i="14"/>
  <c r="AC16" i="14"/>
  <c r="S16" i="14"/>
  <c r="I16" i="14"/>
  <c r="BG15" i="14"/>
  <c r="AW15" i="14"/>
  <c r="AM15" i="14"/>
  <c r="AC15" i="14"/>
  <c r="S15" i="14"/>
  <c r="I15" i="14"/>
  <c r="BF10" i="14"/>
  <c r="BE10" i="14"/>
  <c r="AV10" i="14"/>
  <c r="AU10" i="14"/>
  <c r="AK10" i="14"/>
  <c r="AB10" i="14"/>
  <c r="AA10" i="14"/>
  <c r="R10" i="14"/>
  <c r="Q10" i="14"/>
  <c r="H10" i="14"/>
  <c r="G10" i="14"/>
  <c r="BG9" i="14"/>
  <c r="AW9" i="14"/>
  <c r="AM9" i="14"/>
  <c r="AC9" i="14"/>
  <c r="S9" i="14"/>
  <c r="I9" i="14"/>
  <c r="BG6" i="14"/>
  <c r="AW6" i="14"/>
  <c r="AM6" i="14"/>
  <c r="AC6" i="14"/>
  <c r="S6" i="14"/>
  <c r="I6" i="14"/>
  <c r="BG5" i="14"/>
  <c r="AW5" i="14"/>
  <c r="AM5" i="14"/>
  <c r="AC5" i="14"/>
  <c r="S5" i="14"/>
  <c r="I5" i="14"/>
  <c r="BG4" i="14"/>
  <c r="AW4" i="14"/>
  <c r="AC4" i="14"/>
  <c r="S4" i="14"/>
  <c r="I4" i="14"/>
  <c r="AL10" i="14" l="1"/>
  <c r="S54" i="14"/>
  <c r="BG21" i="14"/>
  <c r="AW54" i="14"/>
  <c r="AC54" i="14"/>
  <c r="S32" i="14"/>
  <c r="AW65" i="14"/>
  <c r="AW21" i="14"/>
  <c r="AC32" i="14"/>
  <c r="AM32" i="14"/>
  <c r="AW32" i="14"/>
  <c r="BG54" i="14"/>
  <c r="BG65" i="14"/>
  <c r="BG43" i="14"/>
  <c r="BG76" i="14"/>
  <c r="AW76" i="14"/>
  <c r="AM76" i="14"/>
  <c r="AC76" i="14"/>
  <c r="S76" i="14"/>
  <c r="AC65" i="14"/>
  <c r="AM65" i="14"/>
  <c r="S65" i="14"/>
  <c r="I65" i="14"/>
  <c r="AM54" i="14"/>
  <c r="I54" i="14"/>
  <c r="AM43" i="14"/>
  <c r="AW43" i="14"/>
  <c r="I76" i="14"/>
  <c r="AC43" i="14"/>
  <c r="S43" i="14"/>
  <c r="I43" i="14"/>
  <c r="BG32" i="14"/>
  <c r="BG10" i="14"/>
  <c r="AM10" i="14"/>
  <c r="AW10" i="14"/>
  <c r="AM21" i="14"/>
  <c r="AC10" i="14"/>
  <c r="S10" i="14"/>
  <c r="I10" i="14"/>
  <c r="AC21" i="14"/>
  <c r="I32" i="14"/>
  <c r="S21" i="14"/>
  <c r="I21" i="14"/>
  <c r="U19" i="8"/>
  <c r="U20" i="8"/>
  <c r="U21" i="8"/>
  <c r="U22" i="8"/>
  <c r="U23" i="8"/>
  <c r="BL79" i="8"/>
  <c r="BK79" i="8"/>
  <c r="BA79" i="8"/>
  <c r="AZ79" i="8"/>
  <c r="AP79" i="8"/>
  <c r="AO79" i="8"/>
  <c r="AE79" i="8"/>
  <c r="AD79" i="8"/>
  <c r="T79" i="8"/>
  <c r="S79" i="8"/>
  <c r="I79" i="8"/>
  <c r="H79" i="8"/>
  <c r="BM78" i="8"/>
  <c r="BB78" i="8"/>
  <c r="AQ78" i="8"/>
  <c r="AF78" i="8"/>
  <c r="U78" i="8"/>
  <c r="J78" i="8"/>
  <c r="BM77" i="8"/>
  <c r="BB77" i="8"/>
  <c r="AQ77" i="8"/>
  <c r="AF77" i="8"/>
  <c r="U77" i="8"/>
  <c r="J77" i="8"/>
  <c r="BM76" i="8"/>
  <c r="BB76" i="8"/>
  <c r="AQ76" i="8"/>
  <c r="AF76" i="8"/>
  <c r="U76" i="8"/>
  <c r="J76" i="8"/>
  <c r="BM75" i="8"/>
  <c r="BB75" i="8"/>
  <c r="AQ75" i="8"/>
  <c r="AF75" i="8"/>
  <c r="U75" i="8"/>
  <c r="J75" i="8"/>
  <c r="BM74" i="8"/>
  <c r="BB74" i="8"/>
  <c r="AQ74" i="8"/>
  <c r="AF74" i="8"/>
  <c r="U74" i="8"/>
  <c r="J74" i="8"/>
  <c r="BM73" i="8"/>
  <c r="BB73" i="8"/>
  <c r="AQ73" i="8"/>
  <c r="AF73" i="8"/>
  <c r="U73" i="8"/>
  <c r="J73" i="8"/>
  <c r="BL68" i="8"/>
  <c r="BK68" i="8"/>
  <c r="BA68" i="8"/>
  <c r="AZ68" i="8"/>
  <c r="AP68" i="8"/>
  <c r="AO68" i="8"/>
  <c r="AE68" i="8"/>
  <c r="AD68" i="8"/>
  <c r="T68" i="8"/>
  <c r="S68" i="8"/>
  <c r="I68" i="8"/>
  <c r="H68" i="8"/>
  <c r="BM67" i="8"/>
  <c r="BB67" i="8"/>
  <c r="AQ67" i="8"/>
  <c r="AF67" i="8"/>
  <c r="U67" i="8"/>
  <c r="J67" i="8"/>
  <c r="BM66" i="8"/>
  <c r="BB66" i="8"/>
  <c r="AQ66" i="8"/>
  <c r="AF66" i="8"/>
  <c r="U66" i="8"/>
  <c r="J66" i="8"/>
  <c r="BM65" i="8"/>
  <c r="BB65" i="8"/>
  <c r="AQ65" i="8"/>
  <c r="AF65" i="8"/>
  <c r="U65" i="8"/>
  <c r="J65" i="8"/>
  <c r="BM64" i="8"/>
  <c r="BB64" i="8"/>
  <c r="AQ64" i="8"/>
  <c r="AF64" i="8"/>
  <c r="U64" i="8"/>
  <c r="J64" i="8"/>
  <c r="BM63" i="8"/>
  <c r="BB63" i="8"/>
  <c r="AQ63" i="8"/>
  <c r="AF63" i="8"/>
  <c r="U63" i="8"/>
  <c r="J63" i="8"/>
  <c r="BM62" i="8"/>
  <c r="BB62" i="8"/>
  <c r="AQ62" i="8"/>
  <c r="AF62" i="8"/>
  <c r="U62" i="8"/>
  <c r="J62" i="8"/>
  <c r="BL57" i="8"/>
  <c r="BK57" i="8"/>
  <c r="BA57" i="8"/>
  <c r="AZ57" i="8"/>
  <c r="AP57" i="8"/>
  <c r="AO57" i="8"/>
  <c r="AE57" i="8"/>
  <c r="AD57" i="8"/>
  <c r="T57" i="8"/>
  <c r="S57" i="8"/>
  <c r="I57" i="8"/>
  <c r="H57" i="8"/>
  <c r="BM56" i="8"/>
  <c r="BB56" i="8"/>
  <c r="AQ56" i="8"/>
  <c r="AF56" i="8"/>
  <c r="U56" i="8"/>
  <c r="J56" i="8"/>
  <c r="BM55" i="8"/>
  <c r="BB55" i="8"/>
  <c r="AQ55" i="8"/>
  <c r="AF55" i="8"/>
  <c r="U55" i="8"/>
  <c r="J55" i="8"/>
  <c r="BM54" i="8"/>
  <c r="BB54" i="8"/>
  <c r="AQ54" i="8"/>
  <c r="AF54" i="8"/>
  <c r="U54" i="8"/>
  <c r="J54" i="8"/>
  <c r="BM53" i="8"/>
  <c r="BB53" i="8"/>
  <c r="AQ53" i="8"/>
  <c r="AF53" i="8"/>
  <c r="U53" i="8"/>
  <c r="J53" i="8"/>
  <c r="BM52" i="8"/>
  <c r="BB52" i="8"/>
  <c r="AQ52" i="8"/>
  <c r="AF52" i="8"/>
  <c r="U52" i="8"/>
  <c r="J52" i="8"/>
  <c r="BM51" i="8"/>
  <c r="BB51" i="8"/>
  <c r="AQ51" i="8"/>
  <c r="AF51" i="8"/>
  <c r="U51" i="8"/>
  <c r="J51" i="8"/>
  <c r="BL46" i="8"/>
  <c r="BK46" i="8"/>
  <c r="BA46" i="8"/>
  <c r="AZ46" i="8"/>
  <c r="AP46" i="8"/>
  <c r="AO46" i="8"/>
  <c r="AE46" i="8"/>
  <c r="AD46" i="8"/>
  <c r="T46" i="8"/>
  <c r="I46" i="8"/>
  <c r="H46" i="8"/>
  <c r="BM45" i="8"/>
  <c r="BB45" i="8"/>
  <c r="AQ45" i="8"/>
  <c r="AF45" i="8"/>
  <c r="U45" i="8"/>
  <c r="J45" i="8"/>
  <c r="BM44" i="8"/>
  <c r="BB44" i="8"/>
  <c r="AQ44" i="8"/>
  <c r="AF44" i="8"/>
  <c r="U44" i="8"/>
  <c r="J44" i="8"/>
  <c r="BM43" i="8"/>
  <c r="BB43" i="8"/>
  <c r="AQ43" i="8"/>
  <c r="AF43" i="8"/>
  <c r="U43" i="8"/>
  <c r="J43" i="8"/>
  <c r="BM42" i="8"/>
  <c r="BB42" i="8"/>
  <c r="AQ42" i="8"/>
  <c r="AF42" i="8"/>
  <c r="U42" i="8"/>
  <c r="J42" i="8"/>
  <c r="BM41" i="8"/>
  <c r="BB41" i="8"/>
  <c r="AQ41" i="8"/>
  <c r="AF41" i="8"/>
  <c r="U41" i="8"/>
  <c r="J41" i="8"/>
  <c r="BM40" i="8"/>
  <c r="BB40" i="8"/>
  <c r="AQ40" i="8"/>
  <c r="AF40" i="8"/>
  <c r="U40" i="8"/>
  <c r="BL35" i="8"/>
  <c r="BK35" i="8"/>
  <c r="BA35" i="8"/>
  <c r="AZ35" i="8"/>
  <c r="AP35" i="8"/>
  <c r="AO35" i="8"/>
  <c r="AE35" i="8"/>
  <c r="AD35" i="8"/>
  <c r="T35" i="8"/>
  <c r="S35" i="8"/>
  <c r="I35" i="8"/>
  <c r="H35" i="8"/>
  <c r="BM34" i="8"/>
  <c r="BB34" i="8"/>
  <c r="AQ34" i="8"/>
  <c r="AF34" i="8"/>
  <c r="U34" i="8"/>
  <c r="J34" i="8"/>
  <c r="BM33" i="8"/>
  <c r="BB33" i="8"/>
  <c r="AQ33" i="8"/>
  <c r="AF33" i="8"/>
  <c r="U33" i="8"/>
  <c r="J33" i="8"/>
  <c r="BM32" i="8"/>
  <c r="BB32" i="8"/>
  <c r="AQ32" i="8"/>
  <c r="AF32" i="8"/>
  <c r="U32" i="8"/>
  <c r="J32" i="8"/>
  <c r="BM31" i="8"/>
  <c r="BB31" i="8"/>
  <c r="AQ31" i="8"/>
  <c r="AF31" i="8"/>
  <c r="U31" i="8"/>
  <c r="J31" i="8"/>
  <c r="BM30" i="8"/>
  <c r="BB30" i="8"/>
  <c r="AQ30" i="8"/>
  <c r="AF30" i="8"/>
  <c r="U30" i="8"/>
  <c r="J30" i="8"/>
  <c r="BM29" i="8"/>
  <c r="BB29" i="8"/>
  <c r="AQ29" i="8"/>
  <c r="AF29" i="8"/>
  <c r="U29" i="8"/>
  <c r="J29" i="8"/>
  <c r="BL24" i="8"/>
  <c r="BK24" i="8"/>
  <c r="BA24" i="8"/>
  <c r="AZ24" i="8"/>
  <c r="AP24" i="8"/>
  <c r="AO24" i="8"/>
  <c r="AE24" i="8"/>
  <c r="AD24" i="8"/>
  <c r="T24" i="8"/>
  <c r="S24" i="8"/>
  <c r="I24" i="8"/>
  <c r="H24" i="8"/>
  <c r="BM23" i="8"/>
  <c r="BB23" i="8"/>
  <c r="AQ23" i="8"/>
  <c r="AF23" i="8"/>
  <c r="J23" i="8"/>
  <c r="BM22" i="8"/>
  <c r="BB22" i="8"/>
  <c r="AQ22" i="8"/>
  <c r="AF22" i="8"/>
  <c r="J22" i="8"/>
  <c r="BM21" i="8"/>
  <c r="BB21" i="8"/>
  <c r="AQ21" i="8"/>
  <c r="AF21" i="8"/>
  <c r="J21" i="8"/>
  <c r="BM20" i="8"/>
  <c r="BB20" i="8"/>
  <c r="AQ20" i="8"/>
  <c r="AF20" i="8"/>
  <c r="J20" i="8"/>
  <c r="BM19" i="8"/>
  <c r="BB19" i="8"/>
  <c r="AQ19" i="8"/>
  <c r="AF19" i="8"/>
  <c r="J19" i="8"/>
  <c r="BM18" i="8"/>
  <c r="BB18" i="8"/>
  <c r="AQ18" i="8"/>
  <c r="AF18" i="8"/>
  <c r="U18" i="8"/>
  <c r="J18" i="8"/>
  <c r="BL13" i="8"/>
  <c r="BK13" i="8"/>
  <c r="BA13" i="8"/>
  <c r="AZ13" i="8"/>
  <c r="AP13" i="8"/>
  <c r="AO13" i="8"/>
  <c r="AE13" i="8"/>
  <c r="AD13" i="8"/>
  <c r="T13" i="8"/>
  <c r="S13" i="8"/>
  <c r="I13" i="8"/>
  <c r="H13" i="8"/>
  <c r="BM12" i="8"/>
  <c r="BB12" i="8"/>
  <c r="AQ12" i="8"/>
  <c r="AF12" i="8"/>
  <c r="U12" i="8"/>
  <c r="J12" i="8"/>
  <c r="BM11" i="8"/>
  <c r="BB11" i="8"/>
  <c r="AQ11" i="8"/>
  <c r="AF11" i="8"/>
  <c r="U11" i="8"/>
  <c r="J11" i="8"/>
  <c r="BM10" i="8"/>
  <c r="BB10" i="8"/>
  <c r="AQ10" i="8"/>
  <c r="AF10" i="8"/>
  <c r="U10" i="8"/>
  <c r="J10" i="8"/>
  <c r="BM9" i="8"/>
  <c r="BB9" i="8"/>
  <c r="AQ9" i="8"/>
  <c r="AF9" i="8"/>
  <c r="U9" i="8"/>
  <c r="J9" i="8"/>
  <c r="BM8" i="8"/>
  <c r="BB8" i="8"/>
  <c r="AQ8" i="8"/>
  <c r="AF8" i="8"/>
  <c r="U8" i="8"/>
  <c r="J8" i="8"/>
  <c r="BM7" i="8"/>
  <c r="BB7" i="8"/>
  <c r="AQ7" i="8"/>
  <c r="AF7" i="8"/>
  <c r="U7" i="8"/>
  <c r="J7" i="8"/>
  <c r="BF85" i="7"/>
  <c r="BE85" i="7"/>
  <c r="AV85" i="7"/>
  <c r="AU85" i="7"/>
  <c r="AL85" i="7"/>
  <c r="AK85" i="7"/>
  <c r="AB85" i="7"/>
  <c r="AA85" i="7"/>
  <c r="R85" i="7"/>
  <c r="Q85" i="7"/>
  <c r="BG84" i="7"/>
  <c r="AW84" i="7"/>
  <c r="AM84" i="7"/>
  <c r="AC84" i="7"/>
  <c r="S84" i="7"/>
  <c r="I84" i="7"/>
  <c r="BG83" i="7"/>
  <c r="AW83" i="7"/>
  <c r="AM83" i="7"/>
  <c r="AC83" i="7"/>
  <c r="S83" i="7"/>
  <c r="I83" i="7"/>
  <c r="BG82" i="7"/>
  <c r="AW82" i="7"/>
  <c r="AM82" i="7"/>
  <c r="AC82" i="7"/>
  <c r="S82" i="7"/>
  <c r="I82" i="7"/>
  <c r="BG81" i="7"/>
  <c r="AW81" i="7"/>
  <c r="AM81" i="7"/>
  <c r="AC81" i="7"/>
  <c r="S81" i="7"/>
  <c r="I81" i="7"/>
  <c r="BG80" i="7"/>
  <c r="AW80" i="7"/>
  <c r="AM80" i="7"/>
  <c r="AC80" i="7"/>
  <c r="S80" i="7"/>
  <c r="I80" i="7"/>
  <c r="BG79" i="7"/>
  <c r="AW79" i="7"/>
  <c r="AM79" i="7"/>
  <c r="AC79" i="7"/>
  <c r="S79" i="7"/>
  <c r="I79" i="7"/>
  <c r="BF73" i="7"/>
  <c r="BE73" i="7"/>
  <c r="AV73" i="7"/>
  <c r="AU73" i="7"/>
  <c r="AL73" i="7"/>
  <c r="AK73" i="7"/>
  <c r="AB73" i="7"/>
  <c r="AA73" i="7"/>
  <c r="R73" i="7"/>
  <c r="Q73" i="7"/>
  <c r="H73" i="7"/>
  <c r="G73" i="7"/>
  <c r="BG72" i="7"/>
  <c r="AW72" i="7"/>
  <c r="AM72" i="7"/>
  <c r="AC72" i="7"/>
  <c r="S72" i="7"/>
  <c r="I72" i="7"/>
  <c r="BG71" i="7"/>
  <c r="AW71" i="7"/>
  <c r="AM71" i="7"/>
  <c r="AC71" i="7"/>
  <c r="S71" i="7"/>
  <c r="I71" i="7"/>
  <c r="BG70" i="7"/>
  <c r="AW70" i="7"/>
  <c r="AM70" i="7"/>
  <c r="AC70" i="7"/>
  <c r="S70" i="7"/>
  <c r="I70" i="7"/>
  <c r="BG69" i="7"/>
  <c r="AW69" i="7"/>
  <c r="AM69" i="7"/>
  <c r="AC69" i="7"/>
  <c r="S69" i="7"/>
  <c r="I69" i="7"/>
  <c r="BG68" i="7"/>
  <c r="AW68" i="7"/>
  <c r="AM68" i="7"/>
  <c r="AC68" i="7"/>
  <c r="S68" i="7"/>
  <c r="I68" i="7"/>
  <c r="BG67" i="7"/>
  <c r="AW67" i="7"/>
  <c r="AM67" i="7"/>
  <c r="AC67" i="7"/>
  <c r="S67" i="7"/>
  <c r="I67" i="7"/>
  <c r="BF61" i="7"/>
  <c r="BE61" i="7"/>
  <c r="AV61" i="7"/>
  <c r="AU61" i="7"/>
  <c r="AL61" i="7"/>
  <c r="AK61" i="7"/>
  <c r="AB61" i="7"/>
  <c r="AA61" i="7"/>
  <c r="R61" i="7"/>
  <c r="Q61" i="7"/>
  <c r="H61" i="7"/>
  <c r="G61" i="7"/>
  <c r="BG60" i="7"/>
  <c r="AW60" i="7"/>
  <c r="AM60" i="7"/>
  <c r="AC60" i="7"/>
  <c r="S60" i="7"/>
  <c r="I60" i="7"/>
  <c r="BG59" i="7"/>
  <c r="AW59" i="7"/>
  <c r="AM59" i="7"/>
  <c r="AC59" i="7"/>
  <c r="S59" i="7"/>
  <c r="I59" i="7"/>
  <c r="BG58" i="7"/>
  <c r="AW58" i="7"/>
  <c r="AM58" i="7"/>
  <c r="AC58" i="7"/>
  <c r="S58" i="7"/>
  <c r="I58" i="7"/>
  <c r="BG57" i="7"/>
  <c r="AW57" i="7"/>
  <c r="AM57" i="7"/>
  <c r="AC57" i="7"/>
  <c r="S57" i="7"/>
  <c r="I57" i="7"/>
  <c r="BG56" i="7"/>
  <c r="AW56" i="7"/>
  <c r="AM56" i="7"/>
  <c r="AC56" i="7"/>
  <c r="S56" i="7"/>
  <c r="I56" i="7"/>
  <c r="BG55" i="7"/>
  <c r="AW55" i="7"/>
  <c r="AM55" i="7"/>
  <c r="AC55" i="7"/>
  <c r="S55" i="7"/>
  <c r="I55" i="7"/>
  <c r="BF49" i="7"/>
  <c r="BE49" i="7"/>
  <c r="AV49" i="7"/>
  <c r="AU49" i="7"/>
  <c r="AL49" i="7"/>
  <c r="AK49" i="7"/>
  <c r="AB49" i="7"/>
  <c r="AA49" i="7"/>
  <c r="R49" i="7"/>
  <c r="Q49" i="7"/>
  <c r="H49" i="7"/>
  <c r="G49" i="7"/>
  <c r="BG48" i="7"/>
  <c r="AW48" i="7"/>
  <c r="AM48" i="7"/>
  <c r="AC48" i="7"/>
  <c r="S48" i="7"/>
  <c r="I48" i="7"/>
  <c r="BG47" i="7"/>
  <c r="AW47" i="7"/>
  <c r="AM47" i="7"/>
  <c r="AC47" i="7"/>
  <c r="S47" i="7"/>
  <c r="I47" i="7"/>
  <c r="BG46" i="7"/>
  <c r="AW46" i="7"/>
  <c r="AM46" i="7"/>
  <c r="AC46" i="7"/>
  <c r="S46" i="7"/>
  <c r="I46" i="7"/>
  <c r="BG45" i="7"/>
  <c r="AW45" i="7"/>
  <c r="AM45" i="7"/>
  <c r="AC45" i="7"/>
  <c r="S45" i="7"/>
  <c r="I45" i="7"/>
  <c r="BG44" i="7"/>
  <c r="AW44" i="7"/>
  <c r="AM44" i="7"/>
  <c r="AC44" i="7"/>
  <c r="S44" i="7"/>
  <c r="I44" i="7"/>
  <c r="BG43" i="7"/>
  <c r="AW43" i="7"/>
  <c r="AM43" i="7"/>
  <c r="AC43" i="7"/>
  <c r="S43" i="7"/>
  <c r="I43" i="7"/>
  <c r="BF37" i="7"/>
  <c r="BE37" i="7"/>
  <c r="AV37" i="7"/>
  <c r="AU37" i="7"/>
  <c r="AL37" i="7"/>
  <c r="AK37" i="7"/>
  <c r="AB37" i="7"/>
  <c r="AA37" i="7"/>
  <c r="R37" i="7"/>
  <c r="Q37" i="7"/>
  <c r="H37" i="7"/>
  <c r="G37" i="7"/>
  <c r="BG36" i="7"/>
  <c r="AW36" i="7"/>
  <c r="AM36" i="7"/>
  <c r="AC36" i="7"/>
  <c r="S36" i="7"/>
  <c r="I36" i="7"/>
  <c r="BG35" i="7"/>
  <c r="AW35" i="7"/>
  <c r="AM35" i="7"/>
  <c r="AC35" i="7"/>
  <c r="S35" i="7"/>
  <c r="I35" i="7"/>
  <c r="BG34" i="7"/>
  <c r="AW34" i="7"/>
  <c r="AM34" i="7"/>
  <c r="AC34" i="7"/>
  <c r="S34" i="7"/>
  <c r="I34" i="7"/>
  <c r="BG33" i="7"/>
  <c r="AW33" i="7"/>
  <c r="AM33" i="7"/>
  <c r="AC33" i="7"/>
  <c r="S33" i="7"/>
  <c r="I33" i="7"/>
  <c r="BG32" i="7"/>
  <c r="AW32" i="7"/>
  <c r="AM32" i="7"/>
  <c r="AC32" i="7"/>
  <c r="S32" i="7"/>
  <c r="I32" i="7"/>
  <c r="BG31" i="7"/>
  <c r="AW31" i="7"/>
  <c r="AM31" i="7"/>
  <c r="AC31" i="7"/>
  <c r="S31" i="7"/>
  <c r="I31" i="7"/>
  <c r="BF25" i="7"/>
  <c r="BE25" i="7"/>
  <c r="AV25" i="7"/>
  <c r="AU25" i="7"/>
  <c r="AL25" i="7"/>
  <c r="AK25" i="7"/>
  <c r="AB25" i="7"/>
  <c r="AA25" i="7"/>
  <c r="R25" i="7"/>
  <c r="Q25" i="7"/>
  <c r="H25" i="7"/>
  <c r="G25" i="7"/>
  <c r="BG24" i="7"/>
  <c r="AW24" i="7"/>
  <c r="AM24" i="7"/>
  <c r="AC24" i="7"/>
  <c r="S24" i="7"/>
  <c r="I24" i="7"/>
  <c r="BG23" i="7"/>
  <c r="AW23" i="7"/>
  <c r="AM23" i="7"/>
  <c r="AC23" i="7"/>
  <c r="S23" i="7"/>
  <c r="I23" i="7"/>
  <c r="BG22" i="7"/>
  <c r="AW22" i="7"/>
  <c r="AM22" i="7"/>
  <c r="AC22" i="7"/>
  <c r="S22" i="7"/>
  <c r="I22" i="7"/>
  <c r="BG21" i="7"/>
  <c r="AW21" i="7"/>
  <c r="AM21" i="7"/>
  <c r="AC21" i="7"/>
  <c r="S21" i="7"/>
  <c r="I21" i="7"/>
  <c r="BG20" i="7"/>
  <c r="AW20" i="7"/>
  <c r="AM20" i="7"/>
  <c r="AC20" i="7"/>
  <c r="S20" i="7"/>
  <c r="I20" i="7"/>
  <c r="BG19" i="7"/>
  <c r="AW19" i="7"/>
  <c r="AM19" i="7"/>
  <c r="AC19" i="7"/>
  <c r="S19" i="7"/>
  <c r="I19" i="7"/>
  <c r="BF13" i="7"/>
  <c r="BE13" i="7"/>
  <c r="AV13" i="7"/>
  <c r="AU13" i="7"/>
  <c r="AL13" i="7"/>
  <c r="AK13" i="7"/>
  <c r="AB13" i="7"/>
  <c r="AA13" i="7"/>
  <c r="R13" i="7"/>
  <c r="Q13" i="7"/>
  <c r="H13" i="7"/>
  <c r="G13" i="7"/>
  <c r="BG12" i="7"/>
  <c r="AW12" i="7"/>
  <c r="AM12" i="7"/>
  <c r="AC12" i="7"/>
  <c r="S12" i="7"/>
  <c r="I12" i="7"/>
  <c r="BG11" i="7"/>
  <c r="AW11" i="7"/>
  <c r="AM11" i="7"/>
  <c r="AC11" i="7"/>
  <c r="S11" i="7"/>
  <c r="I11" i="7"/>
  <c r="BG10" i="7"/>
  <c r="AW10" i="7"/>
  <c r="AM10" i="7"/>
  <c r="AC10" i="7"/>
  <c r="S10" i="7"/>
  <c r="I10" i="7"/>
  <c r="BG9" i="7"/>
  <c r="AW9" i="7"/>
  <c r="AM9" i="7"/>
  <c r="AC9" i="7"/>
  <c r="S9" i="7"/>
  <c r="I9" i="7"/>
  <c r="BG8" i="7"/>
  <c r="AW8" i="7"/>
  <c r="AM8" i="7"/>
  <c r="AC8" i="7"/>
  <c r="S8" i="7"/>
  <c r="I8" i="7"/>
  <c r="BG7" i="7"/>
  <c r="AW7" i="7"/>
  <c r="AM7" i="7"/>
  <c r="AC7" i="7"/>
  <c r="S7" i="7"/>
  <c r="I7" i="7"/>
  <c r="I73" i="7" l="1"/>
  <c r="I85" i="7"/>
  <c r="S61" i="7"/>
  <c r="S73" i="7"/>
  <c r="S85" i="7"/>
  <c r="AQ13" i="8"/>
  <c r="AW25" i="7"/>
  <c r="AC61" i="7"/>
  <c r="AC73" i="7"/>
  <c r="AW73" i="7"/>
  <c r="AC85" i="7"/>
  <c r="AW85" i="7"/>
  <c r="BB13" i="8"/>
  <c r="AM61" i="7"/>
  <c r="AM73" i="7"/>
  <c r="AM13" i="7"/>
  <c r="AW13" i="7"/>
  <c r="AW37" i="7"/>
  <c r="AW49" i="7"/>
  <c r="AW61" i="7"/>
  <c r="BG25" i="7"/>
  <c r="BG37" i="7"/>
  <c r="BG49" i="7"/>
  <c r="BG61" i="7"/>
  <c r="BG73" i="7"/>
  <c r="BG85" i="7"/>
  <c r="AC49" i="7"/>
  <c r="BM35" i="8"/>
  <c r="BG13" i="7"/>
  <c r="AQ57" i="8"/>
  <c r="AQ79" i="8"/>
  <c r="BB57" i="8"/>
  <c r="BB79" i="8"/>
  <c r="BM57" i="8"/>
  <c r="BM68" i="8"/>
  <c r="AQ68" i="8"/>
  <c r="AF57" i="8"/>
  <c r="U57" i="8"/>
  <c r="BM13" i="8"/>
  <c r="BB68" i="8"/>
  <c r="U79" i="8"/>
  <c r="BB46" i="8"/>
  <c r="BM46" i="8"/>
  <c r="U46" i="8"/>
  <c r="AQ46" i="8"/>
  <c r="BB35" i="8"/>
  <c r="U13" i="8"/>
  <c r="AF13" i="8"/>
  <c r="BM79" i="8"/>
  <c r="AF79" i="8"/>
  <c r="AM85" i="7"/>
  <c r="AQ35" i="8"/>
  <c r="I61" i="7"/>
  <c r="S49" i="7"/>
  <c r="I49" i="7"/>
  <c r="AF35" i="8"/>
  <c r="J35" i="8"/>
  <c r="I13" i="7"/>
  <c r="AC13" i="7"/>
  <c r="I37" i="7"/>
  <c r="AM49" i="7"/>
  <c r="AM37" i="7"/>
  <c r="AM25" i="7"/>
  <c r="AC37" i="7"/>
  <c r="AC25" i="7"/>
  <c r="S37" i="7"/>
  <c r="S25" i="7"/>
  <c r="S13" i="7"/>
  <c r="I25" i="7"/>
  <c r="AF68" i="8"/>
  <c r="BM24" i="8"/>
  <c r="U68" i="8"/>
  <c r="AF46" i="8"/>
  <c r="U35" i="8"/>
  <c r="BB24" i="8"/>
  <c r="AQ24" i="8"/>
  <c r="AF24" i="8"/>
  <c r="U24" i="8"/>
  <c r="J24" i="8"/>
  <c r="J68" i="8"/>
  <c r="J46" i="8"/>
  <c r="J57" i="8"/>
  <c r="J79" i="8"/>
  <c r="J13" i="8"/>
</calcChain>
</file>

<file path=xl/comments1.xml><?xml version="1.0" encoding="utf-8"?>
<comments xmlns="http://schemas.openxmlformats.org/spreadsheetml/2006/main">
  <authors>
    <author>lenovo</author>
  </authors>
  <commentList>
    <comment ref="AL18" authorId="0" shapeId="0">
      <text>
        <r>
          <rPr>
            <b/>
            <sz val="9"/>
            <color indexed="81"/>
            <rFont val="Tahoma"/>
            <charset val="1"/>
          </rPr>
          <t>lenovo:</t>
        </r>
        <r>
          <rPr>
            <sz val="9"/>
            <color indexed="81"/>
            <rFont val="Tahoma"/>
            <charset val="1"/>
          </rPr>
          <t xml:space="preserve">
GÜMRÜK MALINI UNUTMA
36X</t>
        </r>
      </text>
    </comment>
    <comment ref="E40" authorId="0" shapeId="0">
      <text>
        <r>
          <rPr>
            <b/>
            <sz val="9"/>
            <color indexed="81"/>
            <rFont val="Tahoma"/>
            <charset val="1"/>
          </rPr>
          <t>GÜMRÜK MALINI UNUTMA 36X 1MM</t>
        </r>
      </text>
    </comment>
  </commentList>
</comments>
</file>

<file path=xl/sharedStrings.xml><?xml version="1.0" encoding="utf-8"?>
<sst xmlns="http://schemas.openxmlformats.org/spreadsheetml/2006/main" count="9377" uniqueCount="644">
  <si>
    <t>PAZARTESİ</t>
  </si>
  <si>
    <t>SALI</t>
  </si>
  <si>
    <t>ÇARŞAMBA</t>
  </si>
  <si>
    <t>PERŞEMBE</t>
  </si>
  <si>
    <t>CUMA</t>
  </si>
  <si>
    <t>CUMARTESİ</t>
  </si>
  <si>
    <t>POLİSAJ-1 (MANUEL)</t>
  </si>
  <si>
    <t>Takip No</t>
  </si>
  <si>
    <t>Kalite</t>
  </si>
  <si>
    <t>Gövde Kalınlık</t>
  </si>
  <si>
    <t>Ürün Adı</t>
  </si>
  <si>
    <t>Kapsül</t>
  </si>
  <si>
    <t>Miktar</t>
  </si>
  <si>
    <t>Üretim</t>
  </si>
  <si>
    <t>Kalan</t>
  </si>
  <si>
    <t>POLİSAJ-2 OTOMASYON</t>
  </si>
  <si>
    <t>POLİSAJ-4 ÇAYDANLIK POLİSAJ</t>
  </si>
  <si>
    <t>LİNES 1 LT ÇAYDANLIK 12-23</t>
  </si>
  <si>
    <t>POLİSAJ-6 ÇAYDANLIK KAPAK POLİSAJ</t>
  </si>
  <si>
    <t>POLİSAJ-3 KAPAK POLİSAJ</t>
  </si>
  <si>
    <t>POLİSAJ-4 ÇAYDANLIK KAYNAK</t>
  </si>
  <si>
    <t>POLİSAJ-5 ÇAYDANLIK POLİSAJ</t>
  </si>
  <si>
    <t>POLİSAJ-7 SEMAVER POLİSAJ</t>
  </si>
  <si>
    <t>36.HAFTA</t>
  </si>
  <si>
    <t>Taban</t>
  </si>
  <si>
    <t>HELVANE</t>
  </si>
  <si>
    <t>15-21 Eylül
2025</t>
  </si>
  <si>
    <t>DİK</t>
  </si>
  <si>
    <t>TABANSIZ ÇAY KEYFİ SEMAVER</t>
  </si>
  <si>
    <t>YOK</t>
  </si>
  <si>
    <t>TABANSIZ ÇAY KEYFİ SEMAVER ETEK</t>
  </si>
  <si>
    <t>TABANSIZ ÇAY KEYFİ SEMAVER DEMLİK</t>
  </si>
  <si>
    <t>TABANSIZ ŞAHMERAN SEMAVER DEMLİK</t>
  </si>
  <si>
    <t>TABANSIZ ŞAHMERAN SEMAVER ETEK</t>
  </si>
  <si>
    <t>PUL</t>
  </si>
  <si>
    <t>ŞAHMERAN SEMAVER ETEK ALT PULU</t>
  </si>
  <si>
    <t>TABANSIZ KIZARTMALIK</t>
  </si>
  <si>
    <t>KAPAK</t>
  </si>
  <si>
    <t>ÇAY KEYFİ SEMAVER DEMLİK KAPAK</t>
  </si>
  <si>
    <t>SÜZEK</t>
  </si>
  <si>
    <t>TABANSIZ KIZARTMALIK SÜZEK</t>
  </si>
  <si>
    <t>GENİŞ</t>
  </si>
  <si>
    <t>YONCA 22Ø 5 Lt DÜDÜKLÜ</t>
  </si>
  <si>
    <t>YONCA 22Ø 7 Lt DÜDÜKLÜ</t>
  </si>
  <si>
    <t>YONCA 22Ø 9 Lt DÜDÜKLÜ</t>
  </si>
  <si>
    <t>YONCA JUMBO DAMLA ÇAYDANLIK</t>
  </si>
  <si>
    <t>YONCA JUMBO DAMLA DEMLİK</t>
  </si>
  <si>
    <t>GEMAK 1 LT KÜRE TEK DEMLİK</t>
  </si>
  <si>
    <t>GEMAK 1,5 LT KÜRE TEK DEMLİK</t>
  </si>
  <si>
    <t>GEMAK 2 LT KÜRE TEK DEMLİK</t>
  </si>
  <si>
    <t>GEMAK 18x10 OSCAR TENCERE</t>
  </si>
  <si>
    <t>GEMAK 20x11 OSCAR TENCERE</t>
  </si>
  <si>
    <t>GEMAK 24x14 OSCAR TENCERE</t>
  </si>
  <si>
    <t>GEMAK 26x16 OSCAR TENCERE</t>
  </si>
  <si>
    <t>GEMAK  18 KADEMELİ KAPAK</t>
  </si>
  <si>
    <t>GEMAK  26 KADEMELİ KAPAK</t>
  </si>
  <si>
    <t>GEMAK  24 KADEMELİ KAPAK</t>
  </si>
  <si>
    <t>GEMAK  20 KADEMELİ KAPAK</t>
  </si>
  <si>
    <t>GEMAK  18 TERS MODEL KAPAK</t>
  </si>
  <si>
    <t>GEMAK  20 TERS MODEL KAPAK</t>
  </si>
  <si>
    <t>GEMAK  24 TERS MODEL KAPAK</t>
  </si>
  <si>
    <t>GEMAK  26 TERS MODEL KAPAK</t>
  </si>
  <si>
    <t>GEMAK 18x10 ZEYCAN MODEL</t>
  </si>
  <si>
    <t>GEMAK 20x11 ZEYCAN MODEL</t>
  </si>
  <si>
    <t>GEMAK 24x14ZEYCAN MODEL</t>
  </si>
  <si>
    <t>GEMAK 26x16 ZEYCAN MODEL</t>
  </si>
  <si>
    <t>OSCAR 22Ø 8 LT OSCAR GÜVEÇ MODEL DÜDÜKLÜ</t>
  </si>
  <si>
    <t>OSCAR 22Ø 10 LT OSCAR GÜVEÇ MODEL DÜDÜKLÜ</t>
  </si>
  <si>
    <t>YONCA 22Ø 8 LT OSCAR GÜVEÇ MODEL DÜDÜKLÜ</t>
  </si>
  <si>
    <t>YONCA 22Ø 10 LT OSCAR GÜVEÇ MODEL DÜDÜKLÜ</t>
  </si>
  <si>
    <t>KUSKUS</t>
  </si>
  <si>
    <t>HOMY 22 KUSKUS TENCERE</t>
  </si>
  <si>
    <t>HOMY 24 KUSKUS TENCERE</t>
  </si>
  <si>
    <t>HOMY 26 KUSKUS TENCERE</t>
  </si>
  <si>
    <t>TABANSIZ HOMY 22 KUSKUS SÜZEK</t>
  </si>
  <si>
    <t>TABANSIZ HOMY 24 KUSKUS SÜZEK</t>
  </si>
  <si>
    <t>TABANSIZ HOMY 26 KUSKUS SÜZEK</t>
  </si>
  <si>
    <t>ERESS 20 KUSKUS TENCERE</t>
  </si>
  <si>
    <t>ERESS 22 KUSKUS TENCERE</t>
  </si>
  <si>
    <t>ERESS 24 KUSKUS TENCERE</t>
  </si>
  <si>
    <t>ERESS 26 KUSKUS TENCERE</t>
  </si>
  <si>
    <t>ERESS 28 KUSKUS TENCERE</t>
  </si>
  <si>
    <t>ERESS 30 KUSKUS TENCERE</t>
  </si>
  <si>
    <t>ERESS 20 KUSKUS SÜZEK</t>
  </si>
  <si>
    <t>ERESS 22 KUSKUS SÜZEK</t>
  </si>
  <si>
    <t>ERESS 24 KUSKUS SÜZEK</t>
  </si>
  <si>
    <t>ERESS 26 KUSKUS SÜZEK</t>
  </si>
  <si>
    <t>ERESS 28 KUSKUS SÜZEK</t>
  </si>
  <si>
    <t>ERESS 30 KUSKUS SÜZEK</t>
  </si>
  <si>
    <t>BEST MARK 20 KUSKUS TENCERE</t>
  </si>
  <si>
    <t>BEST MARK 22 KUSKUS TENCERE</t>
  </si>
  <si>
    <t>BEST MARK 24 KUSKUS TENCERE</t>
  </si>
  <si>
    <t>BEST MARK 26 KUSKUS TENCERE</t>
  </si>
  <si>
    <t>BEST MARK 28 KUSKUS TENCERE</t>
  </si>
  <si>
    <t>BEST MARK 30 KUSKUS TENCERE</t>
  </si>
  <si>
    <t>TABANSIZ 20 KUSKUS SÜZEK</t>
  </si>
  <si>
    <t>TABANSIZ 22 KUSKUS SÜZEK</t>
  </si>
  <si>
    <t>TABANSIZ 24 KUSKUS SÜZEK</t>
  </si>
  <si>
    <t>TABANSIZ 26 KUSKUS SÜZEK</t>
  </si>
  <si>
    <t>TABANSIZ 28 KUSKUS SÜZEK</t>
  </si>
  <si>
    <t>TABANSIZ 30 KUSKUS SÜZEK</t>
  </si>
  <si>
    <t>YÜKSEK MODEL 22Ø ÇELİK KAPAK</t>
  </si>
  <si>
    <t>YÜKSEK MODEL 24Ø ÇELİK KAPAK</t>
  </si>
  <si>
    <t>YÜKSEK MODEL 26Ø ÇELİK KAPAK</t>
  </si>
  <si>
    <t>YÜKSEK MODEL 20Ø ÇELİK KAPAK</t>
  </si>
  <si>
    <t>YÜKSEK MODEL 28Ø ÇELİK KAPAK</t>
  </si>
  <si>
    <t>YÜKSEK MODEL 30Ø ÇELİK KAPAK</t>
  </si>
  <si>
    <t>LİNES  18x10 OSCAR TEKLİ TENCERE</t>
  </si>
  <si>
    <t>LİNES  20x10 OSCAR TEKLİ TENCERE</t>
  </si>
  <si>
    <t>LİNES  22x12 OSCAR TEKLİ TENCERE</t>
  </si>
  <si>
    <t>LİNES  24x14 OSCAR TEKLİ TENCERE</t>
  </si>
  <si>
    <t>LİNES  26x16 OSCAR TEKLİ TENCERE</t>
  </si>
  <si>
    <t>LİNES  28x18 OSCAR TEKLİ TENCERE</t>
  </si>
  <si>
    <t>LİNES  30x19,5 OSCAR TEKLİ TENCERE</t>
  </si>
  <si>
    <t>LİNES  32x20,5 OSCAR TEKLİ TENCERE</t>
  </si>
  <si>
    <t>LİNES  34x21,5 OSCAR TEKLİ TENCERE</t>
  </si>
  <si>
    <t>LİNES  36x23 OSCAR TEKLİ TENCERE</t>
  </si>
  <si>
    <t>LİNES  40x27 OSCAR TEKLİ TENCERE</t>
  </si>
  <si>
    <t>LİNES 18Ø KADEMELİ KAPAK</t>
  </si>
  <si>
    <t>LİNES 20Ø KADEMELİ KAPAK</t>
  </si>
  <si>
    <t>LİNES 22Ø KADEMELİ KAPAK</t>
  </si>
  <si>
    <t>LİNES 24Ø KADEMELİ KAPAK</t>
  </si>
  <si>
    <t>LİNES 26Ø KADEMELİ KAPAK</t>
  </si>
  <si>
    <t>LİNES 28Ø KADEMELİ KAPAK</t>
  </si>
  <si>
    <t>LİNES 30Ø KADEMELİ KAPAK</t>
  </si>
  <si>
    <t>LİNES 32Ø KADEMELİ KAPAK</t>
  </si>
  <si>
    <t>LİNES 34Ø KADEMELİ KAPAK</t>
  </si>
  <si>
    <t>LİNES 36Ø KADEMELİ KAPAK</t>
  </si>
  <si>
    <t>LİNES 40Ø KADEMELİ KAPAK</t>
  </si>
  <si>
    <t>39.HAFTA</t>
  </si>
  <si>
    <t>YONCA 24x14  TENCERE TEK ÇİZGİ SATEN 19 PCS</t>
  </si>
  <si>
    <t>YONCA 20x11 TENCERE TEK ÇİZGİ SATEN 19 PCS</t>
  </si>
  <si>
    <t>YONCA 18x10  TENCERE TEK ÇİZGİ SATEN 19 PCS</t>
  </si>
  <si>
    <t>YONCA 26x BASIK  TEK ÇİZGİ SATEN 19 PCS</t>
  </si>
  <si>
    <t>YONCA 28x18 TENCERE TEK ÇİZGİ SATEN 19 PCS</t>
  </si>
  <si>
    <t>YONCA 24  TAVA TEK ÇİZGİ SATEN 19 PCS</t>
  </si>
  <si>
    <t>YONCA 1,5 LT KÜRE DEMLİK MOBLU</t>
  </si>
  <si>
    <t>YONCA 16 TERS KAPAK 19 PCS</t>
  </si>
  <si>
    <t>YONCA 20 TERS KAPAK 19 PCS</t>
  </si>
  <si>
    <t>YONCA 24 TERS KAPAK 19 PCS</t>
  </si>
  <si>
    <t>YONCA 260 TERS KAPAK 19 PCS</t>
  </si>
  <si>
    <t>YONCA 28 TERS KAPAK 19 PCS</t>
  </si>
  <si>
    <t>LİNES 18x10 TENCERE 9 PCS</t>
  </si>
  <si>
    <t>LİNES 20x11 TENCERE 9 PCS</t>
  </si>
  <si>
    <t>LİNES 24x14 TENCERE 9 PCS</t>
  </si>
  <si>
    <t>LİNES 28x18 TENCERE 9 PCS</t>
  </si>
  <si>
    <t>LİNES 18Ø TERS KAPAK 9 PCS</t>
  </si>
  <si>
    <t>LİNES 20Ø TERS KAPAK 9 PCS</t>
  </si>
  <si>
    <t>LİNES 24Ø TERS KAPAK 9 PCS</t>
  </si>
  <si>
    <t>LİNES 28Ø TERS KAPAK 9 PCS</t>
  </si>
  <si>
    <t>LİNES 22Ø 8 LT DÜDÜKLÜ KORDONLU</t>
  </si>
  <si>
    <t>LİNES 22Ø 10 LT DÜDÜKLÜ KORDONLU</t>
  </si>
  <si>
    <t>LİNES 22Ø 8 LT DÜDÜKLÜ ALTIN KEMERLİ</t>
  </si>
  <si>
    <t>LİNES 22Ø 10 LT DÜDÜKLÜ ALTIN KEMERLİ</t>
  </si>
  <si>
    <t>LİNES 24Ø 12 LT DÜDÜKLÜ KORDONLU</t>
  </si>
  <si>
    <t>LİNES 24Ø 12 LT DÜDÜKLÜ ALTIN KEMERLİ</t>
  </si>
  <si>
    <t xml:space="preserve">LİNES 1 LT NAZ DEMLİK </t>
  </si>
  <si>
    <t xml:space="preserve">LİNES 1.5 LT NAZ DEMLİK </t>
  </si>
  <si>
    <t xml:space="preserve">LİNES 2 LT NAZ DEMLİK </t>
  </si>
  <si>
    <t>LİNES 1,5 LT SÜTLÜK KORDONLU</t>
  </si>
  <si>
    <t>LİNES 2 LT SÜTLÜK KORDONLU</t>
  </si>
  <si>
    <t>LİNES 1,5 LT SÜTLÜK ALTIN KEMERLİ</t>
  </si>
  <si>
    <t>LİNES 2LT SÜTLÜK ALTIN KEMERLİ</t>
  </si>
  <si>
    <t>1 ER KOLİ TABANSIZ ÜRÜN YAPILACAK</t>
  </si>
  <si>
    <t>LİNES 1,5 LT SÜTLÜK KAPAK</t>
  </si>
  <si>
    <t>LİNES 2 LT SÜTLÜK KAPAK</t>
  </si>
  <si>
    <t>LİNES 1 LT NAZ KAPAK</t>
  </si>
  <si>
    <t>LİNES 1.5 LT NAZ KAPAK</t>
  </si>
  <si>
    <t>LİNES 2 LT NAZ KAPAK</t>
  </si>
  <si>
    <t>LİNES 1 LT KÜRE</t>
  </si>
  <si>
    <t>LİNES 1,5 LT KÜRE</t>
  </si>
  <si>
    <t>LİNES 2 LT KÜRE</t>
  </si>
  <si>
    <t>LİNES 1 LT MERCAN</t>
  </si>
  <si>
    <t>LİNES 1 LT KÜRE KAPAK</t>
  </si>
  <si>
    <t>LİNES 1,5 LT KÜRE KAPAK</t>
  </si>
  <si>
    <t>LİNES 2 LT KÜRE KAPAK</t>
  </si>
  <si>
    <t>LİNES 1 LT MERCAN KAPAK</t>
  </si>
  <si>
    <t xml:space="preserve">TABANSIZ GEMAK 0,50 Lt NAZ DEMLİK KAPAK </t>
  </si>
  <si>
    <t>TABANSIZ GEMAK 0,75 Lt NAZ DEMLİK  KAPAK</t>
  </si>
  <si>
    <t xml:space="preserve">LİNES 1 LT LİMON </t>
  </si>
  <si>
    <t>LİNES 1 LT LİMON  KAPAK</t>
  </si>
  <si>
    <t>LİNES 2 LT LİMON KAPAK</t>
  </si>
  <si>
    <t>YONCA 18x10 ÇİFT KORDON SATEN TENCERE 10 PCS</t>
  </si>
  <si>
    <t>YONCA 20x11 ÇİFT KORDON SATEN TENCERE 10 PCS</t>
  </si>
  <si>
    <t>YONCA 22x12 ÇİFT KORDON SATEN TENCERE 10 PCS</t>
  </si>
  <si>
    <t>YONCA 24x14 ÇİFT KORDON SATEN TENCERE 10 PCS</t>
  </si>
  <si>
    <t>YONCA 32x21 ÇİFT KORDON SATEN TENCERE 10 PCS</t>
  </si>
  <si>
    <t>YONCA 18Ø TERS KAPAK 10 PCS</t>
  </si>
  <si>
    <t xml:space="preserve">YONCA 20Ø TERS KAPAK 10 PCS </t>
  </si>
  <si>
    <t>YONCA 22Ø TERS KAPAK 10 PCS</t>
  </si>
  <si>
    <t>YONCA 24Ø TERS KAPAK 10 PCS</t>
  </si>
  <si>
    <t>YONCA 32Ø TERS KAPAK 10 PCS</t>
  </si>
  <si>
    <t>AYPERİ 26Ø SPAGETTİ 4 PCS</t>
  </si>
  <si>
    <t xml:space="preserve">TABANSIZ 26Ø SPAGETTİ SÜZEK </t>
  </si>
  <si>
    <t>TABANSIZ 26Ø SPAGETTİ İÇ SÜZEK</t>
  </si>
  <si>
    <t>AYPERİ 26Ø TERS KAPAK 4 PCS</t>
  </si>
  <si>
    <t>LİNES 18x10 PİRAMİT 10 PCS</t>
  </si>
  <si>
    <t>LİNES 20x11 PİRAMİT 10 PCS</t>
  </si>
  <si>
    <t>LİNES 22x12 PİRAMİT 10 PCS</t>
  </si>
  <si>
    <t>LİNES 24x14 PİRAMİT 10 PCS</t>
  </si>
  <si>
    <t>LİNES 28x18 PİRAMİT 10 PCS</t>
  </si>
  <si>
    <t>LİNES 34x23 PİRAMİT 10 PCS</t>
  </si>
  <si>
    <t>LİNES 18Ø ÇUKUR KAPAK 10 PCS</t>
  </si>
  <si>
    <t>LİNES 20Ø ÇUKUR KAPAK 10 PCS</t>
  </si>
  <si>
    <t>LİNES 22Ø ÇUKUR KAPAK 10 PCS</t>
  </si>
  <si>
    <t>LİNES 24Ø ÇUKUR KAPAK 10 PCS</t>
  </si>
  <si>
    <t>LİNES 34Ø ÇUKUR KAPAK 10 PCS</t>
  </si>
  <si>
    <t>LİNES 28Ø ÇUKUR KAPAK 10 PCS</t>
  </si>
  <si>
    <t>LİNES 18x10 PİRAMİT 13 PCS</t>
  </si>
  <si>
    <t>LİNES 20x11 PİRAMİT 13 PCS</t>
  </si>
  <si>
    <t>LİNES 24x14 PİRAMİT 13 PCS</t>
  </si>
  <si>
    <t>LİNES 28x18 PİRAMİT 13 PCS</t>
  </si>
  <si>
    <t>LİNES 16x9 PİRAMİT 13 PCS</t>
  </si>
  <si>
    <t>LİNES 24x7 PİRAMİT 13 PCS</t>
  </si>
  <si>
    <t>LİNES 18Ø ÇUKUR KAPAK 13 PCS</t>
  </si>
  <si>
    <t>LİNES 20Ø ÇUKUR KAPAK 13 PCS</t>
  </si>
  <si>
    <t>LİNES 24Ø ÇUKUR KAPAK 13 PCS</t>
  </si>
  <si>
    <t>LİNES 28Ø ÇUKUR KAPAK 13 PCS</t>
  </si>
  <si>
    <t>LİNES 16Ø ÇUKUR KAPAK 13 PCS</t>
  </si>
  <si>
    <t>LİNES 1 LT  KÜRE 13 PCS</t>
  </si>
  <si>
    <t>LİNES 1 LT  KÜRE KAPAK 13 PCS</t>
  </si>
  <si>
    <t>41.HAFTA</t>
  </si>
  <si>
    <t>38.HAFTA</t>
  </si>
  <si>
    <t>1-7 Eylül 2025</t>
  </si>
  <si>
    <t xml:space="preserve">YONCA 26Ø SPAGETTİ </t>
  </si>
  <si>
    <t xml:space="preserve">ÖNCE OTOMASYONDAKİ MALLAR </t>
  </si>
  <si>
    <t>YAPILACAK</t>
  </si>
  <si>
    <t>LİNES 1.5 LT MERCAN</t>
  </si>
  <si>
    <t>GÜMRÜK MALLARI UNUTULMAYACAK</t>
  </si>
  <si>
    <t>ŞAHMERAN SEMAVER</t>
  </si>
  <si>
    <t>LİNES 1,5 LT LİMON</t>
  </si>
  <si>
    <t>YONCA DAMLA MODEL DEMLİK KAPAK</t>
  </si>
  <si>
    <t>18Ø Ç.OTO GÖVDE</t>
  </si>
  <si>
    <t>18Ø Ç.OTO DEMLİK</t>
  </si>
  <si>
    <t>18Ø Ç.OTO SÜZEK</t>
  </si>
  <si>
    <t>18Ø Ç.OTO KAPAK</t>
  </si>
  <si>
    <t>18Ø Ç.OTO ETEK</t>
  </si>
  <si>
    <t>18Ø Ç.OTO ETEK ALTI PULU</t>
  </si>
  <si>
    <t>20Ø Ç.OTO GÖVDE</t>
  </si>
  <si>
    <t>20Ø Ç.OTO DEMLİK</t>
  </si>
  <si>
    <t>20Ø Ç.OTO SÜZEK</t>
  </si>
  <si>
    <t>20Ø Ç.OTO KAPAK</t>
  </si>
  <si>
    <t>20Ø Ç.OTO ETEK</t>
  </si>
  <si>
    <t>20Ø Ç.OTO ETEK ALT PULU</t>
  </si>
  <si>
    <t>22Ø Ç.OTO GÖVDE</t>
  </si>
  <si>
    <t>22Ø Ç.OTO DEMLİK</t>
  </si>
  <si>
    <t>22Ø Ç.OTO SÜZEK</t>
  </si>
  <si>
    <t>22Ø Ç.OTO KAPAK</t>
  </si>
  <si>
    <t>22Ø Ç.OTO ETEK</t>
  </si>
  <si>
    <t>22Ø Ç.OTO ETEK ALT PULU</t>
  </si>
  <si>
    <t>24Ø Ç.OTO GÖVDE</t>
  </si>
  <si>
    <t>24Ø Ç.OTO DEMLİK</t>
  </si>
  <si>
    <t>24Ø Ç.OTO SÜZEK</t>
  </si>
  <si>
    <t>24Ø Ç.OTO KAPAK</t>
  </si>
  <si>
    <t>24Ø Ç.OTO ETEK</t>
  </si>
  <si>
    <t>24Ø Ç.OTO ETEK ALT PULU</t>
  </si>
  <si>
    <t>26Ø Ç.OTO GÖVDE</t>
  </si>
  <si>
    <t>26Ø Ç.OTO DEMLİK</t>
  </si>
  <si>
    <t>26Ø Ç.OTO SÜZEK</t>
  </si>
  <si>
    <t>26Ø Ç.OTO KAPAK</t>
  </si>
  <si>
    <t>26Ø Ç.OTO ETEK</t>
  </si>
  <si>
    <t>26Ø Ç.OTO ETEK ALT PULU</t>
  </si>
  <si>
    <t>28Ø Ç.OTO GÖVDE</t>
  </si>
  <si>
    <t>28Ø Ç.OTO DEMLİK</t>
  </si>
  <si>
    <t>28Ø Ç.OTO SÜZEK</t>
  </si>
  <si>
    <t>28Ø Ç.OTO KAPAK</t>
  </si>
  <si>
    <t>28Ø Ç.OTO ETEK</t>
  </si>
  <si>
    <t>28Ø Ç.OTO ETEK ALT PULU</t>
  </si>
  <si>
    <t>30Ø Ç.OTO GÖVDE</t>
  </si>
  <si>
    <t>30Ø Ç.OTO DEMLİK</t>
  </si>
  <si>
    <t>30Ø Ç.OTO SÜZEK</t>
  </si>
  <si>
    <t>30Ø Ç.OTO KAPAK</t>
  </si>
  <si>
    <t>30Ø Ç.OTO ETEK</t>
  </si>
  <si>
    <t>30Ø Ç.OTO ETEK ALT PULU</t>
  </si>
  <si>
    <t>,</t>
  </si>
  <si>
    <t>,,,,,,,,,,,,,,,,,,,,,,,,,,,,,,,,,,,,,,,,,,,,,,,,,,,,,,,,,,,,,,,,,,,,,,,,,,,,,,,,,,,,,,,,,,,,,,,,,,,,,,,,,,,,,,,,,,,,,,,,,,,,,,,,,,,,,,,,,,,,,,,,,,,,,,,,,,,,,,,</t>
  </si>
  <si>
    <t>GÜMRÜKLERİ KALDI MALLAR ÇAKMADA BEKLİYOR (28LERİN)</t>
  </si>
  <si>
    <t>BU PARTİNİN 700 ADETİ YAPILACAK</t>
  </si>
  <si>
    <t>1.000 ADETİ TİTANİK MARKA</t>
  </si>
  <si>
    <t>GERİSİ YONCA KEYİF</t>
  </si>
  <si>
    <t>DAMLA ARA KAPAK BU HAFTA YETİŞMEDİ</t>
  </si>
  <si>
    <t>38. HAFTAYA AKTARDIM</t>
  </si>
  <si>
    <t xml:space="preserve"> YONCA JUMBO 10 NO BELİNDA ÇAYDANLIK</t>
  </si>
  <si>
    <t xml:space="preserve"> YONCA JUMBO 10 NO BELİNDA ÇAYDANLIK </t>
  </si>
  <si>
    <t>TABANSIZ JUMBO 10 NO BELİNDA DEMLİK</t>
  </si>
  <si>
    <t>YONCA AİLE 3.5 NO BELİNDA ÇAYDANLIK</t>
  </si>
  <si>
    <t>YONCA AİLE 7 NO BELİNDA ÇAYDANLIK</t>
  </si>
  <si>
    <t>TABANSIZ AİLE 7 NO BELİNDA DEMLİK</t>
  </si>
  <si>
    <t>LİNES 7 NO AYPERİ ÇAYDANLIK</t>
  </si>
  <si>
    <t>TABANSIZ 7 NO AYPERİ DEMLİK</t>
  </si>
  <si>
    <t>LİNES AİLE AYCAN ÇAYDANLIK</t>
  </si>
  <si>
    <t>COOKER AİLE AYCAN ÇAYDANLIK</t>
  </si>
  <si>
    <t>TABANSIZ LİNES AİLE AYCAN DEMLİK</t>
  </si>
  <si>
    <t>TABANSIZ COOKER AİLE AYCAN DEMLİK</t>
  </si>
  <si>
    <t>TABANSIZ COOKER ORTA AYCAN DEMLİK</t>
  </si>
  <si>
    <t>18 KARE KAPAK TEFLON</t>
  </si>
  <si>
    <t>20 KARE KAPAK TEFLON</t>
  </si>
  <si>
    <t>24 KARE KAPAK TEFLON</t>
  </si>
  <si>
    <t>28 KARE KAPAK TEFLON</t>
  </si>
  <si>
    <t>1,70 PİRAMİT DEMLİK KAPAK TEFLON</t>
  </si>
  <si>
    <t>1.70 PİRAMİT DEMLİK KAPAK TEFLON</t>
  </si>
  <si>
    <t>16 SÜTLÜK KAPAK TEFLON</t>
  </si>
  <si>
    <t>18 YÜKSEK KAPAK TEFLON</t>
  </si>
  <si>
    <t>20 YÜKSEK KAPAK TEFLON</t>
  </si>
  <si>
    <t>24 YÜKSEK KAPAK TEFLON</t>
  </si>
  <si>
    <t>28 YÜKSEK KAPAK TEFLON</t>
  </si>
  <si>
    <t>TABANSIZ AİLE 3.5 NO BELİNDA DEMLİK</t>
  </si>
  <si>
    <t>TABANSIZ AİLE 3.5 NO BELİNDA DEMLİK KAPAK</t>
  </si>
  <si>
    <t>TAKİP NO</t>
  </si>
  <si>
    <t>KALİTE</t>
  </si>
  <si>
    <t>GÖVDE KALINLIK</t>
  </si>
  <si>
    <t>TABAN</t>
  </si>
  <si>
    <t>ÜRÜN ADI</t>
  </si>
  <si>
    <t>KAPSÜL</t>
  </si>
  <si>
    <t>MİKTAR</t>
  </si>
  <si>
    <t>ÜRETİM</t>
  </si>
  <si>
    <t>KALAN</t>
  </si>
  <si>
    <t>15-21 EYLÜL 2025</t>
  </si>
  <si>
    <t>22-28 EYLÜL 2025</t>
  </si>
  <si>
    <t>40.HAFTA</t>
  </si>
  <si>
    <t>29 EYLÜL
05 EKİM 2025</t>
  </si>
  <si>
    <t>06-12 EKİM 
2025</t>
  </si>
  <si>
    <t>42.HAFTA</t>
  </si>
  <si>
    <t>13-19 EKİM
2025</t>
  </si>
  <si>
    <t>37.HAFTA</t>
  </si>
  <si>
    <t>08-14 Eylül
2025</t>
  </si>
  <si>
    <t>YONCA 18x9 TENCERE 6 PCS</t>
  </si>
  <si>
    <t>YONCA 16x9 TENCERE 6 PCS</t>
  </si>
  <si>
    <t>YONCA 14x8 TENCERE 6 PCS</t>
  </si>
  <si>
    <t>BEST MARK 20x10 KASEROLLA 5 PCS</t>
  </si>
  <si>
    <t>ERESS 20x10 KASEROLLA 5 PCS</t>
  </si>
  <si>
    <t>BEST MARK 18x10  KASEROLLA 5 PCS</t>
  </si>
  <si>
    <t>ERESS 18x10 KASEROLLA 5 PCS</t>
  </si>
  <si>
    <t>BEST MARK 16x9  KASEROLLA 5 PCS</t>
  </si>
  <si>
    <t>ERESS 16x9 KASEROLLA 5 PCS</t>
  </si>
  <si>
    <t>BEST MARK 14x8  KASEROLLA 5 PCS</t>
  </si>
  <si>
    <t>ERESS 14x8 KASEROLLA 5 PCS</t>
  </si>
  <si>
    <t>BEST MARK 12x7 KASEROLLA 5 PCS</t>
  </si>
  <si>
    <t>ERESS 12x7 KASEROLLA 5 PCS</t>
  </si>
  <si>
    <t>LİNES 7 NO AYPERİ ÇAYDANLIK KAPAK</t>
  </si>
  <si>
    <t>TABANSIZ 7 NO AYPERİ DEMLİK KAPAK</t>
  </si>
  <si>
    <t>LİNES AİLE AYCAN ÇAYDANLIK KAPAK</t>
  </si>
  <si>
    <t>TABANSIZ AİLE AYCAN DEMLİK KAPAK</t>
  </si>
  <si>
    <t>TABANSIZ COOKER AİLE AYCAN DEMLİK KAPAK</t>
  </si>
  <si>
    <t xml:space="preserve"> COOKER AİLE AYCAN ÇAYDANLIK BUHARLI ARA KAPAK</t>
  </si>
  <si>
    <t>TABANSIZ COOKER ORTA AYCAN DEMLİK KAPAK</t>
  </si>
  <si>
    <t xml:space="preserve"> COOKER ORTA AYCAN ÇAYDANLIK BUHARLI ARA KAPAK</t>
  </si>
  <si>
    <t xml:space="preserve">TABANSIZ GEMAK 0,75 Lt NAZ DEMLİK  </t>
  </si>
  <si>
    <t xml:space="preserve">TABANSIZ GEMAK 0,50 Lt NAZ DEMLİK </t>
  </si>
  <si>
    <t>LİNES 18x10 KÜRE ZEYCAN MODEL TENCERE</t>
  </si>
  <si>
    <t>LİNES 20x10 KÜRE ZEYCAN MODEL TENCERE</t>
  </si>
  <si>
    <t>LİNES 24x14 KÜRE ZEYCAN MODEL TENCERE</t>
  </si>
  <si>
    <t>LİNES 24 KÜRE ZEYCAN MODEL BASIK TENCERE</t>
  </si>
  <si>
    <t>LİNES ORTA KÜRE ZEYCAN MODEL ÇAYD.</t>
  </si>
  <si>
    <t>LİNES TABANSIZ ORTA KÜRE ZEYCAN MODEL  DEMLİK</t>
  </si>
  <si>
    <t>DEMLİKLER ÇİFT KAPAK</t>
  </si>
  <si>
    <t>LİNES ORTA KÜRE ZEYCAN MODEL ÇAYD. KAPAK</t>
  </si>
  <si>
    <t>LİNES TABANSIZ ORTA KÜRE ZEYCAN MODEL  DEMLİK KAPAK</t>
  </si>
  <si>
    <t>LİNES 18x10 PİRAMİT TENCERE 10 PCS</t>
  </si>
  <si>
    <t>LİNES 20x11 PİRAMİT TENCERE 10 PCS</t>
  </si>
  <si>
    <t>LİNES 22x12 PİRAMİT TENCERE 10 PCS</t>
  </si>
  <si>
    <t>LİNES 24x14 PİRAMİT TENCERE 10 PCS</t>
  </si>
  <si>
    <t>LİNES 18x10 PİRAMİT TENCERE ÇUKUR KAPAK 10 PCS</t>
  </si>
  <si>
    <t>LİNES 20x11 PİRAMİT TENCERE ÇUKUR KAPAK 10 PCS</t>
  </si>
  <si>
    <t>LİNES 22x12 PİRAMİT TENCERE ÇUKUR KAPAK 10 PCS</t>
  </si>
  <si>
    <t>LİNES 24x14 PİRAMİT TENCERE ÇUKUR KAPAK 10 PCS</t>
  </si>
  <si>
    <t>LİNES 32x21 PİRAMİT TENCERE ÇUKUR KAPAK 10 PCS</t>
  </si>
  <si>
    <t>LİNES 18x10 PİRAMİT TENCERE 14 PCS</t>
  </si>
  <si>
    <t>LİNES 20x11 PİRAMİT TENCERE 14 PCS</t>
  </si>
  <si>
    <t>LİNES 22x12 PİRAMİT TENCERE 14 PCS</t>
  </si>
  <si>
    <t>LİNES 24x14 PİRAMİT TENCERE 14 PCS</t>
  </si>
  <si>
    <t>LİNES 18x10 PİRAMİT TENCERE ÇUKUR KAPAK 14 PCS</t>
  </si>
  <si>
    <t>LİNES 20x11 PİRAMİT TENCERE ÇUKUR KAPAK 14 PCS</t>
  </si>
  <si>
    <t>LİNES 22x12 PİRAMİT TENCERE ÇUKUR KAPAK 14 PCS</t>
  </si>
  <si>
    <t>LİNES 24x14 PİRAMİT TENCERE ÇUKUR KAPAK 14 PCS</t>
  </si>
  <si>
    <t>LİNES 28x18 PİRAMİT TENCERE ÇUKUR KAPAK 14 PCS</t>
  </si>
  <si>
    <t>GÜMRÜK MALLARINI UNUTMA (15ER ADET 1MM)</t>
  </si>
  <si>
    <t>LİNES 18x10 PİRAMİT TENCERE 18 PCS</t>
  </si>
  <si>
    <t>LİNES 20x11 PİRAMİT TENCERE 18 PCS</t>
  </si>
  <si>
    <t>LİNES 24x14 PİRAMİT TENCERE 18 PCS</t>
  </si>
  <si>
    <t>LİNES 28x18 PİRAMİT TENCERE 18 PCS</t>
  </si>
  <si>
    <t>LİNES 24x7.5 PİRAMİT TAVA 18 PCS</t>
  </si>
  <si>
    <t>LİNES 18x10 PİRAMİT TENCERE ÇUKUR KAPAK 18 PCS</t>
  </si>
  <si>
    <t>LİNES 20x11 PİRAMİT TENCERE ÇUKUR KAPAK  18 PCS</t>
  </si>
  <si>
    <t>LİNES 24x14 PİRAMİT TENCERE ÇUKUR KAPAK 18 PCS</t>
  </si>
  <si>
    <t>LİNES 28x18 PİRAMİT TENCERE ÇUKUR KAPAK 18 PCS</t>
  </si>
  <si>
    <t>LİNES 2LT PİRAMİT SÜTLÜK KAPAK 18 PCS</t>
  </si>
  <si>
    <t>TABANSIZ LİNES 24 PİRAMİT KUSKUS ÜST 18 PCS</t>
  </si>
  <si>
    <t>LİNES 18x10 PİRAMİT TENCERE 24 PCS</t>
  </si>
  <si>
    <t>LİNES 20x11 PİRAMİT TENCERE 24 PCS</t>
  </si>
  <si>
    <t>LİNES 24x14 PİRAMİT TENCERE 24 PCS</t>
  </si>
  <si>
    <t>LİNES 24x7.5 PİRAMİT TAVA 24 PCS</t>
  </si>
  <si>
    <t>TABANSIZ LİNES 24 PİRAMİT KUSKUS ÜST 24 PCS</t>
  </si>
  <si>
    <t>LİNES 26x9 PİRAMİT (KARNIYARIK) 24 PCS</t>
  </si>
  <si>
    <t>LİNES 2 LT PİRAMİT SÜTLÜK 24 PCS</t>
  </si>
  <si>
    <t>LİNES 10 LT PİRAMİT DÜDÜKLÜ 24 PCS</t>
  </si>
  <si>
    <t>LİNES 18x9 PİRAMİT KASROLLA ÇUKUR KAPAK 24 PCS</t>
  </si>
  <si>
    <t>LİNES 26x9 PİRAMİT (KARNIYARIK) ÇUKUR KAPAK 24 PCS</t>
  </si>
  <si>
    <t>LİNES 2 LT PİRAMİT SÜTLÜK KAPAK 24 PCS</t>
  </si>
  <si>
    <t>LİNES 18x10 PİRAMİT TENCERE ÇUKUR KAPAK 24 PCS</t>
  </si>
  <si>
    <t>LİNES 20x11 PİRAMİT TENCERE ÇUKUR KAPAK 24 PCS</t>
  </si>
  <si>
    <t>LİNES 24x14 PİRAMİT TENCERE ÇUKUR KAPAK 24 PCS</t>
  </si>
  <si>
    <t>LİNES 28x18 PİRAMİT TENCERE ÇUKUR KAPAK 24 PCS</t>
  </si>
  <si>
    <t>LİNES 1 LT KÜRE KAPAK 18 PCS</t>
  </si>
  <si>
    <t>LİNES 1.5 LT KÜRE KAPAK 124 PCS</t>
  </si>
  <si>
    <t>44..HAFTA</t>
  </si>
  <si>
    <t>27-31 Eylül
2025</t>
  </si>
  <si>
    <t>İÇ PİYASA KIZARTMALIK DEMLİK</t>
  </si>
  <si>
    <t>COOKER 7 NO ORTA AYCAN ÇAYDANLIK</t>
  </si>
  <si>
    <t>18Ø ÇUKUR KAPAK 24 PCS</t>
  </si>
  <si>
    <t>20Ø ÇUKUR KAPAK 24 PCS</t>
  </si>
  <si>
    <t>24Ø ÇUKUR KAPAK  24PCS</t>
  </si>
  <si>
    <t>28Ø ÇUKUR KAPAK 24 PCS</t>
  </si>
  <si>
    <t>16Ø ÇUKUR KAPAK 24 PCS</t>
  </si>
  <si>
    <t>26Ø ÇUKUR KAPAK 24 PCS</t>
  </si>
  <si>
    <t>18Ø ÇUKUR KAPAK 18 PCS</t>
  </si>
  <si>
    <t>20Ø ÇUKUR KAPAK 18 PCS</t>
  </si>
  <si>
    <t>24Ø ÇUKUR KAPAK  18 PCS</t>
  </si>
  <si>
    <t>28Ø ÇUKUR KAPAK 18 PCS</t>
  </si>
  <si>
    <t>18Ø ÇUKUR KAPAK 10 PCS</t>
  </si>
  <si>
    <t>20Ø ÇUKUR KAPAK 10 PCS</t>
  </si>
  <si>
    <t>22Ø ÇUKUR KAPAK 10 PCS</t>
  </si>
  <si>
    <t>24Ø ÇUKUR KAPAK 10 PCS</t>
  </si>
  <si>
    <t>32Ø ÇUKUR KAPAK 10 PCS</t>
  </si>
  <si>
    <t>18Ø ÇUKUR KAPAK 14 PCS</t>
  </si>
  <si>
    <t>20Ø ÇUKUR KAPAK 14 PCS</t>
  </si>
  <si>
    <t>22Ø ÇUKUR KAPAK 14 PCS</t>
  </si>
  <si>
    <t>24Ø ÇUKUR KAPAK 14 PCS</t>
  </si>
  <si>
    <t>28Ø ÇUKUR KAPAK 14 PCS</t>
  </si>
  <si>
    <t xml:space="preserve"> YONCA JUMBO 10 NO BELİNDA ÇAYDANLIK KAPAK</t>
  </si>
  <si>
    <t>GEMAK 18x10 GÜVEÇ MODEL ÇİFT KORDON ARASI SATEN</t>
  </si>
  <si>
    <t>GEMAK 20x11 GÜVEÇ MODEL ÇİFT KORDON ARASI SATEN</t>
  </si>
  <si>
    <t>GEMAK 24x14 GÜVEÇ MODEL ÇİFT KORDON ARASI SATEN</t>
  </si>
  <si>
    <t>GEMAK 26x16 GÜVEÇ MODEL ÇİFT KORDON ARASI SATEN</t>
  </si>
  <si>
    <t>TABANSIZ HOMY 20 KUSKUS SÜZEK</t>
  </si>
  <si>
    <t>TABANSIZ HOMY 28 KUSKUS SÜZEK</t>
  </si>
  <si>
    <t>HOMY 20 KUSKUS TENCERE</t>
  </si>
  <si>
    <t>HOMY 28 KUSKUS TENCERE</t>
  </si>
  <si>
    <t>HOMY 20 YÜKSEK KAPAK</t>
  </si>
  <si>
    <t>HOMY 28 YÜKSEK KAPAK</t>
  </si>
  <si>
    <t>80 BARDAK 22 ÇAY OTOMATI GÖVDE</t>
  </si>
  <si>
    <t>80 BARDAK 22 ÇAY OTOMATI SÜZEK</t>
  </si>
  <si>
    <t>80 BARDAK 22 ÇAY OTOMATI DEMLİK</t>
  </si>
  <si>
    <t>80 BARDAK 22 ÇAY OTOMATI ETEK</t>
  </si>
  <si>
    <t>80 BARDAK 22 ÇAY OTOMATI KAPAK</t>
  </si>
  <si>
    <t>YONCA 1,5 LT MERCAN DEMLİK MOBLU</t>
  </si>
  <si>
    <t>18Ø TERS KAPAK TEFLON</t>
  </si>
  <si>
    <t>20Ø TERS KAPAK TEFLON</t>
  </si>
  <si>
    <t>24Ø TERS KAPAK TEFLON</t>
  </si>
  <si>
    <t>28Ø TERS KAPAK TEFLON</t>
  </si>
  <si>
    <t>16Ø SÜTLÜK  KAPAK TEFLON</t>
  </si>
  <si>
    <t>20x10 PIRIL TENCERE 8 PCS</t>
  </si>
  <si>
    <t>24x14 PIRIL TENCERE 8 PCS</t>
  </si>
  <si>
    <t>26 KARNIYARIK (BASIK)  PIRIL TENCERE 8 PCS</t>
  </si>
  <si>
    <t>TABANSIZ 3 NO ORTA AYPERİ DEMLİK</t>
  </si>
  <si>
    <t>LİNES 3 NO ORTA AYPERİ ÇAYDANLIK</t>
  </si>
  <si>
    <t>TABANSIZ 5 NO AİLE NAZ DEMLİK</t>
  </si>
  <si>
    <t>LİNES  5 NO AİLE NAZ ÇAYDANLIK</t>
  </si>
  <si>
    <t>100925-1</t>
  </si>
  <si>
    <t>COOKER 3 NO YILDIZ ÇAYDANLIK</t>
  </si>
  <si>
    <t>COOKER 3  NO YILDIZ ÇAYDANLIK</t>
  </si>
  <si>
    <t>COOKER 7  NO YILDIZ ÇAYDANLIK</t>
  </si>
  <si>
    <t>TABANSIZ 3  NO YILDIZ DEMLİK</t>
  </si>
  <si>
    <t>TABANSIZ 7  NO YILDIZ DEMLİK</t>
  </si>
  <si>
    <t>COOKER 10  NO YILDIZ ÇAYDANLIK</t>
  </si>
  <si>
    <t>COOKER 3 NO YILDIZ ARA KAPAK</t>
  </si>
  <si>
    <t>COOKER 7 NO YILDIZ ARA KAPAK</t>
  </si>
  <si>
    <t>COOKER 10  NO YILDIZ ARA KAPAK</t>
  </si>
  <si>
    <t>TABANSIZ 3 NO ORTA AYPERİ DEMLİK KAPAK</t>
  </si>
  <si>
    <t>LİNES 3 NO ORTA AYPERİ ÇAYDANLIK KAPAK</t>
  </si>
  <si>
    <t>LİNES  5 NO AİLE NAZ ÇAYDANLIK ARA KAPAK</t>
  </si>
  <si>
    <t>TABANSIZ 5 NO AİLE NAZ DEMLİK KAPAK</t>
  </si>
  <si>
    <t>45.HAFTA</t>
  </si>
  <si>
    <t>03-09 Kasım
2025</t>
  </si>
  <si>
    <t>LİNES 22 TAVA</t>
  </si>
  <si>
    <t>LİNES 24 TAVA</t>
  </si>
  <si>
    <t>LİNES 26 TAVA</t>
  </si>
  <si>
    <t>TABANSIZ</t>
  </si>
  <si>
    <t>TABANSIZ YONCA JUMBO DAMLA DEMLİK</t>
  </si>
  <si>
    <t>26x16 PIRIL TENCERE 8 PCS</t>
  </si>
  <si>
    <t>TABANSIZ COOKER 10  NO YILDIZ DEMLİK</t>
  </si>
  <si>
    <t>YONCA 1 LT KÜRE ÇAYDANLIK</t>
  </si>
  <si>
    <t>YONCA 1.5 LT KÜRE ÇAYDANLIK</t>
  </si>
  <si>
    <t>YONCA 2 LT KÜRE ÇAYDANLIK</t>
  </si>
  <si>
    <t xml:space="preserve">YONCA 2 LT SÜTLÜK </t>
  </si>
  <si>
    <t>LİNES 1 LT KÜRE ÇAYDANLIK</t>
  </si>
  <si>
    <t>LİNES 1,5 LT KÜRE ÇAYDANLIK</t>
  </si>
  <si>
    <t>LİNES 20x11 TENCERE</t>
  </si>
  <si>
    <t>LİNES 24x14 TENCERE</t>
  </si>
  <si>
    <t>LİNES 28x18 TENCERE</t>
  </si>
  <si>
    <t>YONCA 18x10 TENCERE 10 PCS</t>
  </si>
  <si>
    <t>YONCA 20x11 TENCERE 10 PCS</t>
  </si>
  <si>
    <t>YONCA 22x12 TENCERE 10 PCS</t>
  </si>
  <si>
    <t>YONCA 24x14 TENCERE 10 PCS</t>
  </si>
  <si>
    <t>ŞAHMERAN SEMAVER GÖVDE</t>
  </si>
  <si>
    <t>ŞAHMERAN SEMAVER DEMLİK</t>
  </si>
  <si>
    <t>ŞAHMERAN SEMAVER ETEK</t>
  </si>
  <si>
    <t>ŞAHMERAN SEMAVER ALT KAPAK</t>
  </si>
  <si>
    <t>ŞAHMERAN SEMAVER DEMLİK KAPAK</t>
  </si>
  <si>
    <t>LİNES 18x10 TENCERE ZEYCAN MODEL</t>
  </si>
  <si>
    <t>LİNES 22x11 TENCERE ZEYCAN MODEL</t>
  </si>
  <si>
    <t>LİNES 24x14 TENCERE ZEYCAN MODEL</t>
  </si>
  <si>
    <t>LİNES 26x9 BASIK ZEYCAN MODEL</t>
  </si>
  <si>
    <t>151025-1</t>
  </si>
  <si>
    <t>LİNES 14x8 TENCERE ZEYCAN MODEL</t>
  </si>
  <si>
    <t>LİNES 16x9 TENCERE ZEYCAN MODEL</t>
  </si>
  <si>
    <t>TABANSIZ LİNES 5 NO AİLE NAZ DEMLİK</t>
  </si>
  <si>
    <t>LİNES 1 LT KÜRE 18 PCS (15 ER ADET GÜMRÜK)</t>
  </si>
  <si>
    <t>LİNES 1.5 LT KÜRE 24 PCS (15 ER ADET GÜMRÜK)</t>
  </si>
  <si>
    <t>YONCA 26 TAVA  TEK ÇİZGİ SATEN 19 PCS</t>
  </si>
  <si>
    <t>GÜMRÜK MALLARINI UNUTMA</t>
  </si>
  <si>
    <t xml:space="preserve">LİNES 32x21 PİRAMİT TENCERE 10 PCS (GÜMRÜK UNUTMA 15X ) </t>
  </si>
  <si>
    <t xml:space="preserve">LİNES 28x18 PİRAMİT TENCERE 24 PCS (GÜMRÜK UNUTMA 15X ) </t>
  </si>
  <si>
    <t xml:space="preserve">LİNES 28x18 PİRAMİT TENCERE 14 PCS (GÜMRÜK UNUTMA 15X ) </t>
  </si>
  <si>
    <t xml:space="preserve">YONCA 16x9   TEK ÇİZGİ SATEN 19 PCS </t>
  </si>
  <si>
    <t xml:space="preserve">LİNES 8 LT CLİPSO DÜDÜKLÜ </t>
  </si>
  <si>
    <t>LİNES 8 LT CLİPSO DÜDÜKLÜ GÜVEÇ (GÜMRÜK UNUTMA 60X)</t>
  </si>
  <si>
    <t xml:space="preserve">ABM 22 Ø 6 LT CLİPSO DÜDÜKLÜ GÜVEÇ </t>
  </si>
  <si>
    <t>LİNES 12 LT CLİPSO DÜDÜKLÜ (GÜMRÜK UNUTMA 60X)</t>
  </si>
  <si>
    <t>LİNES 10 LT CLİPSO DÜDÜKLÜ (GÜMRÜK UNUTMA 60X)</t>
  </si>
  <si>
    <t>GÜRMÜKLERİ UNUTMA 15X 1 MM</t>
  </si>
  <si>
    <t>LİNES 16 SAHAN  DÜZ FORMA</t>
  </si>
  <si>
    <t>LİNES 18 SAHAN DÜZ FORMA</t>
  </si>
  <si>
    <t>LİNES 20 SAHAN DÜZ FORMA</t>
  </si>
  <si>
    <t>LİNES 22 SAHAN DÜZ FORMA</t>
  </si>
  <si>
    <t>151025-2</t>
  </si>
  <si>
    <t>60 BARDAK Ø20 ÇAY OTOMATI GÖVDE</t>
  </si>
  <si>
    <t>60 BARDAK Ø20 ÇAY OTOMATI ETEK</t>
  </si>
  <si>
    <t>60 BARDAK Ø20 ÇAY OTOMATI DEMLİK</t>
  </si>
  <si>
    <t>60 BARDAK Ø20 ÇAY OTOMATI SÜZEK</t>
  </si>
  <si>
    <t>60 BARDAK Ø20 ÇAY OTOMATI KAPAK</t>
  </si>
  <si>
    <t>YONCA 32x21 TENCERE İNCE KALIN İNCE SATEN 6 PCS</t>
  </si>
  <si>
    <t>YONCA 36x24 TENCERE İNCE KALIN İNCE SATEN 6 PCS</t>
  </si>
  <si>
    <t>YONCA 40x28 TENCERE İNCE KALIN İNCE SATEN 6 PCS</t>
  </si>
  <si>
    <t>YONCA 32 KADEMELİ KAPAK</t>
  </si>
  <si>
    <t>YONCA 36 KADEMELİ KAPAK</t>
  </si>
  <si>
    <t>YONCA 40x28 KADEMELİ KAPAK</t>
  </si>
  <si>
    <t xml:space="preserve">LİNES 24x14 TENCERE </t>
  </si>
  <si>
    <t xml:space="preserve">LİNES 26x16 TENCERE </t>
  </si>
  <si>
    <t>LİNES  32x21 TENCERE</t>
  </si>
  <si>
    <t>LİNES 30X20 TENCERE</t>
  </si>
  <si>
    <t>GÜMRÜK MALLARINI UNUTMA 15X 1MM</t>
  </si>
  <si>
    <t>YONCA 34x23 TENCERE 10 PCS</t>
  </si>
  <si>
    <t>YONCA 20Ø TERS KAPAK 10 PCS</t>
  </si>
  <si>
    <t>YONCA 34Ø TERS KAPAK 10 PCS</t>
  </si>
  <si>
    <t>LİNES 18x10 TENCERE 14 PCS</t>
  </si>
  <si>
    <t>LİNES 20x11 TENCERE 14 PCS</t>
  </si>
  <si>
    <t>LİNES 24x14 TENCERE 14 PCS</t>
  </si>
  <si>
    <t>LİNES 30x20 TENCERE 14 PCS</t>
  </si>
  <si>
    <t>LİNES 26x9 KARNIYARIK 14 PCS</t>
  </si>
  <si>
    <t>LİNES 24 TAVA T 14 PCS</t>
  </si>
  <si>
    <t>LİNES 16x9 KASEROLLA 14 PCS</t>
  </si>
  <si>
    <t>LİNES  2 LT SÜTLÜK 14 PCS</t>
  </si>
  <si>
    <t>LİNES 18Ø TERS KAPAK 14 PCS</t>
  </si>
  <si>
    <t>LİNES 20Ø TERS KAPAK 14 PCS</t>
  </si>
  <si>
    <t>LİNES 24Ø TERS KAPAK 14 PCS</t>
  </si>
  <si>
    <t>LİNES 30Ø TERS KAPAK 14 PCS</t>
  </si>
  <si>
    <t>LİNES 26Ø TERS KAPAK 14 PCS</t>
  </si>
  <si>
    <t>LİNES 16Ø TERS KAPAK 14 PCS</t>
  </si>
  <si>
    <t>LİNES 18x10 TENCERE ALTIN KEMERLİ 13 PCS</t>
  </si>
  <si>
    <t>LİNES 20x11 TENCERE ALTIN KEMERLİ 13 PCS</t>
  </si>
  <si>
    <t>LİNES 24x14 TENCERE ALTIN KEMERLİ 13 PCS</t>
  </si>
  <si>
    <t>LİNES 28x18 TENCERE ALTIN KEMERLİ 13 PCS</t>
  </si>
  <si>
    <t>LİNES 24 TAVA ALTIN KEMERLİ 13 PCS</t>
  </si>
  <si>
    <t>LİNES 2 LT SÜTLÜK  ALTIN KEMERLİ 13 PCS</t>
  </si>
  <si>
    <t>ÇAYDANLIĞIDA VAR VE GÜMRÜK MALLARINI UNUTMA</t>
  </si>
  <si>
    <t>LİNES 18Ø TERS KAPAK 13 PCS</t>
  </si>
  <si>
    <t>LİNES 2 LT SÜTLÜK KAPAK 14 PCS</t>
  </si>
  <si>
    <t>LİNES 20Ø TERS KAPAK 13 PCS</t>
  </si>
  <si>
    <t>LİNES 24Ø TERS KAPAK 13 PCS</t>
  </si>
  <si>
    <t>LİNES 28Ø TERS KAPAK 13 PCS</t>
  </si>
  <si>
    <t>LİNES 1 LT NAZ ÇAYDANLIK ALTI ALTIN KEMERLİ 13 PCS</t>
  </si>
  <si>
    <t>LİNES 1 LT NAZ ÇAYDANLIK KAPAK 13 PCS</t>
  </si>
  <si>
    <t>LİNES 18x10 TENCERE 15 PCS</t>
  </si>
  <si>
    <t>LİNES 20x11 TENCERE 15 PCS</t>
  </si>
  <si>
    <t>LİNES 24x14 TENCERE 15 PCS</t>
  </si>
  <si>
    <t>LİNES 28x18 TENCERE 15 PCS</t>
  </si>
  <si>
    <t>LİNES 24 TAVA 15 PCS</t>
  </si>
  <si>
    <t>LİNES 2 LT SÜTLÜK 15 PCS</t>
  </si>
  <si>
    <t>LİNES 18Ø TERS KAPAK 15 PCS</t>
  </si>
  <si>
    <t>LİNES 20Ø TERS KAPAK 15 PCS</t>
  </si>
  <si>
    <t>LİNES 24Ø TERS KAPAK 15 PCS</t>
  </si>
  <si>
    <t>LİNES 28Ø TERS KAPAK 15 PCS</t>
  </si>
  <si>
    <t>LİNES 2 LT SÜTLÜK KAPAK 15 PCS</t>
  </si>
  <si>
    <t>LİNES 2 NO AYPERİ ÇAYDANLIK ÇİZGİLİ SADE</t>
  </si>
  <si>
    <t>TABANSIZ LİNES 2 NO AYPERİ DEMLİK  ÇİZGİLİ SADE</t>
  </si>
  <si>
    <t>TABANSIZ LİNES 2 NO AYPERİ   BOMBELİ DEMLİK KAPAK</t>
  </si>
  <si>
    <t>LİNES 2 NO AYPER BOMBELİ ÇAYDANLIK  KAPAK</t>
  </si>
  <si>
    <t>LİNES 16x9 PİRAMİT KASROLLA 24 PCS</t>
  </si>
  <si>
    <t>RESMİ TATİL 29 EKİM</t>
  </si>
  <si>
    <t>LİNES 20X13 KUSKUS TENCERE</t>
  </si>
  <si>
    <t>TABANSIZ ABM 22Ø KUSKUS ÜST 22x9 TEFLON 34 PCS GÜVEÇ</t>
  </si>
  <si>
    <t>LİNES 28x18 KUSKUS TENCERE</t>
  </si>
  <si>
    <t>TABANSIZ LİNES 28x10,5 KUSKUS ÜST</t>
  </si>
  <si>
    <t>LİNES 28X18 KUSKUS TENCERE</t>
  </si>
  <si>
    <t>LİNES 24x16 KUSKUS TENCERE</t>
  </si>
  <si>
    <t>TABANSIZ 24x12 KUSKUS ÜST</t>
  </si>
  <si>
    <t>TABANSIZ LİNES 24x9.5 KUSKUS ÜST</t>
  </si>
  <si>
    <t>LİNES 5 NO AİLE NAZ ÇAYDANLIK ALTIN KEMERLİ</t>
  </si>
  <si>
    <t>TABANSIZ 5 NO AİLE NAZ DEMLİK ALTIN KEMERLİ</t>
  </si>
  <si>
    <t>LİNES 3 NO ORTA NAZ ÇAYDANLIK ÇİZGİLİ SADE</t>
  </si>
  <si>
    <t>TABANSIZ LİNES 3 NO ORTA NAZ DEMLİK ÇİZGİLİ SADE</t>
  </si>
  <si>
    <t>151025-3</t>
  </si>
  <si>
    <t>LİNES 22Ø 10 LT KLASİK DÜDÜKLÜ 3 KORDON GÜVEÇ SADE</t>
  </si>
  <si>
    <t>LİNES 22Ø 12 LT KLASİK DÜDÜKLÜ 3 KORDON GÜVEÇ SADE</t>
  </si>
  <si>
    <t xml:space="preserve">LİNES 22Ø 6 LT KLASİK DÜDÜKLÜ 3 KORDON GÜVEÇ SADE </t>
  </si>
  <si>
    <t>YONCA 18x10 TENCERE PİRAMİT MODEL 10 PCS</t>
  </si>
  <si>
    <t>YONCA 20x11 TENCERE PİRAMİT MODEL 10 PCS</t>
  </si>
  <si>
    <t>YONCA 22x12 TENCERE PİRAMİT MODEL 10 PCS</t>
  </si>
  <si>
    <t>YONCA 24x14 TENCERE PİRAMİT MODEL 10 PCS</t>
  </si>
  <si>
    <t>YONCA 32x21 TENCERE PİRAMİT MODEL 10 PCS</t>
  </si>
  <si>
    <t>YONCA 18Ø ÇUKUR KAPAK PİRAMİT 10 PCS</t>
  </si>
  <si>
    <t>YONCA 20Ø ÇUKUR KAPAK PİRAMİT 10 PCS</t>
  </si>
  <si>
    <t>YONCA 22Ø ÇUKUR KAPAK PİRAMİT 10 PCS</t>
  </si>
  <si>
    <t>YONCA 24Ø ÇUKUR KAPAK PİRAMİT 10 PCS</t>
  </si>
  <si>
    <t>YONCA 32Ø ÇUKUR KAPAK PİRAMİT 10 PCS</t>
  </si>
  <si>
    <t>YONCA 1 LT KÜRE ÇAYDANLIK SADE PARLAK</t>
  </si>
  <si>
    <t>YONCA 1.5 LT KÜRE ÇAYDANLIK SADE PARLAK</t>
  </si>
  <si>
    <t>YONCA 2 LT KÜRE ÇAYDANLIK SADE PARLAK</t>
  </si>
  <si>
    <t xml:space="preserve">YONCA 2 LT SÜTLÜK TEK ÇİZGİ ALTI SATEN DÜZ MODEL </t>
  </si>
  <si>
    <t>221025-1</t>
  </si>
  <si>
    <t>LİNES 16x9 DİK TENCERE SADE PARLAK 6 PCS</t>
  </si>
  <si>
    <t>LİNES 18x10 DİK TENCERE SADE PARLAK 6 PCS</t>
  </si>
  <si>
    <t>LİNES 20x10 DİK TENCERE SADE PARLAK 6 PCS</t>
  </si>
  <si>
    <t xml:space="preserve">LİNES 18x10 DİK TENCERE SADE PARLAK 8 PCS </t>
  </si>
  <si>
    <t xml:space="preserve">LİNES 20x10 DİK TENCERE SADE PARLAK 8 PCS </t>
  </si>
  <si>
    <t xml:space="preserve">LİNES 24x14 DİK TENCERE SADE PARLAK 8 PCS </t>
  </si>
  <si>
    <t>LİNES 24x9 BASIK (KARNIYARIK)  SADE PARLAK 8 PCS</t>
  </si>
  <si>
    <t>031125-2</t>
  </si>
  <si>
    <t xml:space="preserve">LİNES 22Ø 5 LT MERCAN DÜDÜKLÜ SADE PARLAK DİK MODEL </t>
  </si>
  <si>
    <t xml:space="preserve">LİNES 22Ø 7 LT MERCAN DÜDÜKLÜ SADE PARLAK DİK MODEL </t>
  </si>
  <si>
    <t xml:space="preserve">LİNES 22Ø 9 LT MERCAN DÜDÜKLÜ SADE PARLAK DİK MODEL </t>
  </si>
  <si>
    <t>031125-1</t>
  </si>
  <si>
    <t>24Ø 120 BARDAK ÇAY OTOMATI GÖVDE</t>
  </si>
  <si>
    <t>24Ø 120 BARDAK ÇAY OTOMATI ETEK</t>
  </si>
  <si>
    <t>24Ø 120 BARDAK ÇAY OTOMATI DEMLİK</t>
  </si>
  <si>
    <t>24Ø 120 BARDAK ÇAY OTOMATI SÜZEK</t>
  </si>
  <si>
    <t>24Ø 120 BARDAK ÇAY OTOMATI KAPAK</t>
  </si>
  <si>
    <t>22Ø 100 BARDAK ÇAY OTOMATI GÖVDE</t>
  </si>
  <si>
    <t>22Ø 100 BARDAK ÇAY OTOMATI ETEK</t>
  </si>
  <si>
    <t>22Ø 100 BARDAK ÇAY OTOMATI DEMLİK</t>
  </si>
  <si>
    <t>22Ø 100 BARDAK ÇAY OTOMATI SÜZEK</t>
  </si>
  <si>
    <t>22Ø 100 BARDAK ÇAY OTOMATI KAPAK</t>
  </si>
  <si>
    <t>LİNES 28x 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</si>
</sst>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4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3" fontId="2" fillId="0" borderId="5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3" fontId="2" fillId="2" borderId="5" xfId="0" applyNumberFormat="1" applyFont="1" applyFill="1" applyBorder="1" applyAlignment="1">
      <alignment horizontal="center" vertical="center"/>
    </xf>
    <xf numFmtId="3" fontId="4" fillId="2" borderId="5" xfId="0" applyNumberFormat="1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4" fontId="5" fillId="0" borderId="5" xfId="0" applyNumberFormat="1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0" fillId="0" borderId="0" xfId="0" applyBorder="1"/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Border="1"/>
    <xf numFmtId="0" fontId="5" fillId="0" borderId="5" xfId="0" applyFont="1" applyFill="1" applyBorder="1" applyAlignment="1">
      <alignment horizontal="center" vertical="center"/>
    </xf>
    <xf numFmtId="4" fontId="5" fillId="0" borderId="5" xfId="0" applyNumberFormat="1" applyFont="1" applyFill="1" applyBorder="1" applyAlignment="1">
      <alignment horizontal="center" vertical="center"/>
    </xf>
    <xf numFmtId="3" fontId="5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3" fontId="5" fillId="0" borderId="2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6" xfId="0" applyBorder="1" applyAlignment="1"/>
    <xf numFmtId="3" fontId="6" fillId="0" borderId="5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3" fontId="5" fillId="3" borderId="5" xfId="0" applyNumberFormat="1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21324" y="49157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332899</xdr:colOff>
      <xdr:row>2</xdr:row>
      <xdr:rowOff>60960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3224" y="49157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78441</xdr:colOff>
      <xdr:row>0</xdr:row>
      <xdr:rowOff>52294</xdr:rowOff>
    </xdr:from>
    <xdr:to>
      <xdr:col>35</xdr:col>
      <xdr:colOff>465331</xdr:colOff>
      <xdr:row>2</xdr:row>
      <xdr:rowOff>140597</xdr:rowOff>
    </xdr:to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91441" y="52294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93382</xdr:colOff>
      <xdr:row>0</xdr:row>
      <xdr:rowOff>64098</xdr:rowOff>
    </xdr:from>
    <xdr:to>
      <xdr:col>35</xdr:col>
      <xdr:colOff>480272</xdr:colOff>
      <xdr:row>2</xdr:row>
      <xdr:rowOff>152401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8500" y="64098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56028</xdr:colOff>
      <xdr:row>0</xdr:row>
      <xdr:rowOff>34216</xdr:rowOff>
    </xdr:from>
    <xdr:to>
      <xdr:col>35</xdr:col>
      <xdr:colOff>442917</xdr:colOff>
      <xdr:row>2</xdr:row>
      <xdr:rowOff>122519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146" y="34216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93382</xdr:colOff>
      <xdr:row>0</xdr:row>
      <xdr:rowOff>64097</xdr:rowOff>
    </xdr:from>
    <xdr:to>
      <xdr:col>35</xdr:col>
      <xdr:colOff>480272</xdr:colOff>
      <xdr:row>2</xdr:row>
      <xdr:rowOff>152400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68500" y="64097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325204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44824</xdr:colOff>
      <xdr:row>0</xdr:row>
      <xdr:rowOff>82176</xdr:rowOff>
    </xdr:from>
    <xdr:to>
      <xdr:col>35</xdr:col>
      <xdr:colOff>431714</xdr:colOff>
      <xdr:row>2</xdr:row>
      <xdr:rowOff>170479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9942" y="82176"/>
          <a:ext cx="1522419" cy="461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83224" y="49157"/>
          <a:ext cx="15235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724" y="49157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7974" y="49157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8F2AD3B-FF98-412A-ABB3-EB5DE87F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781603F7-5FBF-4CDF-9C95-C5C337C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724" y="49157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8F2AD3B-FF98-412A-ABB3-EB5DE87F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781603F7-5FBF-4CDF-9C95-C5C337C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7974" y="49157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8F2AD3B-FF98-412A-ABB3-EB5DE87F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781603F7-5FBF-4CDF-9C95-C5C337C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724" y="49157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8F2AD3B-FF98-412A-ABB3-EB5DE87F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781603F7-5FBF-4CDF-9C95-C5C337C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11724" y="49157"/>
          <a:ext cx="1491790" cy="45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68580</xdr:rowOff>
    </xdr:from>
    <xdr:to>
      <xdr:col>2</xdr:col>
      <xdr:colOff>424990</xdr:colOff>
      <xdr:row>2</xdr:row>
      <xdr:rowOff>156883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38F2AD3B-FF98-412A-ABB3-EB5DE87FF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108324</xdr:colOff>
      <xdr:row>0</xdr:row>
      <xdr:rowOff>49157</xdr:rowOff>
    </xdr:from>
    <xdr:to>
      <xdr:col>35</xdr:col>
      <xdr:colOff>495214</xdr:colOff>
      <xdr:row>2</xdr:row>
      <xdr:rowOff>137460</xdr:rowOff>
    </xdr:to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781603F7-5FBF-4CDF-9C95-C5C337C16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87974" y="49157"/>
          <a:ext cx="1510840" cy="456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zoomScale="85" zoomScaleNormal="85" workbookViewId="0">
      <selection activeCell="AK11" sqref="AK11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1" customWidth="1"/>
    <col min="29" max="32" width="8.21875" style="1" customWidth="1"/>
    <col min="33" max="33" width="1.77734375" customWidth="1"/>
    <col min="34" max="34" width="8.5546875" style="1" customWidth="1"/>
    <col min="35" max="35" width="7.5546875" style="1" customWidth="1"/>
    <col min="36" max="36" width="8.5546875" style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222</v>
      </c>
      <c r="AD2" s="84"/>
      <c r="AE2" s="87" t="s">
        <v>26</v>
      </c>
      <c r="AF2" s="88"/>
      <c r="BJ2" s="83" t="s">
        <v>222</v>
      </c>
      <c r="BK2" s="84"/>
      <c r="BL2" s="87" t="s">
        <v>26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32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/>
      <c r="B18" s="24"/>
      <c r="C18" s="31"/>
      <c r="D18" s="31"/>
      <c r="E18" s="29"/>
      <c r="F18" s="29"/>
      <c r="G18" s="24"/>
      <c r="H18" s="26"/>
      <c r="I18" s="27"/>
      <c r="J18" s="26">
        <f>H18-I18</f>
        <v>0</v>
      </c>
      <c r="L18" s="24"/>
      <c r="M18" s="24"/>
      <c r="N18" s="31"/>
      <c r="O18" s="31"/>
      <c r="P18" s="29"/>
      <c r="Q18" s="29"/>
      <c r="R18" s="24"/>
      <c r="S18" s="26"/>
      <c r="T18" s="27"/>
      <c r="U18" s="26">
        <f>S18-T18</f>
        <v>0</v>
      </c>
      <c r="W18" s="24"/>
      <c r="X18" s="24"/>
      <c r="Y18" s="31"/>
      <c r="Z18" s="31"/>
      <c r="AA18" s="29"/>
      <c r="AB18" s="29"/>
      <c r="AC18" s="24"/>
      <c r="AD18" s="26"/>
      <c r="AE18" s="27"/>
      <c r="AF18" s="26">
        <f>AD18-AE18</f>
        <v>0</v>
      </c>
      <c r="AH18" s="24"/>
      <c r="AI18" s="24"/>
      <c r="AJ18" s="31"/>
      <c r="AK18" s="31"/>
      <c r="AL18" s="29"/>
      <c r="AM18" s="29"/>
      <c r="AN18" s="24"/>
      <c r="AO18" s="26"/>
      <c r="AP18" s="27"/>
      <c r="AQ18" s="26">
        <f>AO18-AP18</f>
        <v>0</v>
      </c>
      <c r="AS18" s="24"/>
      <c r="AT18" s="24"/>
      <c r="AU18" s="31"/>
      <c r="AV18" s="31"/>
      <c r="AW18" s="29"/>
      <c r="AX18" s="29"/>
      <c r="AY18" s="24"/>
      <c r="AZ18" s="26"/>
      <c r="BA18" s="27"/>
      <c r="BB18" s="26">
        <f>AZ18-BA18</f>
        <v>0</v>
      </c>
      <c r="BD18" s="24"/>
      <c r="BE18" s="24"/>
      <c r="BF18" s="31"/>
      <c r="BG18" s="31"/>
      <c r="BH18" s="29"/>
      <c r="BI18" s="29"/>
      <c r="BJ18" s="24"/>
      <c r="BK18" s="26"/>
      <c r="BL18" s="27"/>
      <c r="BM18" s="26">
        <f>BK18-BL18</f>
        <v>0</v>
      </c>
    </row>
    <row r="19" spans="1:65" s="30" customFormat="1" ht="20.100000000000001" customHeight="1" x14ac:dyDescent="0.3">
      <c r="A19" s="24"/>
      <c r="B19" s="24"/>
      <c r="C19" s="31"/>
      <c r="D19" s="31"/>
      <c r="E19" s="29"/>
      <c r="F19" s="29"/>
      <c r="G19" s="24"/>
      <c r="H19" s="26"/>
      <c r="I19" s="27"/>
      <c r="J19" s="26">
        <f t="shared" ref="J19:J23" si="6">H19-I19</f>
        <v>0</v>
      </c>
      <c r="L19" s="24"/>
      <c r="M19" s="24"/>
      <c r="N19" s="31"/>
      <c r="O19" s="31"/>
      <c r="P19" s="29"/>
      <c r="Q19" s="29"/>
      <c r="R19" s="24"/>
      <c r="S19" s="26"/>
      <c r="T19" s="27"/>
      <c r="U19" s="26">
        <f t="shared" ref="U19:U23" si="7">S19-T19</f>
        <v>0</v>
      </c>
      <c r="W19" s="24"/>
      <c r="X19" s="24"/>
      <c r="Y19" s="31"/>
      <c r="Z19" s="31"/>
      <c r="AA19" s="29"/>
      <c r="AB19" s="29"/>
      <c r="AC19" s="24"/>
      <c r="AD19" s="26"/>
      <c r="AE19" s="27"/>
      <c r="AF19" s="26">
        <f t="shared" ref="AF19:AF23" si="8">AD19-AE19</f>
        <v>0</v>
      </c>
      <c r="AH19" s="24"/>
      <c r="AI19" s="24"/>
      <c r="AJ19" s="31"/>
      <c r="AK19" s="31"/>
      <c r="AL19" s="29"/>
      <c r="AM19" s="29"/>
      <c r="AN19" s="24"/>
      <c r="AO19" s="26"/>
      <c r="AP19" s="27"/>
      <c r="AQ19" s="26">
        <f t="shared" ref="AQ19:AQ23" si="9">AO19-AP19</f>
        <v>0</v>
      </c>
      <c r="AS19" s="24"/>
      <c r="AT19" s="24"/>
      <c r="AU19" s="31"/>
      <c r="AV19" s="31"/>
      <c r="AW19" s="29"/>
      <c r="AX19" s="29"/>
      <c r="AY19" s="24"/>
      <c r="AZ19" s="26"/>
      <c r="BA19" s="27"/>
      <c r="BB19" s="26">
        <f t="shared" ref="BB19:BB23" si="10">AZ19-BA19</f>
        <v>0</v>
      </c>
      <c r="BD19" s="24"/>
      <c r="BE19" s="24"/>
      <c r="BF19" s="31"/>
      <c r="BG19" s="31"/>
      <c r="BH19" s="29"/>
      <c r="BI19" s="29"/>
      <c r="BJ19" s="24"/>
      <c r="BK19" s="26"/>
      <c r="BL19" s="27"/>
      <c r="BM19" s="26">
        <f t="shared" ref="BM19:BM23" si="11">BK19-BL19</f>
        <v>0</v>
      </c>
    </row>
    <row r="20" spans="1:65" s="30" customFormat="1" ht="20.100000000000001" customHeight="1" x14ac:dyDescent="0.3">
      <c r="A20" s="24"/>
      <c r="B20" s="24"/>
      <c r="C20" s="31"/>
      <c r="D20" s="31"/>
      <c r="E20" s="29"/>
      <c r="F20" s="29"/>
      <c r="G20" s="24"/>
      <c r="H20" s="26"/>
      <c r="I20" s="27"/>
      <c r="J20" s="26">
        <f t="shared" si="6"/>
        <v>0</v>
      </c>
      <c r="L20" s="24"/>
      <c r="M20" s="24"/>
      <c r="N20" s="31"/>
      <c r="O20" s="31"/>
      <c r="P20" s="29"/>
      <c r="Q20" s="29"/>
      <c r="R20" s="24"/>
      <c r="S20" s="26"/>
      <c r="T20" s="27"/>
      <c r="U20" s="26">
        <f t="shared" si="7"/>
        <v>0</v>
      </c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32"/>
      <c r="G21" s="24"/>
      <c r="H21" s="26"/>
      <c r="I21" s="27"/>
      <c r="J21" s="26">
        <f t="shared" si="6"/>
        <v>0</v>
      </c>
      <c r="L21" s="24"/>
      <c r="M21" s="24"/>
      <c r="N21" s="31"/>
      <c r="O21" s="31"/>
      <c r="P21" s="29"/>
      <c r="Q21" s="32"/>
      <c r="R21" s="24"/>
      <c r="S21" s="26"/>
      <c r="T21" s="27"/>
      <c r="U21" s="26">
        <f t="shared" si="7"/>
        <v>0</v>
      </c>
      <c r="W21" s="24"/>
      <c r="X21" s="24"/>
      <c r="Y21" s="31"/>
      <c r="Z21" s="31"/>
      <c r="AA21" s="29"/>
      <c r="AB21" s="32"/>
      <c r="AC21" s="24"/>
      <c r="AD21" s="26"/>
      <c r="AE21" s="27"/>
      <c r="AF21" s="26">
        <f t="shared" si="8"/>
        <v>0</v>
      </c>
      <c r="AH21" s="24"/>
      <c r="AI21" s="24"/>
      <c r="AJ21" s="31"/>
      <c r="AK21" s="31"/>
      <c r="AL21" s="29"/>
      <c r="AM21" s="32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D21" s="24"/>
      <c r="BE21" s="24"/>
      <c r="BF21" s="31"/>
      <c r="BG21" s="31"/>
      <c r="BH21" s="29"/>
      <c r="BI21" s="32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33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33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33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33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33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24"/>
      <c r="Z23" s="24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24"/>
      <c r="AK23" s="24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24"/>
      <c r="AV23" s="24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0</v>
      </c>
      <c r="I24" s="27">
        <f>SUM(I18:I23)</f>
        <v>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0</v>
      </c>
      <c r="T24" s="27">
        <f>SUM(T18:T23)</f>
        <v>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0</v>
      </c>
      <c r="AE24" s="27">
        <f>SUM(AE18:AE23)</f>
        <v>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0</v>
      </c>
      <c r="AP24" s="27">
        <f>SUM(AP18:AP23)</f>
        <v>0</v>
      </c>
      <c r="AQ24" s="26">
        <f>SUM(AQ18:AQ23)</f>
        <v>0</v>
      </c>
      <c r="AS24" s="34"/>
      <c r="AT24" s="34"/>
      <c r="AU24" s="34"/>
      <c r="AV24" s="34"/>
      <c r="AW24" s="35"/>
      <c r="AX24" s="35"/>
      <c r="AY24" s="36"/>
      <c r="AZ24" s="26">
        <f>SUM(AZ18:AZ23)</f>
        <v>0</v>
      </c>
      <c r="BA24" s="27">
        <f>SUM(BA18:BA23)</f>
        <v>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0</v>
      </c>
      <c r="BL24" s="27">
        <f>SUM(BL18:BL23)</f>
        <v>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32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32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2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33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24"/>
      <c r="Z34" s="24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24"/>
      <c r="AV34" s="24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/>
      <c r="B40" s="24"/>
      <c r="C40" s="31"/>
      <c r="D40" s="31"/>
      <c r="E40" s="29"/>
      <c r="F40" s="29"/>
      <c r="G40" s="24"/>
      <c r="H40" s="26"/>
      <c r="I40" s="27"/>
      <c r="J40" s="26">
        <f>H40-I40</f>
        <v>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pageSetUpPr fitToPage="1"/>
  </sheetPr>
  <dimension ref="A2:BG85"/>
  <sheetViews>
    <sheetView topLeftCell="A45" zoomScale="70" zoomScaleNormal="70" workbookViewId="0">
      <selection activeCell="AO79" sqref="AO79:AV84"/>
    </sheetView>
  </sheetViews>
  <sheetFormatPr defaultRowHeight="14.4" x14ac:dyDescent="0.3"/>
  <cols>
    <col min="1" max="1" width="8.21875" style="1" bestFit="1" customWidth="1"/>
    <col min="2" max="2" width="4.77734375" style="1" customWidth="1"/>
    <col min="3" max="4" width="6.77734375" style="1" customWidth="1"/>
    <col min="5" max="5" width="38.44140625" style="1" customWidth="1"/>
    <col min="6" max="9" width="5.77734375" style="1" customWidth="1"/>
    <col min="10" max="10" width="1.77734375" customWidth="1"/>
    <col min="11" max="11" width="8.21875" style="1" bestFit="1" customWidth="1"/>
    <col min="12" max="12" width="4.77734375" style="1" customWidth="1"/>
    <col min="13" max="14" width="6.77734375" style="1" customWidth="1"/>
    <col min="15" max="15" width="25.77734375" style="1" customWidth="1"/>
    <col min="16" max="19" width="5.77734375" style="1" customWidth="1"/>
    <col min="20" max="20" width="1.77734375" customWidth="1"/>
    <col min="21" max="21" width="8.21875" style="1" bestFit="1" customWidth="1"/>
    <col min="22" max="22" width="4.77734375" style="1" customWidth="1"/>
    <col min="23" max="24" width="6.77734375" style="1" customWidth="1"/>
    <col min="25" max="25" width="25.77734375" style="1" customWidth="1"/>
    <col min="26" max="29" width="5.77734375" style="1" customWidth="1"/>
    <col min="30" max="30" width="1.77734375" customWidth="1"/>
    <col min="31" max="31" width="8.21875" style="1" bestFit="1" customWidth="1"/>
    <col min="32" max="32" width="4.77734375" style="1" customWidth="1"/>
    <col min="33" max="34" width="6.77734375" style="1" customWidth="1"/>
    <col min="35" max="35" width="25.77734375" style="1" customWidth="1"/>
    <col min="36" max="39" width="5.77734375" style="1" customWidth="1"/>
    <col min="40" max="40" width="1.77734375" customWidth="1"/>
    <col min="41" max="41" width="8.21875" style="1" bestFit="1" customWidth="1"/>
    <col min="42" max="42" width="4.77734375" style="1" customWidth="1"/>
    <col min="43" max="44" width="6.77734375" style="1" customWidth="1"/>
    <col min="45" max="45" width="25.77734375" style="1" customWidth="1"/>
    <col min="46" max="49" width="5.77734375" style="1" customWidth="1"/>
    <col min="50" max="50" width="1.77734375" customWidth="1"/>
    <col min="51" max="51" width="8.21875" style="1" bestFit="1" customWidth="1"/>
    <col min="52" max="52" width="4.77734375" style="1" customWidth="1"/>
    <col min="53" max="54" width="6.77734375" style="1" customWidth="1"/>
    <col min="55" max="55" width="25.77734375" style="1" customWidth="1"/>
    <col min="56" max="59" width="5.77734375" style="1" customWidth="1"/>
  </cols>
  <sheetData>
    <row r="2" spans="1:59" x14ac:dyDescent="0.3">
      <c r="BD2" s="83" t="s">
        <v>23</v>
      </c>
      <c r="BE2" s="84"/>
      <c r="BF2" s="87" t="s">
        <v>223</v>
      </c>
      <c r="BG2" s="88"/>
    </row>
    <row r="3" spans="1:59" x14ac:dyDescent="0.3">
      <c r="BD3" s="85"/>
      <c r="BE3" s="86"/>
      <c r="BF3" s="89"/>
      <c r="BG3" s="90"/>
    </row>
    <row r="4" spans="1:59" x14ac:dyDescent="0.3">
      <c r="A4" s="91" t="s">
        <v>0</v>
      </c>
      <c r="B4" s="91"/>
      <c r="C4" s="91"/>
      <c r="D4" s="91"/>
      <c r="E4" s="91"/>
      <c r="F4" s="91"/>
      <c r="G4" s="91"/>
      <c r="H4" s="91"/>
      <c r="I4" s="91"/>
      <c r="K4" s="91" t="s">
        <v>1</v>
      </c>
      <c r="L4" s="91"/>
      <c r="M4" s="91"/>
      <c r="N4" s="91"/>
      <c r="O4" s="91"/>
      <c r="P4" s="91"/>
      <c r="Q4" s="91"/>
      <c r="R4" s="91"/>
      <c r="S4" s="91"/>
      <c r="U4" s="91" t="s">
        <v>2</v>
      </c>
      <c r="V4" s="91"/>
      <c r="W4" s="91"/>
      <c r="X4" s="91"/>
      <c r="Y4" s="91"/>
      <c r="Z4" s="91"/>
      <c r="AA4" s="91"/>
      <c r="AB4" s="91"/>
      <c r="AC4" s="91"/>
      <c r="AE4" s="91" t="s">
        <v>3</v>
      </c>
      <c r="AF4" s="91"/>
      <c r="AG4" s="91"/>
      <c r="AH4" s="91"/>
      <c r="AI4" s="91"/>
      <c r="AJ4" s="91"/>
      <c r="AK4" s="91"/>
      <c r="AL4" s="91"/>
      <c r="AM4" s="91"/>
      <c r="AO4" s="91" t="s">
        <v>4</v>
      </c>
      <c r="AP4" s="91"/>
      <c r="AQ4" s="91"/>
      <c r="AR4" s="91"/>
      <c r="AS4" s="91"/>
      <c r="AT4" s="91"/>
      <c r="AU4" s="91"/>
      <c r="AV4" s="91"/>
      <c r="AW4" s="91"/>
      <c r="AY4" s="91" t="s">
        <v>5</v>
      </c>
      <c r="AZ4" s="91"/>
      <c r="BA4" s="91"/>
      <c r="BB4" s="91"/>
      <c r="BC4" s="91"/>
      <c r="BD4" s="91"/>
      <c r="BE4" s="91"/>
      <c r="BF4" s="91"/>
      <c r="BG4" s="91"/>
    </row>
    <row r="5" spans="1:59" x14ac:dyDescent="0.3">
      <c r="A5" s="91" t="s">
        <v>6</v>
      </c>
      <c r="B5" s="91"/>
      <c r="C5" s="91"/>
      <c r="D5" s="91"/>
      <c r="E5" s="91"/>
      <c r="F5" s="91"/>
      <c r="G5" s="91"/>
      <c r="H5" s="91"/>
      <c r="I5" s="91"/>
      <c r="K5" s="91" t="s">
        <v>6</v>
      </c>
      <c r="L5" s="91"/>
      <c r="M5" s="91"/>
      <c r="N5" s="91"/>
      <c r="O5" s="91"/>
      <c r="P5" s="91"/>
      <c r="Q5" s="91"/>
      <c r="R5" s="91"/>
      <c r="S5" s="91"/>
      <c r="U5" s="91" t="s">
        <v>6</v>
      </c>
      <c r="V5" s="91"/>
      <c r="W5" s="91"/>
      <c r="X5" s="91"/>
      <c r="Y5" s="91"/>
      <c r="Z5" s="91"/>
      <c r="AA5" s="91"/>
      <c r="AB5" s="91"/>
      <c r="AC5" s="91"/>
      <c r="AE5" s="91" t="s">
        <v>6</v>
      </c>
      <c r="AF5" s="91"/>
      <c r="AG5" s="91"/>
      <c r="AH5" s="91"/>
      <c r="AI5" s="91"/>
      <c r="AJ5" s="91"/>
      <c r="AK5" s="91"/>
      <c r="AL5" s="91"/>
      <c r="AM5" s="91"/>
      <c r="AO5" s="91" t="s">
        <v>6</v>
      </c>
      <c r="AP5" s="91"/>
      <c r="AQ5" s="91"/>
      <c r="AR5" s="91"/>
      <c r="AS5" s="91"/>
      <c r="AT5" s="91"/>
      <c r="AU5" s="91"/>
      <c r="AV5" s="91"/>
      <c r="AW5" s="91"/>
      <c r="AY5" s="91" t="s">
        <v>6</v>
      </c>
      <c r="AZ5" s="91"/>
      <c r="BA5" s="91"/>
      <c r="BB5" s="91"/>
      <c r="BC5" s="91"/>
      <c r="BD5" s="91"/>
      <c r="BE5" s="91"/>
      <c r="BF5" s="91"/>
      <c r="BG5" s="91"/>
    </row>
    <row r="6" spans="1:59" s="4" customFormat="1" ht="23.1" customHeight="1" x14ac:dyDescent="0.3">
      <c r="A6" s="2" t="s">
        <v>7</v>
      </c>
      <c r="B6" s="2" t="s">
        <v>8</v>
      </c>
      <c r="C6" s="3" t="s">
        <v>9</v>
      </c>
      <c r="D6" s="3" t="s">
        <v>24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  <c r="K6" s="2" t="s">
        <v>7</v>
      </c>
      <c r="L6" s="2" t="s">
        <v>8</v>
      </c>
      <c r="M6" s="3" t="s">
        <v>9</v>
      </c>
      <c r="N6" s="3" t="s">
        <v>24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U6" s="2" t="s">
        <v>7</v>
      </c>
      <c r="V6" s="2" t="s">
        <v>8</v>
      </c>
      <c r="W6" s="3" t="s">
        <v>9</v>
      </c>
      <c r="X6" s="3" t="s">
        <v>24</v>
      </c>
      <c r="Y6" s="2" t="s">
        <v>10</v>
      </c>
      <c r="Z6" s="2" t="s">
        <v>11</v>
      </c>
      <c r="AA6" s="2" t="s">
        <v>12</v>
      </c>
      <c r="AB6" s="2" t="s">
        <v>13</v>
      </c>
      <c r="AC6" s="2" t="s">
        <v>14</v>
      </c>
      <c r="AE6" s="2" t="s">
        <v>7</v>
      </c>
      <c r="AF6" s="2" t="s">
        <v>8</v>
      </c>
      <c r="AG6" s="3" t="s">
        <v>9</v>
      </c>
      <c r="AH6" s="3" t="s">
        <v>24</v>
      </c>
      <c r="AI6" s="2" t="s">
        <v>10</v>
      </c>
      <c r="AJ6" s="2" t="s">
        <v>11</v>
      </c>
      <c r="AK6" s="2" t="s">
        <v>12</v>
      </c>
      <c r="AL6" s="2" t="s">
        <v>13</v>
      </c>
      <c r="AM6" s="2" t="s">
        <v>14</v>
      </c>
      <c r="AO6" s="2" t="s">
        <v>7</v>
      </c>
      <c r="AP6" s="2" t="s">
        <v>8</v>
      </c>
      <c r="AQ6" s="3" t="s">
        <v>9</v>
      </c>
      <c r="AR6" s="3" t="s">
        <v>24</v>
      </c>
      <c r="AS6" s="2" t="s">
        <v>10</v>
      </c>
      <c r="AT6" s="2" t="s">
        <v>11</v>
      </c>
      <c r="AU6" s="2" t="s">
        <v>12</v>
      </c>
      <c r="AV6" s="2" t="s">
        <v>13</v>
      </c>
      <c r="AW6" s="2" t="s">
        <v>14</v>
      </c>
      <c r="AY6" s="2" t="s">
        <v>7</v>
      </c>
      <c r="AZ6" s="2" t="s">
        <v>8</v>
      </c>
      <c r="BA6" s="3" t="s">
        <v>9</v>
      </c>
      <c r="BB6" s="3" t="s">
        <v>24</v>
      </c>
      <c r="BC6" s="2" t="s">
        <v>10</v>
      </c>
      <c r="BD6" s="2" t="s">
        <v>11</v>
      </c>
      <c r="BE6" s="2" t="s">
        <v>12</v>
      </c>
      <c r="BF6" s="2" t="s">
        <v>13</v>
      </c>
      <c r="BG6" s="2" t="s">
        <v>14</v>
      </c>
    </row>
    <row r="7" spans="1:59" s="4" customFormat="1" ht="20.100000000000001" customHeight="1" x14ac:dyDescent="0.3">
      <c r="A7" s="5">
        <v>250067</v>
      </c>
      <c r="B7" s="5">
        <v>430</v>
      </c>
      <c r="C7" s="6">
        <v>0.5</v>
      </c>
      <c r="D7" s="6" t="s">
        <v>27</v>
      </c>
      <c r="E7" s="7" t="s">
        <v>75</v>
      </c>
      <c r="F7" s="5"/>
      <c r="G7" s="8">
        <v>1000</v>
      </c>
      <c r="H7" s="9">
        <v>1000</v>
      </c>
      <c r="I7" s="8">
        <f>G7-H7</f>
        <v>0</v>
      </c>
      <c r="K7" s="5">
        <v>250050</v>
      </c>
      <c r="L7" s="5">
        <v>304</v>
      </c>
      <c r="M7" s="5">
        <v>0.6</v>
      </c>
      <c r="N7" s="5" t="s">
        <v>27</v>
      </c>
      <c r="O7" s="7" t="s">
        <v>193</v>
      </c>
      <c r="P7" s="5"/>
      <c r="Q7" s="8">
        <v>900</v>
      </c>
      <c r="R7" s="19">
        <v>900</v>
      </c>
      <c r="S7" s="14">
        <f>Q7-R7</f>
        <v>0</v>
      </c>
      <c r="U7" s="5"/>
      <c r="V7" s="5"/>
      <c r="W7" s="6"/>
      <c r="X7" s="6"/>
      <c r="Y7" s="7"/>
      <c r="Z7" s="5"/>
      <c r="AA7" s="8"/>
      <c r="AB7" s="9"/>
      <c r="AC7" s="8">
        <f>AA7-AB7</f>
        <v>0</v>
      </c>
      <c r="AE7" s="5"/>
      <c r="AF7" s="5"/>
      <c r="AG7" s="6"/>
      <c r="AH7" s="6"/>
      <c r="AI7" s="7"/>
      <c r="AJ7" s="5"/>
      <c r="AK7" s="8"/>
      <c r="AL7" s="9"/>
      <c r="AM7" s="8">
        <f>AK7-AL7</f>
        <v>0</v>
      </c>
      <c r="AO7" s="5"/>
      <c r="AP7" s="5"/>
      <c r="AQ7" s="6"/>
      <c r="AR7" s="6"/>
      <c r="AS7" s="7"/>
      <c r="AT7" s="5"/>
      <c r="AU7" s="8"/>
      <c r="AV7" s="9"/>
      <c r="AW7" s="8">
        <f>AU7-AV7</f>
        <v>0</v>
      </c>
      <c r="AY7" s="5"/>
      <c r="AZ7" s="5"/>
      <c r="BA7" s="6"/>
      <c r="BB7" s="6"/>
      <c r="BC7" s="7"/>
      <c r="BD7" s="5"/>
      <c r="BE7" s="8"/>
      <c r="BF7" s="9"/>
      <c r="BG7" s="8">
        <f>BE7-BF7</f>
        <v>0</v>
      </c>
    </row>
    <row r="8" spans="1:59" s="4" customFormat="1" ht="20.100000000000001" customHeight="1" x14ac:dyDescent="0.3">
      <c r="A8" s="5">
        <v>250067</v>
      </c>
      <c r="B8" s="5">
        <v>430</v>
      </c>
      <c r="C8" s="6">
        <v>0.5</v>
      </c>
      <c r="D8" s="6" t="s">
        <v>27</v>
      </c>
      <c r="E8" s="7" t="s">
        <v>76</v>
      </c>
      <c r="F8" s="5"/>
      <c r="G8" s="8">
        <v>1000</v>
      </c>
      <c r="H8" s="9">
        <v>1000</v>
      </c>
      <c r="I8" s="8">
        <f t="shared" ref="I8:I12" si="0">G8-H8</f>
        <v>0</v>
      </c>
      <c r="K8" s="5">
        <v>250050</v>
      </c>
      <c r="L8" s="5">
        <v>430</v>
      </c>
      <c r="M8" s="5">
        <v>0.5</v>
      </c>
      <c r="N8" s="5" t="s">
        <v>27</v>
      </c>
      <c r="O8" s="7" t="s">
        <v>194</v>
      </c>
      <c r="P8" s="5"/>
      <c r="Q8" s="8">
        <v>900</v>
      </c>
      <c r="R8" s="9">
        <v>900</v>
      </c>
      <c r="S8" s="8">
        <f t="shared" ref="S8:S12" si="1">Q8-R8</f>
        <v>0</v>
      </c>
      <c r="U8" s="5"/>
      <c r="V8" s="5"/>
      <c r="W8" s="5"/>
      <c r="X8" s="5"/>
      <c r="Y8" s="7"/>
      <c r="Z8" s="5"/>
      <c r="AA8" s="8"/>
      <c r="AB8" s="9"/>
      <c r="AC8" s="8">
        <f t="shared" ref="AC8:AC12" si="2">AA8-AB8</f>
        <v>0</v>
      </c>
      <c r="AE8" s="5"/>
      <c r="AF8" s="5"/>
      <c r="AG8" s="5"/>
      <c r="AH8" s="5"/>
      <c r="AI8" s="7"/>
      <c r="AJ8" s="5"/>
      <c r="AK8" s="8"/>
      <c r="AL8" s="9"/>
      <c r="AM8" s="8">
        <f t="shared" ref="AM8:AM12" si="3">AK8-AL8</f>
        <v>0</v>
      </c>
      <c r="AO8" s="5"/>
      <c r="AP8" s="5"/>
      <c r="AQ8" s="5"/>
      <c r="AR8" s="5"/>
      <c r="AS8" s="7"/>
      <c r="AT8" s="5"/>
      <c r="AU8" s="8"/>
      <c r="AV8" s="9"/>
      <c r="AW8" s="8">
        <f t="shared" ref="AW8:AW12" si="4">AU8-AV8</f>
        <v>0</v>
      </c>
      <c r="AY8" s="5"/>
      <c r="AZ8" s="5"/>
      <c r="BA8" s="5"/>
      <c r="BB8" s="5"/>
      <c r="BC8" s="7"/>
      <c r="BD8" s="5"/>
      <c r="BE8" s="8"/>
      <c r="BF8" s="9"/>
      <c r="BG8" s="8">
        <f t="shared" ref="BG8:BG12" si="5">BE8-BF8</f>
        <v>0</v>
      </c>
    </row>
    <row r="9" spans="1:59" s="4" customFormat="1" ht="20.100000000000001" customHeight="1" x14ac:dyDescent="0.3">
      <c r="A9" s="5">
        <v>250063</v>
      </c>
      <c r="B9" s="5">
        <v>430</v>
      </c>
      <c r="C9" s="6">
        <v>0.5</v>
      </c>
      <c r="D9" s="6" t="s">
        <v>27</v>
      </c>
      <c r="E9" s="7" t="s">
        <v>85</v>
      </c>
      <c r="F9" s="5"/>
      <c r="G9" s="8">
        <v>1250</v>
      </c>
      <c r="H9" s="9">
        <v>1250</v>
      </c>
      <c r="I9" s="8">
        <f t="shared" si="0"/>
        <v>0</v>
      </c>
      <c r="K9" s="5">
        <v>250064</v>
      </c>
      <c r="L9" s="5">
        <v>430</v>
      </c>
      <c r="M9" s="6">
        <v>0.5</v>
      </c>
      <c r="N9" s="6" t="s">
        <v>27</v>
      </c>
      <c r="O9" s="7" t="s">
        <v>97</v>
      </c>
      <c r="P9" s="5"/>
      <c r="Q9" s="8">
        <v>1250</v>
      </c>
      <c r="R9" s="9">
        <v>1250</v>
      </c>
      <c r="S9" s="8">
        <f t="shared" si="1"/>
        <v>0</v>
      </c>
      <c r="U9" s="5"/>
      <c r="V9" s="5"/>
      <c r="W9" s="5"/>
      <c r="X9" s="5"/>
      <c r="Y9" s="7"/>
      <c r="Z9" s="5"/>
      <c r="AA9" s="8"/>
      <c r="AB9" s="9"/>
      <c r="AC9" s="8">
        <f t="shared" si="2"/>
        <v>0</v>
      </c>
      <c r="AE9" s="5"/>
      <c r="AF9" s="5"/>
      <c r="AG9" s="5"/>
      <c r="AH9" s="5"/>
      <c r="AI9" s="7"/>
      <c r="AJ9" s="5"/>
      <c r="AK9" s="8"/>
      <c r="AL9" s="9"/>
      <c r="AM9" s="8">
        <f t="shared" si="3"/>
        <v>0</v>
      </c>
      <c r="AO9" s="5"/>
      <c r="AP9" s="5"/>
      <c r="AQ9" s="5"/>
      <c r="AR9" s="5"/>
      <c r="AS9" s="7"/>
      <c r="AT9" s="5"/>
      <c r="AU9" s="8"/>
      <c r="AV9" s="9"/>
      <c r="AW9" s="8">
        <f t="shared" si="4"/>
        <v>0</v>
      </c>
      <c r="AY9" s="5"/>
      <c r="AZ9" s="5"/>
      <c r="BA9" s="5"/>
      <c r="BB9" s="5"/>
      <c r="BC9" s="7"/>
      <c r="BD9" s="5"/>
      <c r="BE9" s="8"/>
      <c r="BF9" s="9"/>
      <c r="BG9" s="8">
        <f t="shared" si="5"/>
        <v>0</v>
      </c>
    </row>
    <row r="10" spans="1:59" s="4" customFormat="1" ht="20.100000000000001" customHeight="1" x14ac:dyDescent="0.3">
      <c r="A10" s="5">
        <v>250063</v>
      </c>
      <c r="B10" s="5">
        <v>430</v>
      </c>
      <c r="C10" s="6">
        <v>0.5</v>
      </c>
      <c r="D10" s="6" t="s">
        <v>27</v>
      </c>
      <c r="E10" s="7" t="s">
        <v>86</v>
      </c>
      <c r="F10" s="5"/>
      <c r="G10" s="8">
        <v>1250</v>
      </c>
      <c r="H10" s="9">
        <v>1250</v>
      </c>
      <c r="I10" s="8">
        <f t="shared" si="0"/>
        <v>0</v>
      </c>
      <c r="K10" s="5">
        <v>250064</v>
      </c>
      <c r="L10" s="5">
        <v>430</v>
      </c>
      <c r="M10" s="6">
        <v>0.5</v>
      </c>
      <c r="N10" s="6" t="s">
        <v>27</v>
      </c>
      <c r="O10" s="7" t="s">
        <v>98</v>
      </c>
      <c r="P10" s="5"/>
      <c r="Q10" s="8">
        <v>1250</v>
      </c>
      <c r="R10" s="9">
        <v>1250</v>
      </c>
      <c r="S10" s="8">
        <f t="shared" si="1"/>
        <v>0</v>
      </c>
      <c r="U10" s="5"/>
      <c r="V10" s="5"/>
      <c r="W10" s="5"/>
      <c r="X10" s="5"/>
      <c r="Y10" s="7"/>
      <c r="Z10" s="5"/>
      <c r="AA10" s="8"/>
      <c r="AB10" s="9"/>
      <c r="AC10" s="8">
        <f t="shared" si="2"/>
        <v>0</v>
      </c>
      <c r="AE10" s="5"/>
      <c r="AF10" s="5"/>
      <c r="AG10" s="5"/>
      <c r="AH10" s="5"/>
      <c r="AI10" s="7"/>
      <c r="AJ10" s="5"/>
      <c r="AK10" s="8"/>
      <c r="AL10" s="9"/>
      <c r="AM10" s="8">
        <f t="shared" si="3"/>
        <v>0</v>
      </c>
      <c r="AO10" s="5"/>
      <c r="AP10" s="5"/>
      <c r="AQ10" s="5"/>
      <c r="AR10" s="5"/>
      <c r="AS10" s="7"/>
      <c r="AT10" s="5"/>
      <c r="AU10" s="8"/>
      <c r="AV10" s="9"/>
      <c r="AW10" s="8">
        <f t="shared" si="4"/>
        <v>0</v>
      </c>
      <c r="AY10" s="5"/>
      <c r="AZ10" s="5"/>
      <c r="BA10" s="5"/>
      <c r="BB10" s="5"/>
      <c r="BC10" s="7"/>
      <c r="BD10" s="5"/>
      <c r="BE10" s="8"/>
      <c r="BF10" s="9"/>
      <c r="BG10" s="8">
        <f t="shared" si="5"/>
        <v>0</v>
      </c>
    </row>
    <row r="11" spans="1:59" s="4" customFormat="1" ht="20.100000000000001" customHeight="1" x14ac:dyDescent="0.3">
      <c r="A11" s="5">
        <v>250063</v>
      </c>
      <c r="B11" s="5">
        <v>430</v>
      </c>
      <c r="C11" s="6">
        <v>0.5</v>
      </c>
      <c r="D11" s="6" t="s">
        <v>27</v>
      </c>
      <c r="E11" s="7" t="s">
        <v>87</v>
      </c>
      <c r="F11" s="5"/>
      <c r="G11" s="8">
        <v>1250</v>
      </c>
      <c r="H11" s="9">
        <v>1250</v>
      </c>
      <c r="I11" s="8">
        <f t="shared" si="0"/>
        <v>0</v>
      </c>
      <c r="K11" s="5">
        <v>250064</v>
      </c>
      <c r="L11" s="5">
        <v>430</v>
      </c>
      <c r="M11" s="6">
        <v>0.5</v>
      </c>
      <c r="N11" s="6" t="s">
        <v>27</v>
      </c>
      <c r="O11" s="7" t="s">
        <v>99</v>
      </c>
      <c r="P11" s="5"/>
      <c r="Q11" s="8">
        <v>1250</v>
      </c>
      <c r="R11" s="9">
        <v>1250</v>
      </c>
      <c r="S11" s="8">
        <f t="shared" si="1"/>
        <v>0</v>
      </c>
      <c r="U11" s="5"/>
      <c r="V11" s="5"/>
      <c r="W11" s="5"/>
      <c r="X11" s="5"/>
      <c r="Y11" s="7"/>
      <c r="Z11" s="5"/>
      <c r="AA11" s="8"/>
      <c r="AB11" s="9"/>
      <c r="AC11" s="8">
        <f t="shared" si="2"/>
        <v>0</v>
      </c>
      <c r="AE11" s="5"/>
      <c r="AF11" s="5"/>
      <c r="AG11" s="5"/>
      <c r="AH11" s="5"/>
      <c r="AI11" s="7"/>
      <c r="AJ11" s="5"/>
      <c r="AK11" s="8"/>
      <c r="AL11" s="9"/>
      <c r="AM11" s="8">
        <f t="shared" si="3"/>
        <v>0</v>
      </c>
      <c r="AO11" s="5"/>
      <c r="AP11" s="5"/>
      <c r="AQ11" s="5"/>
      <c r="AR11" s="5"/>
      <c r="AS11" s="7"/>
      <c r="AT11" s="5"/>
      <c r="AU11" s="8"/>
      <c r="AV11" s="9"/>
      <c r="AW11" s="8">
        <f t="shared" si="4"/>
        <v>0</v>
      </c>
      <c r="AY11" s="5"/>
      <c r="AZ11" s="5"/>
      <c r="BA11" s="5"/>
      <c r="BB11" s="5"/>
      <c r="BC11" s="7"/>
      <c r="BD11" s="5"/>
      <c r="BE11" s="8"/>
      <c r="BF11" s="9"/>
      <c r="BG11" s="8">
        <f t="shared" si="5"/>
        <v>0</v>
      </c>
    </row>
    <row r="12" spans="1:59" s="4" customFormat="1" ht="20.100000000000001" customHeight="1" x14ac:dyDescent="0.3">
      <c r="A12" s="5">
        <v>250063</v>
      </c>
      <c r="B12" s="5">
        <v>430</v>
      </c>
      <c r="C12" s="6">
        <v>0.5</v>
      </c>
      <c r="D12" s="6" t="s">
        <v>27</v>
      </c>
      <c r="E12" s="7" t="s">
        <v>88</v>
      </c>
      <c r="F12" s="5"/>
      <c r="G12" s="8">
        <v>1000</v>
      </c>
      <c r="H12" s="9">
        <v>1000</v>
      </c>
      <c r="I12" s="8">
        <f t="shared" si="0"/>
        <v>0</v>
      </c>
      <c r="K12" s="5">
        <v>250064</v>
      </c>
      <c r="L12" s="5">
        <v>430</v>
      </c>
      <c r="M12" s="6">
        <v>0.5</v>
      </c>
      <c r="N12" s="6" t="s">
        <v>27</v>
      </c>
      <c r="O12" s="7" t="s">
        <v>100</v>
      </c>
      <c r="P12" s="5"/>
      <c r="Q12" s="8">
        <v>1000</v>
      </c>
      <c r="R12" s="9">
        <v>1250</v>
      </c>
      <c r="S12" s="8">
        <f t="shared" si="1"/>
        <v>-250</v>
      </c>
      <c r="U12" s="5"/>
      <c r="V12" s="5"/>
      <c r="W12" s="5"/>
      <c r="X12" s="5"/>
      <c r="Y12" s="7"/>
      <c r="Z12" s="5"/>
      <c r="AA12" s="8"/>
      <c r="AB12" s="9"/>
      <c r="AC12" s="8">
        <f t="shared" si="2"/>
        <v>0</v>
      </c>
      <c r="AE12" s="5"/>
      <c r="AF12" s="5"/>
      <c r="AG12" s="5"/>
      <c r="AH12" s="5"/>
      <c r="AI12" s="7"/>
      <c r="AJ12" s="5"/>
      <c r="AK12" s="8"/>
      <c r="AL12" s="9"/>
      <c r="AM12" s="8">
        <f t="shared" si="3"/>
        <v>0</v>
      </c>
      <c r="AO12" s="5"/>
      <c r="AP12" s="5"/>
      <c r="AQ12" s="5"/>
      <c r="AR12" s="5"/>
      <c r="AS12" s="7"/>
      <c r="AT12" s="5"/>
      <c r="AU12" s="8"/>
      <c r="AV12" s="9"/>
      <c r="AW12" s="8">
        <f t="shared" si="4"/>
        <v>0</v>
      </c>
      <c r="AY12" s="5"/>
      <c r="AZ12" s="5"/>
      <c r="BA12" s="5"/>
      <c r="BB12" s="5"/>
      <c r="BC12" s="7"/>
      <c r="BD12" s="5"/>
      <c r="BE12" s="8"/>
      <c r="BF12" s="9"/>
      <c r="BG12" s="8">
        <f t="shared" si="5"/>
        <v>0</v>
      </c>
    </row>
    <row r="13" spans="1:59" s="4" customFormat="1" ht="20.100000000000001" customHeight="1" x14ac:dyDescent="0.3">
      <c r="A13" s="5"/>
      <c r="B13" s="5"/>
      <c r="C13" s="5"/>
      <c r="D13" s="5"/>
      <c r="E13" s="7"/>
      <c r="F13" s="5"/>
      <c r="G13" s="8">
        <f>SUM(G7:G12)</f>
        <v>6750</v>
      </c>
      <c r="H13" s="9">
        <f>SUM(H7:H12)</f>
        <v>6750</v>
      </c>
      <c r="I13" s="8">
        <f>SUM(I7:I12)</f>
        <v>0</v>
      </c>
      <c r="K13" s="5"/>
      <c r="L13" s="5"/>
      <c r="M13" s="5"/>
      <c r="N13" s="5"/>
      <c r="O13" s="7"/>
      <c r="P13" s="5"/>
      <c r="Q13" s="8">
        <f>SUM(Q7:Q12)</f>
        <v>6550</v>
      </c>
      <c r="R13" s="9">
        <f>SUM(R7:R12)</f>
        <v>6800</v>
      </c>
      <c r="S13" s="8">
        <f>SUM(S7:S12)</f>
        <v>-250</v>
      </c>
      <c r="U13" s="5"/>
      <c r="V13" s="5"/>
      <c r="W13" s="5"/>
      <c r="X13" s="5"/>
      <c r="Y13" s="7"/>
      <c r="Z13" s="5"/>
      <c r="AA13" s="8">
        <f>SUM(AA7:AA12)</f>
        <v>0</v>
      </c>
      <c r="AB13" s="9">
        <f>SUM(AB7:AB12)</f>
        <v>0</v>
      </c>
      <c r="AC13" s="8">
        <f>SUM(AC7:AC12)</f>
        <v>0</v>
      </c>
      <c r="AE13" s="5"/>
      <c r="AF13" s="5"/>
      <c r="AG13" s="5"/>
      <c r="AH13" s="5"/>
      <c r="AI13" s="7"/>
      <c r="AJ13" s="5"/>
      <c r="AK13" s="8">
        <f>SUM(AK7:AK12)</f>
        <v>0</v>
      </c>
      <c r="AL13" s="9">
        <f>SUM(AL7:AL12)</f>
        <v>0</v>
      </c>
      <c r="AM13" s="8">
        <f>SUM(AM7:AM12)</f>
        <v>0</v>
      </c>
      <c r="AO13" s="5"/>
      <c r="AP13" s="5"/>
      <c r="AQ13" s="5"/>
      <c r="AR13" s="5"/>
      <c r="AS13" s="7"/>
      <c r="AT13" s="5"/>
      <c r="AU13" s="8">
        <f>SUM(AU7:AU12)</f>
        <v>0</v>
      </c>
      <c r="AV13" s="9">
        <f>SUM(AV7:AV12)</f>
        <v>0</v>
      </c>
      <c r="AW13" s="8">
        <f>SUM(AW7:AW12)</f>
        <v>0</v>
      </c>
      <c r="AY13" s="5"/>
      <c r="AZ13" s="5"/>
      <c r="BA13" s="5"/>
      <c r="BB13" s="5"/>
      <c r="BC13" s="7"/>
      <c r="BD13" s="5"/>
      <c r="BE13" s="8">
        <f>SUM(BE7:BE12)</f>
        <v>0</v>
      </c>
      <c r="BF13" s="9">
        <f>SUM(BF7:BF12)</f>
        <v>0</v>
      </c>
      <c r="BG13" s="8">
        <f>SUM(BG7:BG12)</f>
        <v>0</v>
      </c>
    </row>
    <row r="16" spans="1:59" x14ac:dyDescent="0.3">
      <c r="A16" s="91" t="s">
        <v>0</v>
      </c>
      <c r="B16" s="91"/>
      <c r="C16" s="91"/>
      <c r="D16" s="91"/>
      <c r="E16" s="91"/>
      <c r="F16" s="91"/>
      <c r="G16" s="91"/>
      <c r="H16" s="91"/>
      <c r="I16" s="91"/>
      <c r="K16" s="91" t="s">
        <v>1</v>
      </c>
      <c r="L16" s="91"/>
      <c r="M16" s="91"/>
      <c r="N16" s="91"/>
      <c r="O16" s="91"/>
      <c r="P16" s="91"/>
      <c r="Q16" s="91"/>
      <c r="R16" s="91"/>
      <c r="S16" s="91"/>
      <c r="U16" s="91" t="s">
        <v>2</v>
      </c>
      <c r="V16" s="91"/>
      <c r="W16" s="91"/>
      <c r="X16" s="91"/>
      <c r="Y16" s="91"/>
      <c r="Z16" s="91"/>
      <c r="AA16" s="91"/>
      <c r="AB16" s="91"/>
      <c r="AC16" s="91"/>
      <c r="AE16" s="91" t="s">
        <v>3</v>
      </c>
      <c r="AF16" s="91"/>
      <c r="AG16" s="91"/>
      <c r="AH16" s="91"/>
      <c r="AI16" s="91"/>
      <c r="AJ16" s="91"/>
      <c r="AK16" s="91"/>
      <c r="AL16" s="91"/>
      <c r="AM16" s="91"/>
      <c r="AO16" s="91" t="s">
        <v>4</v>
      </c>
      <c r="AP16" s="91"/>
      <c r="AQ16" s="91"/>
      <c r="AR16" s="91"/>
      <c r="AS16" s="91"/>
      <c r="AT16" s="91"/>
      <c r="AU16" s="91"/>
      <c r="AV16" s="91"/>
      <c r="AW16" s="91"/>
      <c r="AY16" s="91" t="s">
        <v>5</v>
      </c>
      <c r="AZ16" s="91"/>
      <c r="BA16" s="91"/>
      <c r="BB16" s="91"/>
      <c r="BC16" s="91"/>
      <c r="BD16" s="91"/>
      <c r="BE16" s="91"/>
      <c r="BF16" s="91"/>
      <c r="BG16" s="91"/>
    </row>
    <row r="17" spans="1:59" x14ac:dyDescent="0.3">
      <c r="A17" s="91" t="s">
        <v>15</v>
      </c>
      <c r="B17" s="91"/>
      <c r="C17" s="91"/>
      <c r="D17" s="91"/>
      <c r="E17" s="91"/>
      <c r="F17" s="91"/>
      <c r="G17" s="91"/>
      <c r="H17" s="91"/>
      <c r="I17" s="91"/>
      <c r="K17" s="91" t="s">
        <v>15</v>
      </c>
      <c r="L17" s="91"/>
      <c r="M17" s="91"/>
      <c r="N17" s="91"/>
      <c r="O17" s="91"/>
      <c r="P17" s="91"/>
      <c r="Q17" s="91"/>
      <c r="R17" s="91"/>
      <c r="S17" s="91"/>
      <c r="U17" s="91" t="s">
        <v>15</v>
      </c>
      <c r="V17" s="91"/>
      <c r="W17" s="91"/>
      <c r="X17" s="91"/>
      <c r="Y17" s="91"/>
      <c r="Z17" s="91"/>
      <c r="AA17" s="91"/>
      <c r="AB17" s="91"/>
      <c r="AC17" s="91"/>
      <c r="AE17" s="91" t="s">
        <v>15</v>
      </c>
      <c r="AF17" s="91"/>
      <c r="AG17" s="91"/>
      <c r="AH17" s="91"/>
      <c r="AI17" s="91"/>
      <c r="AJ17" s="91"/>
      <c r="AK17" s="91"/>
      <c r="AL17" s="91"/>
      <c r="AM17" s="91"/>
      <c r="AO17" s="91" t="s">
        <v>15</v>
      </c>
      <c r="AP17" s="91"/>
      <c r="AQ17" s="91"/>
      <c r="AR17" s="91"/>
      <c r="AS17" s="91"/>
      <c r="AT17" s="91"/>
      <c r="AU17" s="91"/>
      <c r="AV17" s="91"/>
      <c r="AW17" s="91"/>
      <c r="AY17" s="91" t="s">
        <v>15</v>
      </c>
      <c r="AZ17" s="91"/>
      <c r="BA17" s="91"/>
      <c r="BB17" s="91"/>
      <c r="BC17" s="91"/>
      <c r="BD17" s="91"/>
      <c r="BE17" s="91"/>
      <c r="BF17" s="91"/>
      <c r="BG17" s="91"/>
    </row>
    <row r="18" spans="1:59" s="4" customFormat="1" ht="23.1" customHeight="1" x14ac:dyDescent="0.3">
      <c r="A18" s="2" t="s">
        <v>7</v>
      </c>
      <c r="B18" s="2" t="s">
        <v>8</v>
      </c>
      <c r="C18" s="3" t="s">
        <v>9</v>
      </c>
      <c r="D18" s="3" t="s">
        <v>24</v>
      </c>
      <c r="E18" s="2" t="s">
        <v>10</v>
      </c>
      <c r="F18" s="2" t="s">
        <v>11</v>
      </c>
      <c r="G18" s="2" t="s">
        <v>12</v>
      </c>
      <c r="H18" s="2" t="s">
        <v>13</v>
      </c>
      <c r="I18" s="2" t="s">
        <v>14</v>
      </c>
      <c r="K18" s="2" t="s">
        <v>7</v>
      </c>
      <c r="L18" s="2" t="s">
        <v>8</v>
      </c>
      <c r="M18" s="3" t="s">
        <v>9</v>
      </c>
      <c r="N18" s="3" t="s">
        <v>24</v>
      </c>
      <c r="O18" s="2" t="s">
        <v>10</v>
      </c>
      <c r="P18" s="2" t="s">
        <v>11</v>
      </c>
      <c r="Q18" s="2" t="s">
        <v>12</v>
      </c>
      <c r="R18" s="2" t="s">
        <v>13</v>
      </c>
      <c r="S18" s="2" t="s">
        <v>14</v>
      </c>
      <c r="U18" s="2" t="s">
        <v>7</v>
      </c>
      <c r="V18" s="2" t="s">
        <v>8</v>
      </c>
      <c r="W18" s="3" t="s">
        <v>9</v>
      </c>
      <c r="X18" s="3" t="s">
        <v>24</v>
      </c>
      <c r="Y18" s="2" t="s">
        <v>10</v>
      </c>
      <c r="Z18" s="2" t="s">
        <v>11</v>
      </c>
      <c r="AA18" s="2" t="s">
        <v>12</v>
      </c>
      <c r="AB18" s="2" t="s">
        <v>13</v>
      </c>
      <c r="AC18" s="2" t="s">
        <v>14</v>
      </c>
      <c r="AE18" s="2" t="s">
        <v>7</v>
      </c>
      <c r="AF18" s="2" t="s">
        <v>8</v>
      </c>
      <c r="AG18" s="3" t="s">
        <v>9</v>
      </c>
      <c r="AH18" s="3" t="s">
        <v>24</v>
      </c>
      <c r="AI18" s="2" t="s">
        <v>10</v>
      </c>
      <c r="AJ18" s="2" t="s">
        <v>11</v>
      </c>
      <c r="AK18" s="2" t="s">
        <v>12</v>
      </c>
      <c r="AL18" s="2" t="s">
        <v>13</v>
      </c>
      <c r="AM18" s="2" t="s">
        <v>14</v>
      </c>
      <c r="AO18" s="2" t="s">
        <v>7</v>
      </c>
      <c r="AP18" s="2" t="s">
        <v>8</v>
      </c>
      <c r="AQ18" s="3" t="s">
        <v>9</v>
      </c>
      <c r="AR18" s="3" t="s">
        <v>24</v>
      </c>
      <c r="AS18" s="2" t="s">
        <v>10</v>
      </c>
      <c r="AT18" s="2" t="s">
        <v>11</v>
      </c>
      <c r="AU18" s="2" t="s">
        <v>12</v>
      </c>
      <c r="AV18" s="2" t="s">
        <v>13</v>
      </c>
      <c r="AW18" s="2" t="s">
        <v>14</v>
      </c>
      <c r="AY18" s="2" t="s">
        <v>7</v>
      </c>
      <c r="AZ18" s="2" t="s">
        <v>8</v>
      </c>
      <c r="BA18" s="3" t="s">
        <v>9</v>
      </c>
      <c r="BB18" s="3" t="s">
        <v>24</v>
      </c>
      <c r="BC18" s="2" t="s">
        <v>10</v>
      </c>
      <c r="BD18" s="2" t="s">
        <v>11</v>
      </c>
      <c r="BE18" s="2" t="s">
        <v>12</v>
      </c>
      <c r="BF18" s="2" t="s">
        <v>13</v>
      </c>
      <c r="BG18" s="2" t="s">
        <v>14</v>
      </c>
    </row>
    <row r="19" spans="1:59" s="4" customFormat="1" ht="20.100000000000001" customHeight="1" x14ac:dyDescent="0.3">
      <c r="A19" s="5">
        <v>250049</v>
      </c>
      <c r="B19" s="5">
        <v>304</v>
      </c>
      <c r="C19" s="6">
        <v>0.7</v>
      </c>
      <c r="D19" s="6" t="s">
        <v>25</v>
      </c>
      <c r="E19" s="7" t="s">
        <v>182</v>
      </c>
      <c r="F19" s="5">
        <v>304</v>
      </c>
      <c r="G19" s="8">
        <v>790</v>
      </c>
      <c r="H19" s="9">
        <v>790</v>
      </c>
      <c r="I19" s="8">
        <f>G19-H19</f>
        <v>0</v>
      </c>
      <c r="K19" s="5">
        <v>250051</v>
      </c>
      <c r="L19" s="5">
        <v>304</v>
      </c>
      <c r="M19" s="6">
        <v>0.7</v>
      </c>
      <c r="N19" s="6" t="s">
        <v>25</v>
      </c>
      <c r="O19" s="7" t="s">
        <v>196</v>
      </c>
      <c r="P19" s="5">
        <v>304</v>
      </c>
      <c r="Q19" s="8">
        <v>900</v>
      </c>
      <c r="R19" s="9">
        <v>900</v>
      </c>
      <c r="S19" s="8">
        <f>Q19-R19</f>
        <v>0</v>
      </c>
      <c r="U19" s="5">
        <v>250053</v>
      </c>
      <c r="V19" s="5">
        <v>304</v>
      </c>
      <c r="W19" s="6">
        <v>0.7</v>
      </c>
      <c r="X19" s="6" t="s">
        <v>25</v>
      </c>
      <c r="Y19" s="7" t="s">
        <v>196</v>
      </c>
      <c r="Z19" s="5">
        <v>304</v>
      </c>
      <c r="AA19" s="8">
        <v>720</v>
      </c>
      <c r="AB19" s="9">
        <v>720</v>
      </c>
      <c r="AC19" s="8">
        <f>AA19-AB19</f>
        <v>0</v>
      </c>
      <c r="AE19" s="5">
        <v>250054</v>
      </c>
      <c r="AF19" s="5">
        <v>304</v>
      </c>
      <c r="AG19" s="6">
        <v>0.7</v>
      </c>
      <c r="AH19" s="6" t="s">
        <v>25</v>
      </c>
      <c r="AI19" s="7" t="s">
        <v>208</v>
      </c>
      <c r="AJ19" s="5">
        <v>304</v>
      </c>
      <c r="AK19" s="8">
        <v>825</v>
      </c>
      <c r="AL19" s="9">
        <v>825</v>
      </c>
      <c r="AM19" s="8">
        <f>AK19-AL19</f>
        <v>0</v>
      </c>
      <c r="AO19" s="5"/>
      <c r="AP19" s="5"/>
      <c r="AQ19" s="6"/>
      <c r="AR19" s="6"/>
      <c r="AS19" s="7"/>
      <c r="AT19" s="5"/>
      <c r="AU19" s="8"/>
      <c r="AV19" s="9"/>
      <c r="AW19" s="8">
        <f>AU19-AV19</f>
        <v>0</v>
      </c>
      <c r="AY19" s="5"/>
      <c r="AZ19" s="5"/>
      <c r="BA19" s="6"/>
      <c r="BB19" s="6"/>
      <c r="BC19" s="7"/>
      <c r="BD19" s="5"/>
      <c r="BE19" s="8"/>
      <c r="BF19" s="9"/>
      <c r="BG19" s="8">
        <f>BE19-BF19</f>
        <v>0</v>
      </c>
    </row>
    <row r="20" spans="1:59" s="4" customFormat="1" ht="20.100000000000001" customHeight="1" x14ac:dyDescent="0.3">
      <c r="A20" s="5">
        <v>250049</v>
      </c>
      <c r="B20" s="5">
        <v>304</v>
      </c>
      <c r="C20" s="6">
        <v>0.7</v>
      </c>
      <c r="D20" s="6" t="s">
        <v>25</v>
      </c>
      <c r="E20" s="7" t="s">
        <v>183</v>
      </c>
      <c r="F20" s="5">
        <v>304</v>
      </c>
      <c r="G20" s="8">
        <v>790</v>
      </c>
      <c r="H20" s="9">
        <v>790</v>
      </c>
      <c r="I20" s="8">
        <f t="shared" ref="I20:I24" si="6">G20-H20</f>
        <v>0</v>
      </c>
      <c r="K20" s="5">
        <v>250051</v>
      </c>
      <c r="L20" s="5">
        <v>304</v>
      </c>
      <c r="M20" s="6">
        <v>0.7</v>
      </c>
      <c r="N20" s="6" t="s">
        <v>25</v>
      </c>
      <c r="O20" s="7" t="s">
        <v>197</v>
      </c>
      <c r="P20" s="5">
        <v>304</v>
      </c>
      <c r="Q20" s="8">
        <v>900</v>
      </c>
      <c r="R20" s="9">
        <v>900</v>
      </c>
      <c r="S20" s="8">
        <f t="shared" ref="S20:S24" si="7">Q20-R20</f>
        <v>0</v>
      </c>
      <c r="U20" s="5">
        <v>250053</v>
      </c>
      <c r="V20" s="5">
        <v>304</v>
      </c>
      <c r="W20" s="6">
        <v>0.7</v>
      </c>
      <c r="X20" s="6" t="s">
        <v>25</v>
      </c>
      <c r="Y20" s="7" t="s">
        <v>197</v>
      </c>
      <c r="Z20" s="5">
        <v>304</v>
      </c>
      <c r="AA20" s="8">
        <v>720</v>
      </c>
      <c r="AB20" s="9">
        <v>720</v>
      </c>
      <c r="AC20" s="8">
        <f t="shared" ref="AC20:AC24" si="8">AA20-AB20</f>
        <v>0</v>
      </c>
      <c r="AE20" s="5">
        <v>250054</v>
      </c>
      <c r="AF20" s="5">
        <v>304</v>
      </c>
      <c r="AG20" s="6">
        <v>0.7</v>
      </c>
      <c r="AH20" s="6" t="s">
        <v>25</v>
      </c>
      <c r="AI20" s="7" t="s">
        <v>209</v>
      </c>
      <c r="AJ20" s="5">
        <v>304</v>
      </c>
      <c r="AK20" s="8">
        <v>825</v>
      </c>
      <c r="AL20" s="9">
        <v>825</v>
      </c>
      <c r="AM20" s="8">
        <f t="shared" ref="AM20:AM24" si="9">AK20-AL20</f>
        <v>0</v>
      </c>
      <c r="AO20" s="5"/>
      <c r="AP20" s="5"/>
      <c r="AQ20" s="5"/>
      <c r="AR20" s="5"/>
      <c r="AS20" s="7"/>
      <c r="AT20" s="5"/>
      <c r="AU20" s="8"/>
      <c r="AV20" s="9"/>
      <c r="AW20" s="8">
        <f t="shared" ref="AW20:AW24" si="10">AU20-AV20</f>
        <v>0</v>
      </c>
      <c r="AY20" s="5"/>
      <c r="AZ20" s="5"/>
      <c r="BA20" s="5"/>
      <c r="BB20" s="5"/>
      <c r="BC20" s="7"/>
      <c r="BD20" s="5"/>
      <c r="BE20" s="8"/>
      <c r="BF20" s="9"/>
      <c r="BG20" s="8">
        <f t="shared" ref="BG20:BG24" si="11">BE20-BF20</f>
        <v>0</v>
      </c>
    </row>
    <row r="21" spans="1:59" s="4" customFormat="1" ht="20.100000000000001" customHeight="1" x14ac:dyDescent="0.3">
      <c r="A21" s="5">
        <v>250049</v>
      </c>
      <c r="B21" s="5">
        <v>304</v>
      </c>
      <c r="C21" s="6">
        <v>0.7</v>
      </c>
      <c r="D21" s="6" t="s">
        <v>25</v>
      </c>
      <c r="E21" s="7" t="s">
        <v>184</v>
      </c>
      <c r="F21" s="5">
        <v>304</v>
      </c>
      <c r="G21" s="8">
        <v>790</v>
      </c>
      <c r="H21" s="9">
        <v>790</v>
      </c>
      <c r="I21" s="8">
        <f t="shared" si="6"/>
        <v>0</v>
      </c>
      <c r="K21" s="5">
        <v>250051</v>
      </c>
      <c r="L21" s="5">
        <v>304</v>
      </c>
      <c r="M21" s="6">
        <v>0.7</v>
      </c>
      <c r="N21" s="6" t="s">
        <v>25</v>
      </c>
      <c r="O21" s="7" t="s">
        <v>198</v>
      </c>
      <c r="P21" s="5">
        <v>304</v>
      </c>
      <c r="Q21" s="8">
        <v>900</v>
      </c>
      <c r="R21" s="9">
        <v>900</v>
      </c>
      <c r="S21" s="8">
        <f t="shared" si="7"/>
        <v>0</v>
      </c>
      <c r="U21" s="5">
        <v>250053</v>
      </c>
      <c r="V21" s="5">
        <v>304</v>
      </c>
      <c r="W21" s="6">
        <v>0.7</v>
      </c>
      <c r="X21" s="6" t="s">
        <v>25</v>
      </c>
      <c r="Y21" s="7" t="s">
        <v>198</v>
      </c>
      <c r="Z21" s="5">
        <v>304</v>
      </c>
      <c r="AA21" s="8">
        <v>720</v>
      </c>
      <c r="AB21" s="9">
        <v>720</v>
      </c>
      <c r="AC21" s="8">
        <f t="shared" si="8"/>
        <v>0</v>
      </c>
      <c r="AE21" s="10"/>
      <c r="AF21" s="10"/>
      <c r="AG21" s="15"/>
      <c r="AH21" s="15"/>
      <c r="AI21" s="16"/>
      <c r="AJ21" s="10"/>
      <c r="AK21" s="17"/>
      <c r="AL21" s="18"/>
      <c r="AM21" s="17">
        <f t="shared" si="9"/>
        <v>0</v>
      </c>
      <c r="AO21" s="5"/>
      <c r="AP21" s="5"/>
      <c r="AQ21" s="5"/>
      <c r="AR21" s="5"/>
      <c r="AS21" s="7"/>
      <c r="AT21" s="5"/>
      <c r="AU21" s="8"/>
      <c r="AV21" s="9"/>
      <c r="AW21" s="8">
        <f t="shared" si="10"/>
        <v>0</v>
      </c>
      <c r="AY21" s="5"/>
      <c r="AZ21" s="5"/>
      <c r="BA21" s="5"/>
      <c r="BB21" s="5"/>
      <c r="BC21" s="7"/>
      <c r="BD21" s="5"/>
      <c r="BE21" s="8"/>
      <c r="BF21" s="9"/>
      <c r="BG21" s="8">
        <f t="shared" si="11"/>
        <v>0</v>
      </c>
    </row>
    <row r="22" spans="1:59" s="20" customFormat="1" ht="20.100000000000001" customHeight="1" x14ac:dyDescent="0.3">
      <c r="A22" s="11"/>
      <c r="B22" s="11"/>
      <c r="C22" s="12"/>
      <c r="D22" s="12"/>
      <c r="E22" s="13"/>
      <c r="F22" s="11"/>
      <c r="G22" s="14"/>
      <c r="H22" s="19"/>
      <c r="I22" s="14">
        <f t="shared" si="6"/>
        <v>0</v>
      </c>
      <c r="K22" s="11"/>
      <c r="L22" s="11"/>
      <c r="M22" s="12"/>
      <c r="N22" s="12"/>
      <c r="O22" s="13"/>
      <c r="P22" s="11"/>
      <c r="Q22" s="14"/>
      <c r="R22" s="19"/>
      <c r="S22" s="14">
        <f t="shared" si="7"/>
        <v>0</v>
      </c>
      <c r="U22" s="11"/>
      <c r="V22" s="11"/>
      <c r="W22" s="12"/>
      <c r="X22" s="12"/>
      <c r="Y22" s="13"/>
      <c r="Z22" s="11"/>
      <c r="AA22" s="14"/>
      <c r="AB22" s="19"/>
      <c r="AC22" s="14">
        <f t="shared" si="8"/>
        <v>0</v>
      </c>
      <c r="AE22" s="11"/>
      <c r="AF22" s="11"/>
      <c r="AG22" s="12"/>
      <c r="AH22" s="12"/>
      <c r="AI22" s="13"/>
      <c r="AJ22" s="11"/>
      <c r="AK22" s="14"/>
      <c r="AL22" s="19"/>
      <c r="AM22" s="14">
        <f t="shared" si="9"/>
        <v>0</v>
      </c>
      <c r="AO22" s="11"/>
      <c r="AP22" s="11"/>
      <c r="AQ22" s="11"/>
      <c r="AR22" s="11"/>
      <c r="AS22" s="13"/>
      <c r="AT22" s="11"/>
      <c r="AU22" s="14"/>
      <c r="AV22" s="19"/>
      <c r="AW22" s="14">
        <f t="shared" si="10"/>
        <v>0</v>
      </c>
      <c r="AY22" s="11"/>
      <c r="AZ22" s="11"/>
      <c r="BA22" s="11"/>
      <c r="BB22" s="11"/>
      <c r="BC22" s="13"/>
      <c r="BD22" s="11"/>
      <c r="BE22" s="14"/>
      <c r="BF22" s="19"/>
      <c r="BG22" s="14">
        <f t="shared" si="11"/>
        <v>0</v>
      </c>
    </row>
    <row r="23" spans="1:59" s="20" customFormat="1" ht="20.100000000000001" customHeight="1" x14ac:dyDescent="0.3">
      <c r="A23" s="11"/>
      <c r="B23" s="11"/>
      <c r="C23" s="12"/>
      <c r="D23" s="12"/>
      <c r="E23" s="13"/>
      <c r="F23" s="11"/>
      <c r="G23" s="14"/>
      <c r="H23" s="19"/>
      <c r="I23" s="14">
        <f t="shared" si="6"/>
        <v>0</v>
      </c>
      <c r="K23" s="11"/>
      <c r="L23" s="11"/>
      <c r="M23" s="12"/>
      <c r="N23" s="12"/>
      <c r="O23" s="13"/>
      <c r="P23" s="11"/>
      <c r="Q23" s="14"/>
      <c r="R23" s="19"/>
      <c r="S23" s="14">
        <f t="shared" si="7"/>
        <v>0</v>
      </c>
      <c r="U23" s="11"/>
      <c r="V23" s="11"/>
      <c r="W23" s="12"/>
      <c r="X23" s="12"/>
      <c r="Y23" s="13"/>
      <c r="Z23" s="11"/>
      <c r="AA23" s="14"/>
      <c r="AB23" s="19"/>
      <c r="AC23" s="14">
        <f t="shared" si="8"/>
        <v>0</v>
      </c>
      <c r="AE23" s="11"/>
      <c r="AF23" s="11"/>
      <c r="AG23" s="12"/>
      <c r="AH23" s="12"/>
      <c r="AI23" s="13"/>
      <c r="AJ23" s="11"/>
      <c r="AK23" s="14"/>
      <c r="AL23" s="19"/>
      <c r="AM23" s="14">
        <f t="shared" si="9"/>
        <v>0</v>
      </c>
      <c r="AO23" s="11"/>
      <c r="AP23" s="11"/>
      <c r="AQ23" s="11"/>
      <c r="AR23" s="11"/>
      <c r="AS23" s="13"/>
      <c r="AT23" s="11"/>
      <c r="AU23" s="14"/>
      <c r="AV23" s="19"/>
      <c r="AW23" s="14">
        <f t="shared" si="10"/>
        <v>0</v>
      </c>
      <c r="AY23" s="11"/>
      <c r="AZ23" s="11"/>
      <c r="BA23" s="11"/>
      <c r="BB23" s="11"/>
      <c r="BC23" s="13"/>
      <c r="BD23" s="11"/>
      <c r="BE23" s="14"/>
      <c r="BF23" s="19"/>
      <c r="BG23" s="14">
        <f t="shared" si="11"/>
        <v>0</v>
      </c>
    </row>
    <row r="24" spans="1:59" s="4" customFormat="1" ht="20.100000000000001" customHeight="1" x14ac:dyDescent="0.3">
      <c r="A24" s="5"/>
      <c r="B24" s="5"/>
      <c r="C24" s="5"/>
      <c r="D24" s="5"/>
      <c r="E24" s="7"/>
      <c r="F24" s="5"/>
      <c r="G24" s="8"/>
      <c r="H24" s="9"/>
      <c r="I24" s="8">
        <f t="shared" si="6"/>
        <v>0</v>
      </c>
      <c r="K24" s="5"/>
      <c r="L24" s="5"/>
      <c r="M24" s="5"/>
      <c r="N24" s="5"/>
      <c r="O24" s="7"/>
      <c r="P24" s="5"/>
      <c r="Q24" s="8"/>
      <c r="R24" s="9"/>
      <c r="S24" s="8">
        <f t="shared" si="7"/>
        <v>0</v>
      </c>
      <c r="U24" s="5"/>
      <c r="V24" s="5"/>
      <c r="W24" s="5"/>
      <c r="X24" s="5"/>
      <c r="Y24" s="7"/>
      <c r="Z24" s="5"/>
      <c r="AA24" s="8"/>
      <c r="AB24" s="9"/>
      <c r="AC24" s="8">
        <f t="shared" si="8"/>
        <v>0</v>
      </c>
      <c r="AE24" s="10"/>
      <c r="AF24" s="10"/>
      <c r="AG24" s="15"/>
      <c r="AH24" s="15"/>
      <c r="AI24" s="16"/>
      <c r="AJ24" s="10"/>
      <c r="AK24" s="17"/>
      <c r="AL24" s="18"/>
      <c r="AM24" s="17">
        <f t="shared" si="9"/>
        <v>0</v>
      </c>
      <c r="AO24" s="5"/>
      <c r="AP24" s="5"/>
      <c r="AQ24" s="5"/>
      <c r="AR24" s="5"/>
      <c r="AS24" s="7"/>
      <c r="AT24" s="5"/>
      <c r="AU24" s="8"/>
      <c r="AV24" s="9"/>
      <c r="AW24" s="8">
        <f t="shared" si="10"/>
        <v>0</v>
      </c>
      <c r="AY24" s="5"/>
      <c r="AZ24" s="5"/>
      <c r="BA24" s="5"/>
      <c r="BB24" s="5"/>
      <c r="BC24" s="7"/>
      <c r="BD24" s="5"/>
      <c r="BE24" s="8"/>
      <c r="BF24" s="9"/>
      <c r="BG24" s="8">
        <f t="shared" si="11"/>
        <v>0</v>
      </c>
    </row>
    <row r="25" spans="1:59" s="4" customFormat="1" ht="20.100000000000001" customHeight="1" x14ac:dyDescent="0.3">
      <c r="A25" s="5"/>
      <c r="B25" s="5"/>
      <c r="C25" s="5"/>
      <c r="D25" s="5"/>
      <c r="E25" s="7"/>
      <c r="F25" s="5"/>
      <c r="G25" s="8">
        <f>SUM(G19:G24)</f>
        <v>2370</v>
      </c>
      <c r="H25" s="9">
        <f>SUM(H19:H24)</f>
        <v>2370</v>
      </c>
      <c r="I25" s="8">
        <f>SUM(I19:I24)</f>
        <v>0</v>
      </c>
      <c r="K25" s="5"/>
      <c r="L25" s="5"/>
      <c r="M25" s="5"/>
      <c r="N25" s="5"/>
      <c r="O25" s="7"/>
      <c r="P25" s="5"/>
      <c r="Q25" s="8">
        <f>SUM(Q19:Q24)</f>
        <v>2700</v>
      </c>
      <c r="R25" s="9">
        <f>SUM(R19:R24)</f>
        <v>2700</v>
      </c>
      <c r="S25" s="8">
        <f>SUM(S19:S24)</f>
        <v>0</v>
      </c>
      <c r="U25" s="5"/>
      <c r="V25" s="5"/>
      <c r="W25" s="5"/>
      <c r="X25" s="5"/>
      <c r="Y25" s="7"/>
      <c r="Z25" s="5"/>
      <c r="AA25" s="8">
        <f>SUM(AA19:AA24)</f>
        <v>2160</v>
      </c>
      <c r="AB25" s="9">
        <f>SUM(AB19:AB24)</f>
        <v>2160</v>
      </c>
      <c r="AC25" s="8">
        <f>SUM(AC19:AC24)</f>
        <v>0</v>
      </c>
      <c r="AE25" s="5"/>
      <c r="AF25" s="5"/>
      <c r="AG25" s="5"/>
      <c r="AH25" s="5"/>
      <c r="AI25" s="7"/>
      <c r="AJ25" s="5"/>
      <c r="AK25" s="8">
        <f>SUM(AK19:AK24)</f>
        <v>1650</v>
      </c>
      <c r="AL25" s="9">
        <f>SUM(AL19:AL24)</f>
        <v>1650</v>
      </c>
      <c r="AM25" s="8">
        <f>SUM(AM19:AM24)</f>
        <v>0</v>
      </c>
      <c r="AO25" s="5"/>
      <c r="AP25" s="5"/>
      <c r="AQ25" s="5"/>
      <c r="AR25" s="5"/>
      <c r="AS25" s="7"/>
      <c r="AT25" s="5"/>
      <c r="AU25" s="8">
        <f>SUM(AU19:AU24)</f>
        <v>0</v>
      </c>
      <c r="AV25" s="9">
        <f>SUM(AV19:AV24)</f>
        <v>0</v>
      </c>
      <c r="AW25" s="8">
        <f>SUM(AW19:AW24)</f>
        <v>0</v>
      </c>
      <c r="AY25" s="5"/>
      <c r="AZ25" s="5"/>
      <c r="BA25" s="5"/>
      <c r="BB25" s="5"/>
      <c r="BC25" s="7"/>
      <c r="BD25" s="5"/>
      <c r="BE25" s="8">
        <f>SUM(BE19:BE24)</f>
        <v>0</v>
      </c>
      <c r="BF25" s="9">
        <f>SUM(BF19:BF24)</f>
        <v>0</v>
      </c>
      <c r="BG25" s="8">
        <f>SUM(BG19:BG24)</f>
        <v>0</v>
      </c>
    </row>
    <row r="28" spans="1:59" x14ac:dyDescent="0.3">
      <c r="A28" s="91" t="s">
        <v>0</v>
      </c>
      <c r="B28" s="91"/>
      <c r="C28" s="91"/>
      <c r="D28" s="91"/>
      <c r="E28" s="91"/>
      <c r="F28" s="91"/>
      <c r="G28" s="91"/>
      <c r="H28" s="91"/>
      <c r="I28" s="91"/>
      <c r="K28" s="91" t="s">
        <v>1</v>
      </c>
      <c r="L28" s="91"/>
      <c r="M28" s="91"/>
      <c r="N28" s="91"/>
      <c r="O28" s="91"/>
      <c r="P28" s="91"/>
      <c r="Q28" s="91"/>
      <c r="R28" s="91"/>
      <c r="S28" s="91"/>
      <c r="U28" s="91" t="s">
        <v>2</v>
      </c>
      <c r="V28" s="91"/>
      <c r="W28" s="91"/>
      <c r="X28" s="91"/>
      <c r="Y28" s="91"/>
      <c r="Z28" s="91"/>
      <c r="AA28" s="91"/>
      <c r="AB28" s="91"/>
      <c r="AC28" s="91"/>
      <c r="AE28" s="91" t="s">
        <v>3</v>
      </c>
      <c r="AF28" s="91"/>
      <c r="AG28" s="91"/>
      <c r="AH28" s="91"/>
      <c r="AI28" s="91"/>
      <c r="AJ28" s="91"/>
      <c r="AK28" s="91"/>
      <c r="AL28" s="91"/>
      <c r="AM28" s="91"/>
      <c r="AO28" s="91" t="s">
        <v>4</v>
      </c>
      <c r="AP28" s="91"/>
      <c r="AQ28" s="91"/>
      <c r="AR28" s="91"/>
      <c r="AS28" s="91"/>
      <c r="AT28" s="91"/>
      <c r="AU28" s="91"/>
      <c r="AV28" s="91"/>
      <c r="AW28" s="91"/>
      <c r="AY28" s="91" t="s">
        <v>5</v>
      </c>
      <c r="AZ28" s="91"/>
      <c r="BA28" s="91"/>
      <c r="BB28" s="91"/>
      <c r="BC28" s="91"/>
      <c r="BD28" s="91"/>
      <c r="BE28" s="91"/>
      <c r="BF28" s="91"/>
      <c r="BG28" s="91"/>
    </row>
    <row r="29" spans="1:59" x14ac:dyDescent="0.3">
      <c r="A29" s="91" t="s">
        <v>19</v>
      </c>
      <c r="B29" s="91"/>
      <c r="C29" s="91"/>
      <c r="D29" s="91"/>
      <c r="E29" s="91"/>
      <c r="F29" s="91"/>
      <c r="G29" s="91"/>
      <c r="H29" s="91"/>
      <c r="I29" s="91"/>
      <c r="K29" s="91" t="s">
        <v>19</v>
      </c>
      <c r="L29" s="91"/>
      <c r="M29" s="91"/>
      <c r="N29" s="91"/>
      <c r="O29" s="91"/>
      <c r="P29" s="91"/>
      <c r="Q29" s="91"/>
      <c r="R29" s="91"/>
      <c r="S29" s="91"/>
      <c r="U29" s="91" t="s">
        <v>19</v>
      </c>
      <c r="V29" s="91"/>
      <c r="W29" s="91"/>
      <c r="X29" s="91"/>
      <c r="Y29" s="91"/>
      <c r="Z29" s="91"/>
      <c r="AA29" s="91"/>
      <c r="AB29" s="91"/>
      <c r="AC29" s="91"/>
      <c r="AE29" s="91" t="s">
        <v>19</v>
      </c>
      <c r="AF29" s="91"/>
      <c r="AG29" s="91"/>
      <c r="AH29" s="91"/>
      <c r="AI29" s="91"/>
      <c r="AJ29" s="91"/>
      <c r="AK29" s="91"/>
      <c r="AL29" s="91"/>
      <c r="AM29" s="91"/>
      <c r="AO29" s="91" t="s">
        <v>19</v>
      </c>
      <c r="AP29" s="91"/>
      <c r="AQ29" s="91"/>
      <c r="AR29" s="91"/>
      <c r="AS29" s="91"/>
      <c r="AT29" s="91"/>
      <c r="AU29" s="91"/>
      <c r="AV29" s="91"/>
      <c r="AW29" s="91"/>
      <c r="AY29" s="91" t="s">
        <v>19</v>
      </c>
      <c r="AZ29" s="91"/>
      <c r="BA29" s="91"/>
      <c r="BB29" s="91"/>
      <c r="BC29" s="91"/>
      <c r="BD29" s="91"/>
      <c r="BE29" s="91"/>
      <c r="BF29" s="91"/>
      <c r="BG29" s="91"/>
    </row>
    <row r="30" spans="1:59" s="4" customFormat="1" ht="23.1" customHeight="1" x14ac:dyDescent="0.3">
      <c r="A30" s="2" t="s">
        <v>7</v>
      </c>
      <c r="B30" s="2" t="s">
        <v>8</v>
      </c>
      <c r="C30" s="3" t="s">
        <v>9</v>
      </c>
      <c r="D30" s="3" t="s">
        <v>24</v>
      </c>
      <c r="E30" s="2" t="s">
        <v>10</v>
      </c>
      <c r="F30" s="2" t="s">
        <v>11</v>
      </c>
      <c r="G30" s="2" t="s">
        <v>12</v>
      </c>
      <c r="H30" s="2" t="s">
        <v>13</v>
      </c>
      <c r="I30" s="2" t="s">
        <v>14</v>
      </c>
      <c r="K30" s="2" t="s">
        <v>7</v>
      </c>
      <c r="L30" s="2" t="s">
        <v>8</v>
      </c>
      <c r="M30" s="3" t="s">
        <v>9</v>
      </c>
      <c r="N30" s="3" t="s">
        <v>24</v>
      </c>
      <c r="O30" s="2" t="s">
        <v>10</v>
      </c>
      <c r="P30" s="2" t="s">
        <v>11</v>
      </c>
      <c r="Q30" s="2" t="s">
        <v>12</v>
      </c>
      <c r="R30" s="2" t="s">
        <v>13</v>
      </c>
      <c r="S30" s="2" t="s">
        <v>14</v>
      </c>
      <c r="U30" s="2" t="s">
        <v>7</v>
      </c>
      <c r="V30" s="2" t="s">
        <v>8</v>
      </c>
      <c r="W30" s="3" t="s">
        <v>9</v>
      </c>
      <c r="X30" s="3" t="s">
        <v>24</v>
      </c>
      <c r="Y30" s="2" t="s">
        <v>10</v>
      </c>
      <c r="Z30" s="2" t="s">
        <v>11</v>
      </c>
      <c r="AA30" s="2" t="s">
        <v>12</v>
      </c>
      <c r="AB30" s="2" t="s">
        <v>13</v>
      </c>
      <c r="AC30" s="2" t="s">
        <v>14</v>
      </c>
      <c r="AE30" s="2" t="s">
        <v>7</v>
      </c>
      <c r="AF30" s="2" t="s">
        <v>8</v>
      </c>
      <c r="AG30" s="3" t="s">
        <v>9</v>
      </c>
      <c r="AH30" s="3" t="s">
        <v>24</v>
      </c>
      <c r="AI30" s="2" t="s">
        <v>10</v>
      </c>
      <c r="AJ30" s="2" t="s">
        <v>11</v>
      </c>
      <c r="AK30" s="2" t="s">
        <v>12</v>
      </c>
      <c r="AL30" s="2" t="s">
        <v>13</v>
      </c>
      <c r="AM30" s="2" t="s">
        <v>14</v>
      </c>
      <c r="AO30" s="2" t="s">
        <v>7</v>
      </c>
      <c r="AP30" s="2" t="s">
        <v>8</v>
      </c>
      <c r="AQ30" s="3" t="s">
        <v>9</v>
      </c>
      <c r="AR30" s="3" t="s">
        <v>24</v>
      </c>
      <c r="AS30" s="2" t="s">
        <v>10</v>
      </c>
      <c r="AT30" s="2" t="s">
        <v>11</v>
      </c>
      <c r="AU30" s="2" t="s">
        <v>12</v>
      </c>
      <c r="AV30" s="2" t="s">
        <v>13</v>
      </c>
      <c r="AW30" s="2" t="s">
        <v>14</v>
      </c>
      <c r="AY30" s="2" t="s">
        <v>7</v>
      </c>
      <c r="AZ30" s="2" t="s">
        <v>8</v>
      </c>
      <c r="BA30" s="3" t="s">
        <v>9</v>
      </c>
      <c r="BB30" s="3" t="s">
        <v>24</v>
      </c>
      <c r="BC30" s="2" t="s">
        <v>10</v>
      </c>
      <c r="BD30" s="2" t="s">
        <v>11</v>
      </c>
      <c r="BE30" s="2" t="s">
        <v>12</v>
      </c>
      <c r="BF30" s="2" t="s">
        <v>13</v>
      </c>
      <c r="BG30" s="2" t="s">
        <v>14</v>
      </c>
    </row>
    <row r="31" spans="1:59" s="4" customFormat="1" ht="20.100000000000001" customHeight="1" x14ac:dyDescent="0.3">
      <c r="A31" s="5"/>
      <c r="B31" s="5"/>
      <c r="C31" s="6"/>
      <c r="D31" s="6"/>
      <c r="E31" s="7"/>
      <c r="F31" s="5"/>
      <c r="G31" s="8"/>
      <c r="H31" s="9"/>
      <c r="I31" s="8">
        <f>G31-H31</f>
        <v>0</v>
      </c>
      <c r="K31" s="5"/>
      <c r="L31" s="5"/>
      <c r="M31" s="6"/>
      <c r="N31" s="6"/>
      <c r="O31" s="7"/>
      <c r="P31" s="5"/>
      <c r="Q31" s="8"/>
      <c r="R31" s="9"/>
      <c r="S31" s="8">
        <f>Q31-R31</f>
        <v>0</v>
      </c>
      <c r="U31" s="5"/>
      <c r="V31" s="5"/>
      <c r="W31" s="6"/>
      <c r="X31" s="6"/>
      <c r="Y31" s="7"/>
      <c r="Z31" s="5"/>
      <c r="AA31" s="8"/>
      <c r="AB31" s="9"/>
      <c r="AC31" s="8">
        <f>AA31-AB31</f>
        <v>0</v>
      </c>
      <c r="AE31" s="5"/>
      <c r="AF31" s="5"/>
      <c r="AG31" s="6"/>
      <c r="AH31" s="6"/>
      <c r="AI31" s="7"/>
      <c r="AJ31" s="5"/>
      <c r="AK31" s="8"/>
      <c r="AL31" s="9"/>
      <c r="AM31" s="8">
        <f>AK31-AL31</f>
        <v>0</v>
      </c>
      <c r="AO31" s="5"/>
      <c r="AP31" s="5"/>
      <c r="AQ31" s="6"/>
      <c r="AR31" s="6"/>
      <c r="AS31" s="7"/>
      <c r="AT31" s="5"/>
      <c r="AU31" s="8"/>
      <c r="AV31" s="9"/>
      <c r="AW31" s="8">
        <f>AU31-AV31</f>
        <v>0</v>
      </c>
      <c r="AY31" s="5"/>
      <c r="AZ31" s="5"/>
      <c r="BA31" s="6"/>
      <c r="BB31" s="6"/>
      <c r="BC31" s="7"/>
      <c r="BD31" s="5"/>
      <c r="BE31" s="8"/>
      <c r="BF31" s="9"/>
      <c r="BG31" s="8">
        <f>BE31-BF31</f>
        <v>0</v>
      </c>
    </row>
    <row r="32" spans="1:59" s="4" customFormat="1" ht="20.100000000000001" customHeight="1" x14ac:dyDescent="0.3">
      <c r="A32" s="5"/>
      <c r="B32" s="5"/>
      <c r="C32" s="6"/>
      <c r="D32" s="6"/>
      <c r="E32" s="7"/>
      <c r="F32" s="5"/>
      <c r="G32" s="8"/>
      <c r="H32" s="9"/>
      <c r="I32" s="8">
        <f t="shared" ref="I32:I36" si="12">G32-H32</f>
        <v>0</v>
      </c>
      <c r="K32" s="5"/>
      <c r="L32" s="5"/>
      <c r="M32" s="6"/>
      <c r="N32" s="6"/>
      <c r="O32" s="7"/>
      <c r="P32" s="5"/>
      <c r="Q32" s="8"/>
      <c r="R32" s="9"/>
      <c r="S32" s="8">
        <f t="shared" ref="S32:S36" si="13">Q32-R32</f>
        <v>0</v>
      </c>
      <c r="U32" s="5"/>
      <c r="V32" s="5"/>
      <c r="W32" s="6"/>
      <c r="X32" s="6"/>
      <c r="Y32" s="7"/>
      <c r="Z32" s="5"/>
      <c r="AA32" s="8"/>
      <c r="AB32" s="9"/>
      <c r="AC32" s="8">
        <f t="shared" ref="AC32:AC36" si="14">AA32-AB32</f>
        <v>0</v>
      </c>
      <c r="AE32" s="5"/>
      <c r="AF32" s="5"/>
      <c r="AG32" s="6"/>
      <c r="AH32" s="6"/>
      <c r="AI32" s="7"/>
      <c r="AJ32" s="5"/>
      <c r="AK32" s="8"/>
      <c r="AL32" s="9"/>
      <c r="AM32" s="8">
        <f t="shared" ref="AM32:AM36" si="15">AK32-AL32</f>
        <v>0</v>
      </c>
      <c r="AO32" s="5"/>
      <c r="AP32" s="5"/>
      <c r="AQ32" s="5"/>
      <c r="AR32" s="5"/>
      <c r="AS32" s="7"/>
      <c r="AT32" s="5"/>
      <c r="AU32" s="8"/>
      <c r="AV32" s="9"/>
      <c r="AW32" s="8">
        <f t="shared" ref="AW32:AW36" si="16">AU32-AV32</f>
        <v>0</v>
      </c>
      <c r="AY32" s="5"/>
      <c r="AZ32" s="5"/>
      <c r="BA32" s="5"/>
      <c r="BB32" s="5"/>
      <c r="BC32" s="7"/>
      <c r="BD32" s="5"/>
      <c r="BE32" s="8"/>
      <c r="BF32" s="9"/>
      <c r="BG32" s="8">
        <f t="shared" ref="BG32:BG36" si="17">BE32-BF32</f>
        <v>0</v>
      </c>
    </row>
    <row r="33" spans="1:59" s="4" customFormat="1" ht="20.100000000000001" customHeight="1" x14ac:dyDescent="0.3">
      <c r="A33" s="5"/>
      <c r="B33" s="5"/>
      <c r="C33" s="6"/>
      <c r="D33" s="6"/>
      <c r="E33" s="7"/>
      <c r="F33" s="5"/>
      <c r="G33" s="8"/>
      <c r="H33" s="9"/>
      <c r="I33" s="8">
        <f t="shared" si="12"/>
        <v>0</v>
      </c>
      <c r="K33" s="5"/>
      <c r="L33" s="5"/>
      <c r="M33" s="6"/>
      <c r="N33" s="6"/>
      <c r="O33" s="7"/>
      <c r="P33" s="5"/>
      <c r="Q33" s="8"/>
      <c r="R33" s="9"/>
      <c r="S33" s="8">
        <f t="shared" si="13"/>
        <v>0</v>
      </c>
      <c r="U33" s="5"/>
      <c r="V33" s="5"/>
      <c r="W33" s="6"/>
      <c r="X33" s="6"/>
      <c r="Y33" s="7"/>
      <c r="Z33" s="5"/>
      <c r="AA33" s="8"/>
      <c r="AB33" s="9"/>
      <c r="AC33" s="8">
        <f t="shared" si="14"/>
        <v>0</v>
      </c>
      <c r="AE33" s="5"/>
      <c r="AF33" s="5"/>
      <c r="AG33" s="6"/>
      <c r="AH33" s="6"/>
      <c r="AI33" s="7"/>
      <c r="AJ33" s="5"/>
      <c r="AK33" s="8"/>
      <c r="AL33" s="9"/>
      <c r="AM33" s="8">
        <f t="shared" si="15"/>
        <v>0</v>
      </c>
      <c r="AO33" s="5"/>
      <c r="AP33" s="5"/>
      <c r="AQ33" s="5"/>
      <c r="AR33" s="5"/>
      <c r="AS33" s="7"/>
      <c r="AT33" s="5"/>
      <c r="AU33" s="8"/>
      <c r="AV33" s="9"/>
      <c r="AW33" s="8">
        <f t="shared" si="16"/>
        <v>0</v>
      </c>
      <c r="AY33" s="5"/>
      <c r="AZ33" s="5"/>
      <c r="BA33" s="5"/>
      <c r="BB33" s="5"/>
      <c r="BC33" s="7"/>
      <c r="BD33" s="5"/>
      <c r="BE33" s="8"/>
      <c r="BF33" s="9"/>
      <c r="BG33" s="8">
        <f t="shared" si="17"/>
        <v>0</v>
      </c>
    </row>
    <row r="34" spans="1:59" s="4" customFormat="1" ht="20.100000000000001" customHeight="1" x14ac:dyDescent="0.3">
      <c r="A34" s="5"/>
      <c r="B34" s="5"/>
      <c r="C34" s="6"/>
      <c r="D34" s="6"/>
      <c r="E34" s="7"/>
      <c r="F34" s="5"/>
      <c r="G34" s="8"/>
      <c r="H34" s="9"/>
      <c r="I34" s="8">
        <f t="shared" si="12"/>
        <v>0</v>
      </c>
      <c r="K34" s="5"/>
      <c r="L34" s="5"/>
      <c r="M34" s="6"/>
      <c r="N34" s="6"/>
      <c r="O34" s="7"/>
      <c r="P34" s="5"/>
      <c r="Q34" s="8"/>
      <c r="R34" s="9"/>
      <c r="S34" s="8">
        <f t="shared" si="13"/>
        <v>0</v>
      </c>
      <c r="U34" s="5"/>
      <c r="V34" s="5"/>
      <c r="W34" s="6"/>
      <c r="X34" s="6"/>
      <c r="Y34" s="7"/>
      <c r="Z34" s="5"/>
      <c r="AA34" s="8"/>
      <c r="AB34" s="9"/>
      <c r="AC34" s="8">
        <f t="shared" si="14"/>
        <v>0</v>
      </c>
      <c r="AE34" s="5"/>
      <c r="AF34" s="5"/>
      <c r="AG34" s="6"/>
      <c r="AH34" s="6"/>
      <c r="AI34" s="7"/>
      <c r="AJ34" s="5"/>
      <c r="AK34" s="8"/>
      <c r="AL34" s="9"/>
      <c r="AM34" s="8">
        <f t="shared" si="15"/>
        <v>0</v>
      </c>
      <c r="AO34" s="5"/>
      <c r="AP34" s="5"/>
      <c r="AQ34" s="5"/>
      <c r="AR34" s="5"/>
      <c r="AS34" s="7"/>
      <c r="AT34" s="5"/>
      <c r="AU34" s="8"/>
      <c r="AV34" s="9"/>
      <c r="AW34" s="8">
        <f t="shared" si="16"/>
        <v>0</v>
      </c>
      <c r="AY34" s="5"/>
      <c r="AZ34" s="5"/>
      <c r="BA34" s="5"/>
      <c r="BB34" s="5"/>
      <c r="BC34" s="7"/>
      <c r="BD34" s="5"/>
      <c r="BE34" s="8"/>
      <c r="BF34" s="9"/>
      <c r="BG34" s="8">
        <f t="shared" si="17"/>
        <v>0</v>
      </c>
    </row>
    <row r="35" spans="1:59" s="4" customFormat="1" ht="20.100000000000001" customHeight="1" x14ac:dyDescent="0.3">
      <c r="A35" s="5"/>
      <c r="B35" s="5"/>
      <c r="C35" s="6"/>
      <c r="D35" s="6"/>
      <c r="E35" s="7"/>
      <c r="F35" s="5"/>
      <c r="G35" s="8"/>
      <c r="H35" s="9"/>
      <c r="I35" s="8">
        <f t="shared" si="12"/>
        <v>0</v>
      </c>
      <c r="K35" s="5"/>
      <c r="L35" s="5"/>
      <c r="M35" s="6"/>
      <c r="N35" s="6"/>
      <c r="O35" s="7"/>
      <c r="P35" s="5"/>
      <c r="Q35" s="8"/>
      <c r="R35" s="9"/>
      <c r="S35" s="8">
        <f t="shared" si="13"/>
        <v>0</v>
      </c>
      <c r="U35" s="5"/>
      <c r="V35" s="5"/>
      <c r="W35" s="6"/>
      <c r="X35" s="6"/>
      <c r="Y35" s="7"/>
      <c r="Z35" s="5"/>
      <c r="AA35" s="8"/>
      <c r="AB35" s="9"/>
      <c r="AC35" s="8">
        <f t="shared" si="14"/>
        <v>0</v>
      </c>
      <c r="AE35" s="5"/>
      <c r="AF35" s="5"/>
      <c r="AG35" s="6"/>
      <c r="AH35" s="6"/>
      <c r="AI35" s="7"/>
      <c r="AJ35" s="5"/>
      <c r="AK35" s="8"/>
      <c r="AL35" s="9"/>
      <c r="AM35" s="8">
        <f t="shared" si="15"/>
        <v>0</v>
      </c>
      <c r="AO35" s="5"/>
      <c r="AP35" s="5"/>
      <c r="AQ35" s="5"/>
      <c r="AR35" s="5"/>
      <c r="AS35" s="7"/>
      <c r="AT35" s="5"/>
      <c r="AU35" s="8"/>
      <c r="AV35" s="9"/>
      <c r="AW35" s="8">
        <f t="shared" si="16"/>
        <v>0</v>
      </c>
      <c r="AY35" s="5"/>
      <c r="AZ35" s="5"/>
      <c r="BA35" s="5"/>
      <c r="BB35" s="5"/>
      <c r="BC35" s="7"/>
      <c r="BD35" s="5"/>
      <c r="BE35" s="8"/>
      <c r="BF35" s="9"/>
      <c r="BG35" s="8">
        <f t="shared" si="17"/>
        <v>0</v>
      </c>
    </row>
    <row r="36" spans="1:59" s="4" customFormat="1" ht="20.100000000000001" customHeight="1" x14ac:dyDescent="0.3">
      <c r="A36" s="5"/>
      <c r="B36" s="5"/>
      <c r="C36" s="5"/>
      <c r="D36" s="5"/>
      <c r="E36" s="7"/>
      <c r="F36" s="5"/>
      <c r="G36" s="8"/>
      <c r="H36" s="9"/>
      <c r="I36" s="8">
        <f t="shared" si="12"/>
        <v>0</v>
      </c>
      <c r="K36" s="5"/>
      <c r="L36" s="5"/>
      <c r="M36" s="6"/>
      <c r="N36" s="6"/>
      <c r="O36" s="7"/>
      <c r="P36" s="5"/>
      <c r="Q36" s="8"/>
      <c r="R36" s="9"/>
      <c r="S36" s="8">
        <f t="shared" si="13"/>
        <v>0</v>
      </c>
      <c r="U36" s="5"/>
      <c r="V36" s="5"/>
      <c r="W36" s="5"/>
      <c r="X36" s="5"/>
      <c r="Y36" s="7"/>
      <c r="Z36" s="5"/>
      <c r="AA36" s="8"/>
      <c r="AB36" s="9"/>
      <c r="AC36" s="8">
        <f t="shared" si="14"/>
        <v>0</v>
      </c>
      <c r="AE36" s="5"/>
      <c r="AF36" s="5"/>
      <c r="AG36" s="6"/>
      <c r="AH36" s="6"/>
      <c r="AI36" s="7"/>
      <c r="AJ36" s="5"/>
      <c r="AK36" s="8"/>
      <c r="AL36" s="9"/>
      <c r="AM36" s="8">
        <f t="shared" si="15"/>
        <v>0</v>
      </c>
      <c r="AO36" s="5"/>
      <c r="AP36" s="5"/>
      <c r="AQ36" s="5"/>
      <c r="AR36" s="5"/>
      <c r="AS36" s="7"/>
      <c r="AT36" s="5"/>
      <c r="AU36" s="8"/>
      <c r="AV36" s="9"/>
      <c r="AW36" s="8">
        <f t="shared" si="16"/>
        <v>0</v>
      </c>
      <c r="AY36" s="5"/>
      <c r="AZ36" s="5"/>
      <c r="BA36" s="5"/>
      <c r="BB36" s="5"/>
      <c r="BC36" s="7"/>
      <c r="BD36" s="5"/>
      <c r="BE36" s="8"/>
      <c r="BF36" s="9"/>
      <c r="BG36" s="8">
        <f t="shared" si="17"/>
        <v>0</v>
      </c>
    </row>
    <row r="37" spans="1:59" s="4" customFormat="1" ht="20.100000000000001" customHeight="1" x14ac:dyDescent="0.3">
      <c r="A37" s="5"/>
      <c r="B37" s="5"/>
      <c r="C37" s="5"/>
      <c r="D37" s="5"/>
      <c r="E37" s="7"/>
      <c r="F37" s="5"/>
      <c r="G37" s="8">
        <f>SUM(G31:G36)</f>
        <v>0</v>
      </c>
      <c r="H37" s="9">
        <f>SUM(H31:H36)</f>
        <v>0</v>
      </c>
      <c r="I37" s="8">
        <f>SUM(I31:I36)</f>
        <v>0</v>
      </c>
      <c r="K37" s="5"/>
      <c r="L37" s="5"/>
      <c r="M37" s="5"/>
      <c r="N37" s="5"/>
      <c r="O37" s="7"/>
      <c r="P37" s="5"/>
      <c r="Q37" s="8">
        <f>SUM(Q31:Q36)</f>
        <v>0</v>
      </c>
      <c r="R37" s="9">
        <f>SUM(R31:R36)</f>
        <v>0</v>
      </c>
      <c r="S37" s="8">
        <f>SUM(S31:S36)</f>
        <v>0</v>
      </c>
      <c r="U37" s="5"/>
      <c r="V37" s="5"/>
      <c r="W37" s="5"/>
      <c r="X37" s="5"/>
      <c r="Y37" s="7"/>
      <c r="Z37" s="5"/>
      <c r="AA37" s="8">
        <f>SUM(AA31:AA36)</f>
        <v>0</v>
      </c>
      <c r="AB37" s="9">
        <f>SUM(AB31:AB36)</f>
        <v>0</v>
      </c>
      <c r="AC37" s="8">
        <f>SUM(AC31:AC36)</f>
        <v>0</v>
      </c>
      <c r="AE37" s="5"/>
      <c r="AF37" s="5"/>
      <c r="AG37" s="5"/>
      <c r="AH37" s="5"/>
      <c r="AI37" s="7"/>
      <c r="AJ37" s="5"/>
      <c r="AK37" s="8">
        <f>SUM(AK31:AK36)</f>
        <v>0</v>
      </c>
      <c r="AL37" s="9">
        <f>SUM(AL31:AL36)</f>
        <v>0</v>
      </c>
      <c r="AM37" s="8">
        <f>SUM(AM31:AM36)</f>
        <v>0</v>
      </c>
      <c r="AO37" s="5"/>
      <c r="AP37" s="5"/>
      <c r="AQ37" s="5"/>
      <c r="AR37" s="5"/>
      <c r="AS37" s="7"/>
      <c r="AT37" s="5"/>
      <c r="AU37" s="8">
        <f>SUM(AU31:AU36)</f>
        <v>0</v>
      </c>
      <c r="AV37" s="9">
        <f>SUM(AV31:AV36)</f>
        <v>0</v>
      </c>
      <c r="AW37" s="8">
        <f>SUM(AW31:AW36)</f>
        <v>0</v>
      </c>
      <c r="AY37" s="5"/>
      <c r="AZ37" s="5"/>
      <c r="BA37" s="5"/>
      <c r="BB37" s="5"/>
      <c r="BC37" s="7"/>
      <c r="BD37" s="5"/>
      <c r="BE37" s="8">
        <f>SUM(BE31:BE36)</f>
        <v>0</v>
      </c>
      <c r="BF37" s="9">
        <f>SUM(BF31:BF36)</f>
        <v>0</v>
      </c>
      <c r="BG37" s="8">
        <f>SUM(BG31:BG36)</f>
        <v>0</v>
      </c>
    </row>
    <row r="40" spans="1:59" x14ac:dyDescent="0.3">
      <c r="A40" s="91" t="s">
        <v>0</v>
      </c>
      <c r="B40" s="91"/>
      <c r="C40" s="91"/>
      <c r="D40" s="91"/>
      <c r="E40" s="91"/>
      <c r="F40" s="91"/>
      <c r="G40" s="91"/>
      <c r="H40" s="91"/>
      <c r="I40" s="91"/>
      <c r="K40" s="91" t="s">
        <v>1</v>
      </c>
      <c r="L40" s="91"/>
      <c r="M40" s="91"/>
      <c r="N40" s="91"/>
      <c r="O40" s="91"/>
      <c r="P40" s="91"/>
      <c r="Q40" s="91"/>
      <c r="R40" s="91"/>
      <c r="S40" s="91"/>
      <c r="U40" s="91" t="s">
        <v>2</v>
      </c>
      <c r="V40" s="91"/>
      <c r="W40" s="91"/>
      <c r="X40" s="91"/>
      <c r="Y40" s="91"/>
      <c r="Z40" s="91"/>
      <c r="AA40" s="91"/>
      <c r="AB40" s="91"/>
      <c r="AC40" s="91"/>
      <c r="AE40" s="91" t="s">
        <v>3</v>
      </c>
      <c r="AF40" s="91"/>
      <c r="AG40" s="91"/>
      <c r="AH40" s="91"/>
      <c r="AI40" s="91"/>
      <c r="AJ40" s="91"/>
      <c r="AK40" s="91"/>
      <c r="AL40" s="91"/>
      <c r="AM40" s="91"/>
      <c r="AO40" s="91" t="s">
        <v>4</v>
      </c>
      <c r="AP40" s="91"/>
      <c r="AQ40" s="91"/>
      <c r="AR40" s="91"/>
      <c r="AS40" s="91"/>
      <c r="AT40" s="91"/>
      <c r="AU40" s="91"/>
      <c r="AV40" s="91"/>
      <c r="AW40" s="91"/>
      <c r="AY40" s="91" t="s">
        <v>5</v>
      </c>
      <c r="AZ40" s="91"/>
      <c r="BA40" s="91"/>
      <c r="BB40" s="91"/>
      <c r="BC40" s="91"/>
      <c r="BD40" s="91"/>
      <c r="BE40" s="91"/>
      <c r="BF40" s="91"/>
      <c r="BG40" s="91"/>
    </row>
    <row r="41" spans="1:59" x14ac:dyDescent="0.3">
      <c r="A41" s="91" t="s">
        <v>20</v>
      </c>
      <c r="B41" s="91"/>
      <c r="C41" s="91"/>
      <c r="D41" s="91"/>
      <c r="E41" s="91"/>
      <c r="F41" s="91"/>
      <c r="G41" s="91"/>
      <c r="H41" s="91"/>
      <c r="I41" s="91"/>
      <c r="K41" s="91" t="s">
        <v>20</v>
      </c>
      <c r="L41" s="91"/>
      <c r="M41" s="91"/>
      <c r="N41" s="91"/>
      <c r="O41" s="91"/>
      <c r="P41" s="91"/>
      <c r="Q41" s="91"/>
      <c r="R41" s="91"/>
      <c r="S41" s="91"/>
      <c r="U41" s="91" t="s">
        <v>20</v>
      </c>
      <c r="V41" s="91"/>
      <c r="W41" s="91"/>
      <c r="X41" s="91"/>
      <c r="Y41" s="91"/>
      <c r="Z41" s="91"/>
      <c r="AA41" s="91"/>
      <c r="AB41" s="91"/>
      <c r="AC41" s="91"/>
      <c r="AE41" s="91" t="s">
        <v>20</v>
      </c>
      <c r="AF41" s="91"/>
      <c r="AG41" s="91"/>
      <c r="AH41" s="91"/>
      <c r="AI41" s="91"/>
      <c r="AJ41" s="91"/>
      <c r="AK41" s="91"/>
      <c r="AL41" s="91"/>
      <c r="AM41" s="91"/>
      <c r="AO41" s="91" t="s">
        <v>20</v>
      </c>
      <c r="AP41" s="91"/>
      <c r="AQ41" s="91"/>
      <c r="AR41" s="91"/>
      <c r="AS41" s="91"/>
      <c r="AT41" s="91"/>
      <c r="AU41" s="91"/>
      <c r="AV41" s="91"/>
      <c r="AW41" s="91"/>
      <c r="AY41" s="91" t="s">
        <v>20</v>
      </c>
      <c r="AZ41" s="91"/>
      <c r="BA41" s="91"/>
      <c r="BB41" s="91"/>
      <c r="BC41" s="91"/>
      <c r="BD41" s="91"/>
      <c r="BE41" s="91"/>
      <c r="BF41" s="91"/>
      <c r="BG41" s="91"/>
    </row>
    <row r="42" spans="1:59" s="4" customFormat="1" ht="23.1" customHeight="1" x14ac:dyDescent="0.3">
      <c r="A42" s="2" t="s">
        <v>7</v>
      </c>
      <c r="B42" s="2" t="s">
        <v>8</v>
      </c>
      <c r="C42" s="3" t="s">
        <v>9</v>
      </c>
      <c r="D42" s="3" t="s">
        <v>24</v>
      </c>
      <c r="E42" s="2" t="s">
        <v>10</v>
      </c>
      <c r="F42" s="2" t="s">
        <v>11</v>
      </c>
      <c r="G42" s="2" t="s">
        <v>12</v>
      </c>
      <c r="H42" s="2" t="s">
        <v>13</v>
      </c>
      <c r="I42" s="2" t="s">
        <v>14</v>
      </c>
      <c r="K42" s="2" t="s">
        <v>7</v>
      </c>
      <c r="L42" s="2" t="s">
        <v>8</v>
      </c>
      <c r="M42" s="3" t="s">
        <v>9</v>
      </c>
      <c r="N42" s="3" t="s">
        <v>24</v>
      </c>
      <c r="O42" s="2" t="s">
        <v>10</v>
      </c>
      <c r="P42" s="2" t="s">
        <v>11</v>
      </c>
      <c r="Q42" s="2" t="s">
        <v>12</v>
      </c>
      <c r="R42" s="2" t="s">
        <v>13</v>
      </c>
      <c r="S42" s="2" t="s">
        <v>14</v>
      </c>
      <c r="U42" s="2" t="s">
        <v>7</v>
      </c>
      <c r="V42" s="2" t="s">
        <v>8</v>
      </c>
      <c r="W42" s="3" t="s">
        <v>9</v>
      </c>
      <c r="X42" s="3" t="s">
        <v>24</v>
      </c>
      <c r="Y42" s="2" t="s">
        <v>10</v>
      </c>
      <c r="Z42" s="2" t="s">
        <v>11</v>
      </c>
      <c r="AA42" s="2" t="s">
        <v>12</v>
      </c>
      <c r="AB42" s="2" t="s">
        <v>13</v>
      </c>
      <c r="AC42" s="2" t="s">
        <v>14</v>
      </c>
      <c r="AE42" s="2" t="s">
        <v>7</v>
      </c>
      <c r="AF42" s="2" t="s">
        <v>8</v>
      </c>
      <c r="AG42" s="3" t="s">
        <v>9</v>
      </c>
      <c r="AH42" s="3" t="s">
        <v>24</v>
      </c>
      <c r="AI42" s="2" t="s">
        <v>10</v>
      </c>
      <c r="AJ42" s="2" t="s">
        <v>11</v>
      </c>
      <c r="AK42" s="2" t="s">
        <v>12</v>
      </c>
      <c r="AL42" s="2" t="s">
        <v>13</v>
      </c>
      <c r="AM42" s="2" t="s">
        <v>14</v>
      </c>
      <c r="AO42" s="2" t="s">
        <v>7</v>
      </c>
      <c r="AP42" s="2" t="s">
        <v>8</v>
      </c>
      <c r="AQ42" s="3" t="s">
        <v>9</v>
      </c>
      <c r="AR42" s="3" t="s">
        <v>24</v>
      </c>
      <c r="AS42" s="2" t="s">
        <v>10</v>
      </c>
      <c r="AT42" s="2" t="s">
        <v>11</v>
      </c>
      <c r="AU42" s="2" t="s">
        <v>12</v>
      </c>
      <c r="AV42" s="2" t="s">
        <v>13</v>
      </c>
      <c r="AW42" s="2" t="s">
        <v>14</v>
      </c>
      <c r="AY42" s="2" t="s">
        <v>7</v>
      </c>
      <c r="AZ42" s="2" t="s">
        <v>8</v>
      </c>
      <c r="BA42" s="3" t="s">
        <v>9</v>
      </c>
      <c r="BB42" s="3" t="s">
        <v>24</v>
      </c>
      <c r="BC42" s="2" t="s">
        <v>10</v>
      </c>
      <c r="BD42" s="2" t="s">
        <v>11</v>
      </c>
      <c r="BE42" s="2" t="s">
        <v>12</v>
      </c>
      <c r="BF42" s="2" t="s">
        <v>13</v>
      </c>
      <c r="BG42" s="2" t="s">
        <v>14</v>
      </c>
    </row>
    <row r="43" spans="1:59" s="4" customFormat="1" ht="20.100000000000001" customHeight="1" x14ac:dyDescent="0.3">
      <c r="A43" s="5">
        <v>250040</v>
      </c>
      <c r="B43" s="5">
        <v>304</v>
      </c>
      <c r="C43" s="6">
        <v>0.7</v>
      </c>
      <c r="D43" s="6" t="s">
        <v>27</v>
      </c>
      <c r="E43" s="7" t="s">
        <v>169</v>
      </c>
      <c r="F43" s="5">
        <v>304</v>
      </c>
      <c r="G43" s="8">
        <v>2000</v>
      </c>
      <c r="H43" s="9">
        <v>2000</v>
      </c>
      <c r="I43" s="8">
        <f>G43-H43</f>
        <v>0</v>
      </c>
      <c r="K43" s="5">
        <v>250039</v>
      </c>
      <c r="L43" s="5">
        <v>304</v>
      </c>
      <c r="M43" s="6">
        <v>0.7</v>
      </c>
      <c r="N43" s="6" t="s">
        <v>27</v>
      </c>
      <c r="O43" s="7" t="s">
        <v>169</v>
      </c>
      <c r="P43" s="5">
        <v>304</v>
      </c>
      <c r="Q43" s="8">
        <v>2400</v>
      </c>
      <c r="R43" s="9">
        <v>2400</v>
      </c>
      <c r="S43" s="8">
        <f>Q43-R43</f>
        <v>0</v>
      </c>
      <c r="U43" s="5"/>
      <c r="V43" s="5"/>
      <c r="W43" s="6"/>
      <c r="X43" s="6"/>
      <c r="Y43" s="7"/>
      <c r="Z43" s="5"/>
      <c r="AA43" s="8"/>
      <c r="AB43" s="9"/>
      <c r="AC43" s="8">
        <f>AA43-AB43</f>
        <v>0</v>
      </c>
      <c r="AE43" s="5">
        <v>250054</v>
      </c>
      <c r="AF43" s="5">
        <v>304</v>
      </c>
      <c r="AG43" s="6">
        <v>0.7</v>
      </c>
      <c r="AH43" s="6" t="s">
        <v>25</v>
      </c>
      <c r="AI43" s="7" t="s">
        <v>219</v>
      </c>
      <c r="AJ43" s="5">
        <v>304</v>
      </c>
      <c r="AK43" s="8">
        <v>825</v>
      </c>
      <c r="AL43" s="9">
        <v>825</v>
      </c>
      <c r="AM43" s="8">
        <f>AK43-AL43</f>
        <v>0</v>
      </c>
      <c r="AO43" s="5"/>
      <c r="AP43" s="5"/>
      <c r="AQ43" s="6"/>
      <c r="AR43" s="6"/>
      <c r="AS43" s="7"/>
      <c r="AT43" s="5"/>
      <c r="AU43" s="8"/>
      <c r="AV43" s="9"/>
      <c r="AW43" s="8">
        <f>AU43-AV43</f>
        <v>0</v>
      </c>
      <c r="AY43" s="5"/>
      <c r="AZ43" s="5"/>
      <c r="BA43" s="6"/>
      <c r="BB43" s="6"/>
      <c r="BC43" s="7"/>
      <c r="BD43" s="5"/>
      <c r="BE43" s="8"/>
      <c r="BF43" s="9"/>
      <c r="BG43" s="8">
        <f>BE43-BF43</f>
        <v>0</v>
      </c>
    </row>
    <row r="44" spans="1:59" s="4" customFormat="1" ht="20.100000000000001" customHeight="1" x14ac:dyDescent="0.3">
      <c r="A44" s="5">
        <v>250040</v>
      </c>
      <c r="B44" s="5">
        <v>304</v>
      </c>
      <c r="C44" s="6">
        <v>0.7</v>
      </c>
      <c r="D44" s="6" t="s">
        <v>27</v>
      </c>
      <c r="E44" s="7" t="s">
        <v>170</v>
      </c>
      <c r="F44" s="5">
        <v>304</v>
      </c>
      <c r="G44" s="8">
        <v>2000</v>
      </c>
      <c r="H44" s="9">
        <v>2000</v>
      </c>
      <c r="I44" s="8">
        <f t="shared" ref="I44:I48" si="18">G44-H44</f>
        <v>0</v>
      </c>
      <c r="K44" s="5">
        <v>250039</v>
      </c>
      <c r="L44" s="5">
        <v>304</v>
      </c>
      <c r="M44" s="6">
        <v>0.7</v>
      </c>
      <c r="N44" s="6" t="s">
        <v>27</v>
      </c>
      <c r="O44" s="7" t="s">
        <v>170</v>
      </c>
      <c r="P44" s="5">
        <v>304</v>
      </c>
      <c r="Q44" s="8">
        <v>2400</v>
      </c>
      <c r="R44" s="9">
        <v>2400</v>
      </c>
      <c r="S44" s="8">
        <f t="shared" ref="S44:S48" si="19">Q44-R44</f>
        <v>0</v>
      </c>
      <c r="U44" s="5"/>
      <c r="V44" s="5"/>
      <c r="W44" s="5"/>
      <c r="X44" s="5"/>
      <c r="Y44" s="7"/>
      <c r="Z44" s="5"/>
      <c r="AA44" s="8"/>
      <c r="AB44" s="9"/>
      <c r="AC44" s="8">
        <f t="shared" ref="AC44:AC48" si="20">AA44-AB44</f>
        <v>0</v>
      </c>
      <c r="AE44" s="5"/>
      <c r="AF44" s="5"/>
      <c r="AG44" s="5"/>
      <c r="AH44" s="5"/>
      <c r="AI44" s="7"/>
      <c r="AJ44" s="5"/>
      <c r="AK44" s="8"/>
      <c r="AL44" s="9"/>
      <c r="AM44" s="8">
        <f t="shared" ref="AM44:AM48" si="21">AK44-AL44</f>
        <v>0</v>
      </c>
      <c r="AO44" s="5"/>
      <c r="AP44" s="5"/>
      <c r="AQ44" s="5"/>
      <c r="AR44" s="5"/>
      <c r="AS44" s="7"/>
      <c r="AT44" s="5"/>
      <c r="AU44" s="8"/>
      <c r="AV44" s="9"/>
      <c r="AW44" s="8">
        <f t="shared" ref="AW44:AW48" si="22">AU44-AV44</f>
        <v>0</v>
      </c>
      <c r="AY44" s="5"/>
      <c r="AZ44" s="5"/>
      <c r="BA44" s="5"/>
      <c r="BB44" s="5"/>
      <c r="BC44" s="7"/>
      <c r="BD44" s="5"/>
      <c r="BE44" s="8"/>
      <c r="BF44" s="9"/>
      <c r="BG44" s="8">
        <f t="shared" ref="BG44:BG48" si="23">BE44-BF44</f>
        <v>0</v>
      </c>
    </row>
    <row r="45" spans="1:59" s="4" customFormat="1" ht="20.100000000000001" customHeight="1" x14ac:dyDescent="0.3">
      <c r="A45" s="5">
        <v>250040</v>
      </c>
      <c r="B45" s="5">
        <v>304</v>
      </c>
      <c r="C45" s="6">
        <v>0.7</v>
      </c>
      <c r="D45" s="6" t="s">
        <v>27</v>
      </c>
      <c r="E45" s="7" t="s">
        <v>171</v>
      </c>
      <c r="F45" s="5">
        <v>304</v>
      </c>
      <c r="G45" s="8">
        <v>2000</v>
      </c>
      <c r="H45" s="9">
        <v>2000</v>
      </c>
      <c r="I45" s="8">
        <f t="shared" si="18"/>
        <v>0</v>
      </c>
      <c r="K45" s="5">
        <v>250039</v>
      </c>
      <c r="L45" s="5">
        <v>304</v>
      </c>
      <c r="M45" s="6">
        <v>0.7</v>
      </c>
      <c r="N45" s="6" t="s">
        <v>27</v>
      </c>
      <c r="O45" s="7" t="s">
        <v>171</v>
      </c>
      <c r="P45" s="5">
        <v>304</v>
      </c>
      <c r="Q45" s="8">
        <v>2400</v>
      </c>
      <c r="R45" s="9">
        <v>2400</v>
      </c>
      <c r="S45" s="8">
        <f t="shared" si="19"/>
        <v>0</v>
      </c>
      <c r="U45" s="5"/>
      <c r="V45" s="5"/>
      <c r="W45" s="5"/>
      <c r="X45" s="5"/>
      <c r="Y45" s="7"/>
      <c r="Z45" s="5"/>
      <c r="AA45" s="8"/>
      <c r="AB45" s="9"/>
      <c r="AC45" s="8">
        <f t="shared" si="20"/>
        <v>0</v>
      </c>
      <c r="AE45" s="5"/>
      <c r="AF45" s="5"/>
      <c r="AG45" s="5"/>
      <c r="AH45" s="5"/>
      <c r="AI45" s="7"/>
      <c r="AJ45" s="5"/>
      <c r="AK45" s="8"/>
      <c r="AL45" s="9"/>
      <c r="AM45" s="8">
        <f t="shared" si="21"/>
        <v>0</v>
      </c>
      <c r="AO45" s="5"/>
      <c r="AP45" s="5"/>
      <c r="AQ45" s="5"/>
      <c r="AR45" s="5"/>
      <c r="AS45" s="7"/>
      <c r="AT45" s="5"/>
      <c r="AU45" s="8"/>
      <c r="AV45" s="9"/>
      <c r="AW45" s="8">
        <f t="shared" si="22"/>
        <v>0</v>
      </c>
      <c r="AY45" s="5"/>
      <c r="AZ45" s="5"/>
      <c r="BA45" s="5"/>
      <c r="BB45" s="5"/>
      <c r="BC45" s="7"/>
      <c r="BD45" s="5"/>
      <c r="BE45" s="8"/>
      <c r="BF45" s="9"/>
      <c r="BG45" s="8">
        <f t="shared" si="23"/>
        <v>0</v>
      </c>
    </row>
    <row r="46" spans="1:59" s="4" customFormat="1" ht="20.100000000000001" customHeight="1" x14ac:dyDescent="0.3">
      <c r="A46" s="5">
        <v>250040</v>
      </c>
      <c r="B46" s="5">
        <v>304</v>
      </c>
      <c r="C46" s="6">
        <v>0.7</v>
      </c>
      <c r="D46" s="6" t="s">
        <v>27</v>
      </c>
      <c r="E46" s="7" t="s">
        <v>172</v>
      </c>
      <c r="F46" s="5">
        <v>304</v>
      </c>
      <c r="G46" s="8">
        <v>2400</v>
      </c>
      <c r="H46" s="9">
        <v>2400</v>
      </c>
      <c r="I46" s="8">
        <f t="shared" si="18"/>
        <v>0</v>
      </c>
      <c r="K46" s="5"/>
      <c r="L46" s="5"/>
      <c r="M46" s="6"/>
      <c r="N46" s="6"/>
      <c r="O46" s="7"/>
      <c r="P46" s="5"/>
      <c r="Q46" s="8"/>
      <c r="R46" s="9"/>
      <c r="S46" s="8">
        <f t="shared" si="19"/>
        <v>0</v>
      </c>
      <c r="U46" s="5"/>
      <c r="V46" s="5"/>
      <c r="W46" s="5"/>
      <c r="X46" s="5"/>
      <c r="Y46" s="7"/>
      <c r="Z46" s="5"/>
      <c r="AA46" s="8"/>
      <c r="AB46" s="9"/>
      <c r="AC46" s="8">
        <f t="shared" si="20"/>
        <v>0</v>
      </c>
      <c r="AE46" s="5"/>
      <c r="AF46" s="5"/>
      <c r="AG46" s="5"/>
      <c r="AH46" s="5"/>
      <c r="AI46" s="7"/>
      <c r="AJ46" s="5"/>
      <c r="AK46" s="8"/>
      <c r="AL46" s="9"/>
      <c r="AM46" s="8">
        <f t="shared" si="21"/>
        <v>0</v>
      </c>
      <c r="AO46" s="5"/>
      <c r="AP46" s="5"/>
      <c r="AQ46" s="5"/>
      <c r="AR46" s="5"/>
      <c r="AS46" s="7"/>
      <c r="AT46" s="5"/>
      <c r="AU46" s="8"/>
      <c r="AV46" s="9"/>
      <c r="AW46" s="8">
        <f t="shared" si="22"/>
        <v>0</v>
      </c>
      <c r="AY46" s="5"/>
      <c r="AZ46" s="5"/>
      <c r="BA46" s="5"/>
      <c r="BB46" s="5"/>
      <c r="BC46" s="7"/>
      <c r="BD46" s="5"/>
      <c r="BE46" s="8"/>
      <c r="BF46" s="9"/>
      <c r="BG46" s="8">
        <f t="shared" si="23"/>
        <v>0</v>
      </c>
    </row>
    <row r="47" spans="1:59" s="4" customFormat="1" ht="20.100000000000001" customHeight="1" x14ac:dyDescent="0.3">
      <c r="A47" s="5"/>
      <c r="B47" s="5"/>
      <c r="C47" s="5"/>
      <c r="D47" s="5"/>
      <c r="E47" s="7"/>
      <c r="F47" s="5"/>
      <c r="G47" s="8"/>
      <c r="H47" s="9"/>
      <c r="I47" s="8">
        <f t="shared" si="18"/>
        <v>0</v>
      </c>
      <c r="K47" s="5">
        <v>250039</v>
      </c>
      <c r="L47" s="5">
        <v>304</v>
      </c>
      <c r="M47" s="6">
        <v>0.7</v>
      </c>
      <c r="N47" s="6" t="s">
        <v>27</v>
      </c>
      <c r="O47" s="7" t="s">
        <v>179</v>
      </c>
      <c r="P47" s="5">
        <v>304</v>
      </c>
      <c r="Q47" s="8">
        <v>2400</v>
      </c>
      <c r="R47" s="9">
        <v>2400</v>
      </c>
      <c r="S47" s="8">
        <f t="shared" si="19"/>
        <v>0</v>
      </c>
      <c r="U47" s="5"/>
      <c r="V47" s="5"/>
      <c r="W47" s="5"/>
      <c r="X47" s="5"/>
      <c r="Y47" s="7"/>
      <c r="Z47" s="5"/>
      <c r="AA47" s="8"/>
      <c r="AB47" s="9"/>
      <c r="AC47" s="8">
        <f t="shared" si="20"/>
        <v>0</v>
      </c>
      <c r="AE47" s="5"/>
      <c r="AF47" s="5"/>
      <c r="AG47" s="5"/>
      <c r="AH47" s="5"/>
      <c r="AI47" s="7"/>
      <c r="AJ47" s="5"/>
      <c r="AK47" s="8"/>
      <c r="AL47" s="9"/>
      <c r="AM47" s="8">
        <f t="shared" si="21"/>
        <v>0</v>
      </c>
      <c r="AO47" s="5"/>
      <c r="AP47" s="5"/>
      <c r="AQ47" s="5"/>
      <c r="AR47" s="5"/>
      <c r="AS47" s="7"/>
      <c r="AT47" s="5"/>
      <c r="AU47" s="8"/>
      <c r="AV47" s="9"/>
      <c r="AW47" s="8">
        <f t="shared" si="22"/>
        <v>0</v>
      </c>
      <c r="AY47" s="5"/>
      <c r="AZ47" s="5"/>
      <c r="BA47" s="5"/>
      <c r="BB47" s="5"/>
      <c r="BC47" s="7"/>
      <c r="BD47" s="5"/>
      <c r="BE47" s="8"/>
      <c r="BF47" s="9"/>
      <c r="BG47" s="8">
        <f t="shared" si="23"/>
        <v>0</v>
      </c>
    </row>
    <row r="48" spans="1:59" s="4" customFormat="1" ht="20.100000000000001" customHeight="1" x14ac:dyDescent="0.3">
      <c r="A48" s="5"/>
      <c r="B48" s="5"/>
      <c r="C48" s="5"/>
      <c r="D48" s="5"/>
      <c r="E48" s="7"/>
      <c r="F48" s="5"/>
      <c r="G48" s="8"/>
      <c r="H48" s="9"/>
      <c r="I48" s="8">
        <f t="shared" si="18"/>
        <v>0</v>
      </c>
      <c r="K48" s="5">
        <v>250039</v>
      </c>
      <c r="L48" s="5">
        <v>304</v>
      </c>
      <c r="M48" s="6">
        <v>0.7</v>
      </c>
      <c r="N48" s="6" t="s">
        <v>27</v>
      </c>
      <c r="O48" s="7" t="s">
        <v>230</v>
      </c>
      <c r="P48" s="5">
        <v>304</v>
      </c>
      <c r="Q48" s="8">
        <v>2400</v>
      </c>
      <c r="R48" s="9">
        <v>2400</v>
      </c>
      <c r="S48" s="8">
        <f t="shared" si="19"/>
        <v>0</v>
      </c>
      <c r="U48" s="5"/>
      <c r="V48" s="5"/>
      <c r="W48" s="5"/>
      <c r="X48" s="5"/>
      <c r="Y48" s="7"/>
      <c r="Z48" s="5"/>
      <c r="AA48" s="8"/>
      <c r="AB48" s="9"/>
      <c r="AC48" s="8">
        <f t="shared" si="20"/>
        <v>0</v>
      </c>
      <c r="AE48" s="5"/>
      <c r="AF48" s="5"/>
      <c r="AG48" s="5"/>
      <c r="AH48" s="5"/>
      <c r="AI48" s="7"/>
      <c r="AJ48" s="5"/>
      <c r="AK48" s="8"/>
      <c r="AL48" s="9"/>
      <c r="AM48" s="8">
        <f t="shared" si="21"/>
        <v>0</v>
      </c>
      <c r="AO48" s="5"/>
      <c r="AP48" s="5"/>
      <c r="AQ48" s="5"/>
      <c r="AR48" s="5"/>
      <c r="AS48" s="7"/>
      <c r="AT48" s="5"/>
      <c r="AU48" s="8"/>
      <c r="AV48" s="9"/>
      <c r="AW48" s="8">
        <f t="shared" si="22"/>
        <v>0</v>
      </c>
      <c r="AY48" s="5"/>
      <c r="AZ48" s="5"/>
      <c r="BA48" s="5"/>
      <c r="BB48" s="5"/>
      <c r="BC48" s="7"/>
      <c r="BD48" s="5"/>
      <c r="BE48" s="8"/>
      <c r="BF48" s="9"/>
      <c r="BG48" s="8">
        <f t="shared" si="23"/>
        <v>0</v>
      </c>
    </row>
    <row r="49" spans="1:59" s="4" customFormat="1" ht="20.100000000000001" customHeight="1" x14ac:dyDescent="0.3">
      <c r="A49" s="5"/>
      <c r="B49" s="5"/>
      <c r="C49" s="5"/>
      <c r="D49" s="5"/>
      <c r="E49" s="7"/>
      <c r="F49" s="5"/>
      <c r="G49" s="8">
        <f>SUM(G43:G48)</f>
        <v>8400</v>
      </c>
      <c r="H49" s="9">
        <f>SUM(H43:H48)</f>
        <v>8400</v>
      </c>
      <c r="I49" s="8">
        <f>SUM(I43:I48)</f>
        <v>0</v>
      </c>
      <c r="K49" s="5"/>
      <c r="L49" s="5"/>
      <c r="M49" s="5"/>
      <c r="N49" s="5"/>
      <c r="O49" s="7"/>
      <c r="P49" s="5"/>
      <c r="Q49" s="8">
        <f>SUM(Q43:Q48)</f>
        <v>12000</v>
      </c>
      <c r="R49" s="9">
        <f>SUM(R43:R48)</f>
        <v>12000</v>
      </c>
      <c r="S49" s="8">
        <f>SUM(S43:S48)</f>
        <v>0</v>
      </c>
      <c r="U49" s="5"/>
      <c r="V49" s="5"/>
      <c r="W49" s="5"/>
      <c r="X49" s="5"/>
      <c r="Y49" s="7"/>
      <c r="Z49" s="5"/>
      <c r="AA49" s="8">
        <f>SUM(AA43:AA48)</f>
        <v>0</v>
      </c>
      <c r="AB49" s="9">
        <f>SUM(AB43:AB48)</f>
        <v>0</v>
      </c>
      <c r="AC49" s="8">
        <f>SUM(AC43:AC48)</f>
        <v>0</v>
      </c>
      <c r="AE49" s="5"/>
      <c r="AF49" s="5"/>
      <c r="AG49" s="5"/>
      <c r="AH49" s="5"/>
      <c r="AI49" s="7"/>
      <c r="AJ49" s="5"/>
      <c r="AK49" s="8">
        <f>SUM(AK43:AK48)</f>
        <v>825</v>
      </c>
      <c r="AL49" s="9">
        <f>SUM(AL43:AL48)</f>
        <v>825</v>
      </c>
      <c r="AM49" s="8">
        <f>SUM(AM43:AM48)</f>
        <v>0</v>
      </c>
      <c r="AO49" s="5"/>
      <c r="AP49" s="5"/>
      <c r="AQ49" s="5"/>
      <c r="AR49" s="5"/>
      <c r="AS49" s="7"/>
      <c r="AT49" s="5"/>
      <c r="AU49" s="8">
        <f>SUM(AU43:AU48)</f>
        <v>0</v>
      </c>
      <c r="AV49" s="9">
        <f>SUM(AV43:AV48)</f>
        <v>0</v>
      </c>
      <c r="AW49" s="8">
        <f>SUM(AW43:AW48)</f>
        <v>0</v>
      </c>
      <c r="AY49" s="5"/>
      <c r="AZ49" s="5"/>
      <c r="BA49" s="5"/>
      <c r="BB49" s="5"/>
      <c r="BC49" s="7"/>
      <c r="BD49" s="5"/>
      <c r="BE49" s="8">
        <f>SUM(BE43:BE48)</f>
        <v>0</v>
      </c>
      <c r="BF49" s="9">
        <f>SUM(BF43:BF48)</f>
        <v>0</v>
      </c>
      <c r="BG49" s="8">
        <f>SUM(BG43:BG48)</f>
        <v>0</v>
      </c>
    </row>
    <row r="52" spans="1:59" x14ac:dyDescent="0.3">
      <c r="A52" s="91" t="s">
        <v>0</v>
      </c>
      <c r="B52" s="91"/>
      <c r="C52" s="91"/>
      <c r="D52" s="91"/>
      <c r="E52" s="91"/>
      <c r="F52" s="91"/>
      <c r="G52" s="91"/>
      <c r="H52" s="91"/>
      <c r="I52" s="91"/>
      <c r="K52" s="91" t="s">
        <v>1</v>
      </c>
      <c r="L52" s="91"/>
      <c r="M52" s="91"/>
      <c r="N52" s="91"/>
      <c r="O52" s="91"/>
      <c r="P52" s="91"/>
      <c r="Q52" s="91"/>
      <c r="R52" s="91"/>
      <c r="S52" s="91"/>
      <c r="U52" s="91"/>
      <c r="V52" s="91"/>
      <c r="W52" s="91"/>
      <c r="X52" s="91"/>
      <c r="Y52" s="91"/>
      <c r="Z52" s="91"/>
      <c r="AA52" s="91"/>
      <c r="AB52" s="91"/>
      <c r="AC52" s="91"/>
      <c r="AE52" s="91" t="s">
        <v>3</v>
      </c>
      <c r="AF52" s="91"/>
      <c r="AG52" s="91"/>
      <c r="AH52" s="91"/>
      <c r="AI52" s="91"/>
      <c r="AJ52" s="91"/>
      <c r="AK52" s="91"/>
      <c r="AL52" s="91"/>
      <c r="AM52" s="91"/>
      <c r="AO52" s="91" t="s">
        <v>4</v>
      </c>
      <c r="AP52" s="91"/>
      <c r="AQ52" s="91"/>
      <c r="AR52" s="91"/>
      <c r="AS52" s="91"/>
      <c r="AT52" s="91"/>
      <c r="AU52" s="91"/>
      <c r="AV52" s="91"/>
      <c r="AW52" s="91"/>
      <c r="AY52" s="91" t="s">
        <v>5</v>
      </c>
      <c r="AZ52" s="91"/>
      <c r="BA52" s="91"/>
      <c r="BB52" s="91"/>
      <c r="BC52" s="91"/>
      <c r="BD52" s="91"/>
      <c r="BE52" s="91"/>
      <c r="BF52" s="91"/>
      <c r="BG52" s="91"/>
    </row>
    <row r="53" spans="1:59" x14ac:dyDescent="0.3">
      <c r="A53" s="91" t="s">
        <v>16</v>
      </c>
      <c r="B53" s="91"/>
      <c r="C53" s="91"/>
      <c r="D53" s="91"/>
      <c r="E53" s="91"/>
      <c r="F53" s="91"/>
      <c r="G53" s="91"/>
      <c r="H53" s="91"/>
      <c r="I53" s="91"/>
      <c r="K53" s="91" t="s">
        <v>21</v>
      </c>
      <c r="L53" s="91"/>
      <c r="M53" s="91"/>
      <c r="N53" s="91"/>
      <c r="O53" s="91"/>
      <c r="P53" s="91"/>
      <c r="Q53" s="91"/>
      <c r="R53" s="91"/>
      <c r="S53" s="91"/>
      <c r="U53" s="91" t="s">
        <v>21</v>
      </c>
      <c r="V53" s="91"/>
      <c r="W53" s="91"/>
      <c r="X53" s="91"/>
      <c r="Y53" s="91"/>
      <c r="Z53" s="91"/>
      <c r="AA53" s="91"/>
      <c r="AB53" s="91"/>
      <c r="AC53" s="91"/>
      <c r="AE53" s="91" t="s">
        <v>21</v>
      </c>
      <c r="AF53" s="91"/>
      <c r="AG53" s="91"/>
      <c r="AH53" s="91"/>
      <c r="AI53" s="91"/>
      <c r="AJ53" s="91"/>
      <c r="AK53" s="91"/>
      <c r="AL53" s="91"/>
      <c r="AM53" s="91"/>
      <c r="AO53" s="91" t="s">
        <v>21</v>
      </c>
      <c r="AP53" s="91"/>
      <c r="AQ53" s="91"/>
      <c r="AR53" s="91"/>
      <c r="AS53" s="91"/>
      <c r="AT53" s="91"/>
      <c r="AU53" s="91"/>
      <c r="AV53" s="91"/>
      <c r="AW53" s="91"/>
      <c r="AY53" s="91" t="s">
        <v>21</v>
      </c>
      <c r="AZ53" s="91"/>
      <c r="BA53" s="91"/>
      <c r="BB53" s="91"/>
      <c r="BC53" s="91"/>
      <c r="BD53" s="91"/>
      <c r="BE53" s="91"/>
      <c r="BF53" s="91"/>
      <c r="BG53" s="91"/>
    </row>
    <row r="54" spans="1:59" s="4" customFormat="1" ht="23.1" customHeight="1" x14ac:dyDescent="0.3">
      <c r="A54" s="2" t="s">
        <v>7</v>
      </c>
      <c r="B54" s="2" t="s">
        <v>8</v>
      </c>
      <c r="C54" s="3" t="s">
        <v>9</v>
      </c>
      <c r="D54" s="3" t="s">
        <v>24</v>
      </c>
      <c r="E54" s="2" t="s">
        <v>10</v>
      </c>
      <c r="F54" s="2" t="s">
        <v>11</v>
      </c>
      <c r="G54" s="2" t="s">
        <v>12</v>
      </c>
      <c r="H54" s="2" t="s">
        <v>13</v>
      </c>
      <c r="I54" s="2" t="s">
        <v>14</v>
      </c>
      <c r="K54" s="2" t="s">
        <v>7</v>
      </c>
      <c r="L54" s="2" t="s">
        <v>8</v>
      </c>
      <c r="M54" s="3" t="s">
        <v>9</v>
      </c>
      <c r="N54" s="3" t="s">
        <v>24</v>
      </c>
      <c r="O54" s="2" t="s">
        <v>10</v>
      </c>
      <c r="P54" s="2" t="s">
        <v>11</v>
      </c>
      <c r="Q54" s="2" t="s">
        <v>12</v>
      </c>
      <c r="R54" s="2" t="s">
        <v>13</v>
      </c>
      <c r="S54" s="2" t="s">
        <v>14</v>
      </c>
      <c r="U54" s="2" t="s">
        <v>7</v>
      </c>
      <c r="V54" s="2" t="s">
        <v>8</v>
      </c>
      <c r="W54" s="3" t="s">
        <v>9</v>
      </c>
      <c r="X54" s="3" t="s">
        <v>24</v>
      </c>
      <c r="Y54" s="2" t="s">
        <v>10</v>
      </c>
      <c r="Z54" s="2" t="s">
        <v>11</v>
      </c>
      <c r="AA54" s="2" t="s">
        <v>12</v>
      </c>
      <c r="AB54" s="2" t="s">
        <v>13</v>
      </c>
      <c r="AC54" s="2" t="s">
        <v>14</v>
      </c>
      <c r="AE54" s="2" t="s">
        <v>7</v>
      </c>
      <c r="AF54" s="2" t="s">
        <v>8</v>
      </c>
      <c r="AG54" s="3" t="s">
        <v>9</v>
      </c>
      <c r="AH54" s="3" t="s">
        <v>24</v>
      </c>
      <c r="AI54" s="2" t="s">
        <v>10</v>
      </c>
      <c r="AJ54" s="2" t="s">
        <v>11</v>
      </c>
      <c r="AK54" s="2" t="s">
        <v>12</v>
      </c>
      <c r="AL54" s="2" t="s">
        <v>13</v>
      </c>
      <c r="AM54" s="2" t="s">
        <v>14</v>
      </c>
      <c r="AO54" s="2" t="s">
        <v>7</v>
      </c>
      <c r="AP54" s="2" t="s">
        <v>8</v>
      </c>
      <c r="AQ54" s="3" t="s">
        <v>9</v>
      </c>
      <c r="AR54" s="3" t="s">
        <v>24</v>
      </c>
      <c r="AS54" s="2" t="s">
        <v>10</v>
      </c>
      <c r="AT54" s="2" t="s">
        <v>11</v>
      </c>
      <c r="AU54" s="2" t="s">
        <v>12</v>
      </c>
      <c r="AV54" s="2" t="s">
        <v>13</v>
      </c>
      <c r="AW54" s="2" t="s">
        <v>14</v>
      </c>
      <c r="AY54" s="2" t="s">
        <v>7</v>
      </c>
      <c r="AZ54" s="2" t="s">
        <v>8</v>
      </c>
      <c r="BA54" s="3" t="s">
        <v>9</v>
      </c>
      <c r="BB54" s="3" t="s">
        <v>24</v>
      </c>
      <c r="BC54" s="2" t="s">
        <v>10</v>
      </c>
      <c r="BD54" s="2" t="s">
        <v>11</v>
      </c>
      <c r="BE54" s="2" t="s">
        <v>12</v>
      </c>
      <c r="BF54" s="2" t="s">
        <v>13</v>
      </c>
      <c r="BG54" s="2" t="s">
        <v>14</v>
      </c>
    </row>
    <row r="55" spans="1:59" s="4" customFormat="1" ht="20.100000000000001" customHeight="1" x14ac:dyDescent="0.3">
      <c r="A55" s="5"/>
      <c r="B55" s="5"/>
      <c r="C55" s="6"/>
      <c r="D55" s="6"/>
      <c r="E55" s="7" t="s">
        <v>17</v>
      </c>
      <c r="F55" s="5"/>
      <c r="G55" s="8"/>
      <c r="H55" s="9"/>
      <c r="I55" s="8">
        <f>G55-H55</f>
        <v>0</v>
      </c>
      <c r="K55" s="5"/>
      <c r="L55" s="5"/>
      <c r="M55" s="6"/>
      <c r="N55" s="6"/>
      <c r="O55" s="7"/>
      <c r="P55" s="5"/>
      <c r="Q55" s="8"/>
      <c r="R55" s="9"/>
      <c r="S55" s="8">
        <f>Q55-R55</f>
        <v>0</v>
      </c>
      <c r="U55" s="5"/>
      <c r="V55" s="5"/>
      <c r="W55" s="6"/>
      <c r="X55" s="6"/>
      <c r="Y55" s="7"/>
      <c r="Z55" s="5"/>
      <c r="AA55" s="8"/>
      <c r="AB55" s="9"/>
      <c r="AC55" s="8">
        <f>AA55-AB55</f>
        <v>0</v>
      </c>
      <c r="AE55" s="5"/>
      <c r="AF55" s="5"/>
      <c r="AG55" s="6"/>
      <c r="AH55" s="6"/>
      <c r="AI55" s="7"/>
      <c r="AJ55" s="5"/>
      <c r="AK55" s="8"/>
      <c r="AL55" s="9"/>
      <c r="AM55" s="8">
        <f>AK55-AL55</f>
        <v>0</v>
      </c>
      <c r="AO55" s="5"/>
      <c r="AP55" s="5"/>
      <c r="AQ55" s="6"/>
      <c r="AR55" s="6"/>
      <c r="AS55" s="7"/>
      <c r="AT55" s="5"/>
      <c r="AU55" s="8"/>
      <c r="AV55" s="9"/>
      <c r="AW55" s="8">
        <f>AU55-AV55</f>
        <v>0</v>
      </c>
      <c r="AY55" s="5"/>
      <c r="AZ55" s="5"/>
      <c r="BA55" s="6"/>
      <c r="BB55" s="6"/>
      <c r="BC55" s="7"/>
      <c r="BD55" s="5"/>
      <c r="BE55" s="8"/>
      <c r="BF55" s="9"/>
      <c r="BG55" s="8">
        <f>BE55-BF55</f>
        <v>0</v>
      </c>
    </row>
    <row r="56" spans="1:59" s="4" customFormat="1" ht="20.100000000000001" customHeight="1" x14ac:dyDescent="0.3">
      <c r="A56" s="5">
        <v>90725</v>
      </c>
      <c r="B56" s="5">
        <v>304</v>
      </c>
      <c r="C56" s="5">
        <v>0.9</v>
      </c>
      <c r="D56" s="5" t="s">
        <v>27</v>
      </c>
      <c r="E56" s="7" t="s">
        <v>32</v>
      </c>
      <c r="F56" s="5" t="s">
        <v>29</v>
      </c>
      <c r="G56" s="8">
        <v>3000</v>
      </c>
      <c r="H56" s="9">
        <v>3000</v>
      </c>
      <c r="I56" s="8">
        <f t="shared" ref="I56:I60" si="24">G56-H56</f>
        <v>0</v>
      </c>
      <c r="K56" s="5"/>
      <c r="L56" s="5"/>
      <c r="M56" s="5"/>
      <c r="N56" s="5"/>
      <c r="O56" s="7"/>
      <c r="P56" s="5"/>
      <c r="Q56" s="8"/>
      <c r="R56" s="9"/>
      <c r="S56" s="8">
        <f t="shared" ref="S56:S60" si="25">Q56-R56</f>
        <v>0</v>
      </c>
      <c r="U56" s="5"/>
      <c r="V56" s="5"/>
      <c r="W56" s="5"/>
      <c r="X56" s="5"/>
      <c r="Y56" s="7"/>
      <c r="Z56" s="5"/>
      <c r="AA56" s="8"/>
      <c r="AB56" s="9"/>
      <c r="AC56" s="8">
        <f t="shared" ref="AC56:AC60" si="26">AA56-AB56</f>
        <v>0</v>
      </c>
      <c r="AE56" s="5"/>
      <c r="AF56" s="5"/>
      <c r="AG56" s="5"/>
      <c r="AH56" s="5"/>
      <c r="AI56" s="7"/>
      <c r="AJ56" s="5"/>
      <c r="AK56" s="8"/>
      <c r="AL56" s="9"/>
      <c r="AM56" s="8">
        <f t="shared" ref="AM56:AM60" si="27">AK56-AL56</f>
        <v>0</v>
      </c>
      <c r="AO56" s="5"/>
      <c r="AP56" s="5"/>
      <c r="AQ56" s="5"/>
      <c r="AR56" s="5"/>
      <c r="AS56" s="7"/>
      <c r="AT56" s="5"/>
      <c r="AU56" s="8"/>
      <c r="AV56" s="9"/>
      <c r="AW56" s="8">
        <f t="shared" ref="AW56:AW60" si="28">AU56-AV56</f>
        <v>0</v>
      </c>
      <c r="AY56" s="5"/>
      <c r="AZ56" s="5"/>
      <c r="BA56" s="5"/>
      <c r="BB56" s="5"/>
      <c r="BC56" s="7"/>
      <c r="BD56" s="5"/>
      <c r="BE56" s="8"/>
      <c r="BF56" s="9"/>
      <c r="BG56" s="8">
        <f t="shared" ref="BG56:BG60" si="29">BE56-BF56</f>
        <v>0</v>
      </c>
    </row>
    <row r="57" spans="1:59" s="4" customFormat="1" ht="20.100000000000001" customHeight="1" x14ac:dyDescent="0.3">
      <c r="A57" s="5"/>
      <c r="B57" s="5"/>
      <c r="C57" s="5"/>
      <c r="D57" s="5"/>
      <c r="E57" s="7"/>
      <c r="F57" s="5"/>
      <c r="G57" s="8"/>
      <c r="H57" s="9"/>
      <c r="I57" s="8">
        <f t="shared" si="24"/>
        <v>0</v>
      </c>
      <c r="K57" s="5"/>
      <c r="L57" s="5"/>
      <c r="M57" s="5"/>
      <c r="N57" s="5"/>
      <c r="O57" s="7"/>
      <c r="P57" s="5"/>
      <c r="Q57" s="8"/>
      <c r="R57" s="9"/>
      <c r="S57" s="8">
        <f t="shared" si="25"/>
        <v>0</v>
      </c>
      <c r="U57" s="5"/>
      <c r="V57" s="5"/>
      <c r="W57" s="5"/>
      <c r="X57" s="5"/>
      <c r="Y57" s="7"/>
      <c r="Z57" s="5"/>
      <c r="AA57" s="8"/>
      <c r="AB57" s="9"/>
      <c r="AC57" s="8">
        <f t="shared" si="26"/>
        <v>0</v>
      </c>
      <c r="AE57" s="5"/>
      <c r="AF57" s="5"/>
      <c r="AG57" s="5"/>
      <c r="AH57" s="5"/>
      <c r="AI57" s="7"/>
      <c r="AJ57" s="5"/>
      <c r="AK57" s="8"/>
      <c r="AL57" s="9"/>
      <c r="AM57" s="8">
        <f t="shared" si="27"/>
        <v>0</v>
      </c>
      <c r="AO57" s="5"/>
      <c r="AP57" s="5"/>
      <c r="AQ57" s="5"/>
      <c r="AR57" s="5"/>
      <c r="AS57" s="7"/>
      <c r="AT57" s="5"/>
      <c r="AU57" s="8"/>
      <c r="AV57" s="9"/>
      <c r="AW57" s="8">
        <f t="shared" si="28"/>
        <v>0</v>
      </c>
      <c r="AY57" s="5"/>
      <c r="AZ57" s="5"/>
      <c r="BA57" s="5"/>
      <c r="BB57" s="5"/>
      <c r="BC57" s="7"/>
      <c r="BD57" s="5"/>
      <c r="BE57" s="8"/>
      <c r="BF57" s="9"/>
      <c r="BG57" s="8">
        <f t="shared" si="29"/>
        <v>0</v>
      </c>
    </row>
    <row r="58" spans="1:59" s="4" customFormat="1" ht="20.100000000000001" customHeight="1" x14ac:dyDescent="0.3">
      <c r="A58" s="5"/>
      <c r="B58" s="5"/>
      <c r="C58" s="5"/>
      <c r="D58" s="5"/>
      <c r="E58" s="7"/>
      <c r="F58" s="5"/>
      <c r="G58" s="8"/>
      <c r="H58" s="9"/>
      <c r="I58" s="8">
        <f t="shared" si="24"/>
        <v>0</v>
      </c>
      <c r="K58" s="5"/>
      <c r="L58" s="5"/>
      <c r="M58" s="5"/>
      <c r="N58" s="5"/>
      <c r="O58" s="7"/>
      <c r="P58" s="5"/>
      <c r="Q58" s="8"/>
      <c r="R58" s="9"/>
      <c r="S58" s="8">
        <f t="shared" si="25"/>
        <v>0</v>
      </c>
      <c r="U58" s="5"/>
      <c r="V58" s="5"/>
      <c r="W58" s="5"/>
      <c r="X58" s="5"/>
      <c r="Y58" s="7"/>
      <c r="Z58" s="5"/>
      <c r="AA58" s="8"/>
      <c r="AB58" s="9"/>
      <c r="AC58" s="8">
        <f t="shared" si="26"/>
        <v>0</v>
      </c>
      <c r="AE58" s="5"/>
      <c r="AF58" s="5"/>
      <c r="AG58" s="5"/>
      <c r="AH58" s="5"/>
      <c r="AI58" s="7"/>
      <c r="AJ58" s="5"/>
      <c r="AK58" s="8"/>
      <c r="AL58" s="9"/>
      <c r="AM58" s="8">
        <f t="shared" si="27"/>
        <v>0</v>
      </c>
      <c r="AO58" s="5"/>
      <c r="AP58" s="5"/>
      <c r="AQ58" s="5"/>
      <c r="AR58" s="5"/>
      <c r="AS58" s="7"/>
      <c r="AT58" s="5"/>
      <c r="AU58" s="8"/>
      <c r="AV58" s="9"/>
      <c r="AW58" s="8">
        <f t="shared" si="28"/>
        <v>0</v>
      </c>
      <c r="AY58" s="5"/>
      <c r="AZ58" s="5"/>
      <c r="BA58" s="5"/>
      <c r="BB58" s="5"/>
      <c r="BC58" s="7"/>
      <c r="BD58" s="5"/>
      <c r="BE58" s="8"/>
      <c r="BF58" s="9"/>
      <c r="BG58" s="8">
        <f t="shared" si="29"/>
        <v>0</v>
      </c>
    </row>
    <row r="59" spans="1:59" s="4" customFormat="1" ht="20.100000000000001" customHeight="1" x14ac:dyDescent="0.3">
      <c r="A59" s="5"/>
      <c r="B59" s="5"/>
      <c r="C59" s="5"/>
      <c r="D59" s="5"/>
      <c r="E59" s="7"/>
      <c r="F59" s="5"/>
      <c r="G59" s="8"/>
      <c r="H59" s="9"/>
      <c r="I59" s="8">
        <f t="shared" si="24"/>
        <v>0</v>
      </c>
      <c r="K59" s="5"/>
      <c r="L59" s="5"/>
      <c r="M59" s="5"/>
      <c r="N59" s="5"/>
      <c r="O59" s="7"/>
      <c r="P59" s="5"/>
      <c r="Q59" s="8"/>
      <c r="R59" s="9"/>
      <c r="S59" s="8">
        <f t="shared" si="25"/>
        <v>0</v>
      </c>
      <c r="U59" s="5"/>
      <c r="V59" s="5"/>
      <c r="W59" s="5"/>
      <c r="X59" s="5"/>
      <c r="Y59" s="7"/>
      <c r="Z59" s="5"/>
      <c r="AA59" s="8"/>
      <c r="AB59" s="9"/>
      <c r="AC59" s="8">
        <f t="shared" si="26"/>
        <v>0</v>
      </c>
      <c r="AE59" s="5"/>
      <c r="AF59" s="5"/>
      <c r="AG59" s="5"/>
      <c r="AH59" s="5"/>
      <c r="AI59" s="7"/>
      <c r="AJ59" s="5"/>
      <c r="AK59" s="8"/>
      <c r="AL59" s="9"/>
      <c r="AM59" s="8">
        <f t="shared" si="27"/>
        <v>0</v>
      </c>
      <c r="AO59" s="5"/>
      <c r="AP59" s="5"/>
      <c r="AQ59" s="5"/>
      <c r="AR59" s="5"/>
      <c r="AS59" s="7"/>
      <c r="AT59" s="5"/>
      <c r="AU59" s="8"/>
      <c r="AV59" s="9"/>
      <c r="AW59" s="8">
        <f t="shared" si="28"/>
        <v>0</v>
      </c>
      <c r="AY59" s="5"/>
      <c r="AZ59" s="5"/>
      <c r="BA59" s="5"/>
      <c r="BB59" s="5"/>
      <c r="BC59" s="7"/>
      <c r="BD59" s="5"/>
      <c r="BE59" s="8"/>
      <c r="BF59" s="9"/>
      <c r="BG59" s="8">
        <f t="shared" si="29"/>
        <v>0</v>
      </c>
    </row>
    <row r="60" spans="1:59" s="4" customFormat="1" ht="20.100000000000001" customHeight="1" x14ac:dyDescent="0.3">
      <c r="A60" s="5"/>
      <c r="B60" s="5"/>
      <c r="C60" s="5"/>
      <c r="D60" s="5"/>
      <c r="E60" s="7"/>
      <c r="F60" s="5"/>
      <c r="G60" s="8"/>
      <c r="H60" s="9"/>
      <c r="I60" s="8">
        <f t="shared" si="24"/>
        <v>0</v>
      </c>
      <c r="K60" s="5"/>
      <c r="L60" s="5"/>
      <c r="M60" s="5"/>
      <c r="N60" s="5"/>
      <c r="O60" s="7"/>
      <c r="P60" s="5"/>
      <c r="Q60" s="8"/>
      <c r="R60" s="9"/>
      <c r="S60" s="8">
        <f t="shared" si="25"/>
        <v>0</v>
      </c>
      <c r="U60" s="5"/>
      <c r="V60" s="5"/>
      <c r="W60" s="5"/>
      <c r="X60" s="5"/>
      <c r="Y60" s="7"/>
      <c r="Z60" s="5"/>
      <c r="AA60" s="8"/>
      <c r="AB60" s="9"/>
      <c r="AC60" s="8">
        <f t="shared" si="26"/>
        <v>0</v>
      </c>
      <c r="AE60" s="5"/>
      <c r="AF60" s="5"/>
      <c r="AG60" s="5"/>
      <c r="AH60" s="5"/>
      <c r="AI60" s="7"/>
      <c r="AJ60" s="5"/>
      <c r="AK60" s="8"/>
      <c r="AL60" s="9"/>
      <c r="AM60" s="8">
        <f t="shared" si="27"/>
        <v>0</v>
      </c>
      <c r="AO60" s="5"/>
      <c r="AP60" s="5"/>
      <c r="AQ60" s="5"/>
      <c r="AR60" s="5"/>
      <c r="AS60" s="7"/>
      <c r="AT60" s="5"/>
      <c r="AU60" s="8"/>
      <c r="AV60" s="9"/>
      <c r="AW60" s="8">
        <f t="shared" si="28"/>
        <v>0</v>
      </c>
      <c r="AY60" s="5"/>
      <c r="AZ60" s="5"/>
      <c r="BA60" s="5"/>
      <c r="BB60" s="5"/>
      <c r="BC60" s="7"/>
      <c r="BD60" s="5"/>
      <c r="BE60" s="8"/>
      <c r="BF60" s="9"/>
      <c r="BG60" s="8">
        <f t="shared" si="29"/>
        <v>0</v>
      </c>
    </row>
    <row r="61" spans="1:59" s="4" customFormat="1" ht="20.100000000000001" customHeight="1" x14ac:dyDescent="0.3">
      <c r="A61" s="5"/>
      <c r="B61" s="5"/>
      <c r="C61" s="5"/>
      <c r="D61" s="5"/>
      <c r="E61" s="7"/>
      <c r="F61" s="5"/>
      <c r="G61" s="8">
        <f>SUM(G55:G60)</f>
        <v>3000</v>
      </c>
      <c r="H61" s="9">
        <f>SUM(H55:H60)</f>
        <v>3000</v>
      </c>
      <c r="I61" s="8">
        <f>SUM(I55:I60)</f>
        <v>0</v>
      </c>
      <c r="K61" s="5"/>
      <c r="L61" s="5"/>
      <c r="M61" s="5"/>
      <c r="N61" s="5"/>
      <c r="O61" s="7"/>
      <c r="P61" s="5"/>
      <c r="Q61" s="8">
        <f>SUM(Q55:Q60)</f>
        <v>0</v>
      </c>
      <c r="R61" s="9">
        <f>SUM(R55:R60)</f>
        <v>0</v>
      </c>
      <c r="S61" s="8">
        <f>SUM(S55:S60)</f>
        <v>0</v>
      </c>
      <c r="U61" s="5"/>
      <c r="V61" s="5"/>
      <c r="W61" s="5"/>
      <c r="X61" s="5"/>
      <c r="Y61" s="7"/>
      <c r="Z61" s="5"/>
      <c r="AA61" s="8">
        <f>SUM(AA55:AA60)</f>
        <v>0</v>
      </c>
      <c r="AB61" s="9">
        <f>SUM(AB55:AB60)</f>
        <v>0</v>
      </c>
      <c r="AC61" s="8">
        <f>SUM(AC55:AC60)</f>
        <v>0</v>
      </c>
      <c r="AE61" s="5"/>
      <c r="AF61" s="5"/>
      <c r="AG61" s="5"/>
      <c r="AH61" s="5"/>
      <c r="AI61" s="7"/>
      <c r="AJ61" s="5"/>
      <c r="AK61" s="8">
        <f>SUM(AK55:AK60)</f>
        <v>0</v>
      </c>
      <c r="AL61" s="9">
        <f>SUM(AL55:AL60)</f>
        <v>0</v>
      </c>
      <c r="AM61" s="8">
        <f>SUM(AM55:AM60)</f>
        <v>0</v>
      </c>
      <c r="AO61" s="5"/>
      <c r="AP61" s="5"/>
      <c r="AQ61" s="5"/>
      <c r="AR61" s="5"/>
      <c r="AS61" s="7"/>
      <c r="AT61" s="5"/>
      <c r="AU61" s="8">
        <f>SUM(AU55:AU60)</f>
        <v>0</v>
      </c>
      <c r="AV61" s="9">
        <f>SUM(AV55:AV60)</f>
        <v>0</v>
      </c>
      <c r="AW61" s="8">
        <f>SUM(AW55:AW60)</f>
        <v>0</v>
      </c>
      <c r="AY61" s="5"/>
      <c r="AZ61" s="5"/>
      <c r="BA61" s="5"/>
      <c r="BB61" s="5"/>
      <c r="BC61" s="7"/>
      <c r="BD61" s="5"/>
      <c r="BE61" s="8">
        <f>SUM(BE55:BE60)</f>
        <v>0</v>
      </c>
      <c r="BF61" s="9">
        <f>SUM(BF55:BF60)</f>
        <v>0</v>
      </c>
      <c r="BG61" s="8">
        <f>SUM(BG55:BG60)</f>
        <v>0</v>
      </c>
    </row>
    <row r="64" spans="1:59" x14ac:dyDescent="0.3">
      <c r="A64" s="91" t="s">
        <v>0</v>
      </c>
      <c r="B64" s="91"/>
      <c r="C64" s="91"/>
      <c r="D64" s="91"/>
      <c r="E64" s="91"/>
      <c r="F64" s="91"/>
      <c r="G64" s="91"/>
      <c r="H64" s="91"/>
      <c r="I64" s="91"/>
      <c r="K64" s="91" t="s">
        <v>1</v>
      </c>
      <c r="L64" s="91"/>
      <c r="M64" s="91"/>
      <c r="N64" s="91"/>
      <c r="O64" s="91"/>
      <c r="P64" s="91"/>
      <c r="Q64" s="91"/>
      <c r="R64" s="91"/>
      <c r="S64" s="91"/>
      <c r="U64" s="91" t="s">
        <v>2</v>
      </c>
      <c r="V64" s="91"/>
      <c r="W64" s="91"/>
      <c r="X64" s="91"/>
      <c r="Y64" s="91"/>
      <c r="Z64" s="91"/>
      <c r="AA64" s="91"/>
      <c r="AB64" s="91"/>
      <c r="AC64" s="91"/>
      <c r="AE64" s="91" t="s">
        <v>3</v>
      </c>
      <c r="AF64" s="91"/>
      <c r="AG64" s="91"/>
      <c r="AH64" s="91"/>
      <c r="AI64" s="91"/>
      <c r="AJ64" s="91"/>
      <c r="AK64" s="91"/>
      <c r="AL64" s="91"/>
      <c r="AM64" s="91"/>
      <c r="AO64" s="91" t="s">
        <v>4</v>
      </c>
      <c r="AP64" s="91"/>
      <c r="AQ64" s="91"/>
      <c r="AR64" s="91"/>
      <c r="AS64" s="91"/>
      <c r="AT64" s="91"/>
      <c r="AU64" s="91"/>
      <c r="AV64" s="91"/>
      <c r="AW64" s="91"/>
      <c r="AY64" s="91" t="s">
        <v>5</v>
      </c>
      <c r="AZ64" s="91"/>
      <c r="BA64" s="91"/>
      <c r="BB64" s="91"/>
      <c r="BC64" s="91"/>
      <c r="BD64" s="91"/>
      <c r="BE64" s="91"/>
      <c r="BF64" s="91"/>
      <c r="BG64" s="91"/>
    </row>
    <row r="65" spans="1:59" x14ac:dyDescent="0.3">
      <c r="A65" s="91" t="s">
        <v>18</v>
      </c>
      <c r="B65" s="91"/>
      <c r="C65" s="91"/>
      <c r="D65" s="91"/>
      <c r="E65" s="91"/>
      <c r="F65" s="91"/>
      <c r="G65" s="91"/>
      <c r="H65" s="91"/>
      <c r="I65" s="91"/>
      <c r="K65" s="91" t="s">
        <v>18</v>
      </c>
      <c r="L65" s="91"/>
      <c r="M65" s="91"/>
      <c r="N65" s="91"/>
      <c r="O65" s="91"/>
      <c r="P65" s="91"/>
      <c r="Q65" s="91"/>
      <c r="R65" s="91"/>
      <c r="S65" s="91"/>
      <c r="U65" s="91" t="s">
        <v>18</v>
      </c>
      <c r="V65" s="91"/>
      <c r="W65" s="91"/>
      <c r="X65" s="91"/>
      <c r="Y65" s="91"/>
      <c r="Z65" s="91"/>
      <c r="AA65" s="91"/>
      <c r="AB65" s="91"/>
      <c r="AC65" s="91"/>
      <c r="AE65" s="91" t="s">
        <v>18</v>
      </c>
      <c r="AF65" s="91"/>
      <c r="AG65" s="91"/>
      <c r="AH65" s="91"/>
      <c r="AI65" s="91"/>
      <c r="AJ65" s="91"/>
      <c r="AK65" s="91"/>
      <c r="AL65" s="91"/>
      <c r="AM65" s="91"/>
      <c r="AO65" s="91" t="s">
        <v>18</v>
      </c>
      <c r="AP65" s="91"/>
      <c r="AQ65" s="91"/>
      <c r="AR65" s="91"/>
      <c r="AS65" s="91"/>
      <c r="AT65" s="91"/>
      <c r="AU65" s="91"/>
      <c r="AV65" s="91"/>
      <c r="AW65" s="91"/>
      <c r="AY65" s="91" t="s">
        <v>18</v>
      </c>
      <c r="AZ65" s="91"/>
      <c r="BA65" s="91"/>
      <c r="BB65" s="91"/>
      <c r="BC65" s="91"/>
      <c r="BD65" s="91"/>
      <c r="BE65" s="91"/>
      <c r="BF65" s="91"/>
      <c r="BG65" s="91"/>
    </row>
    <row r="66" spans="1:59" s="4" customFormat="1" ht="23.1" customHeight="1" x14ac:dyDescent="0.3">
      <c r="A66" s="2" t="s">
        <v>7</v>
      </c>
      <c r="B66" s="2" t="s">
        <v>8</v>
      </c>
      <c r="C66" s="3" t="s">
        <v>9</v>
      </c>
      <c r="D66" s="3" t="s">
        <v>24</v>
      </c>
      <c r="E66" s="2" t="s">
        <v>10</v>
      </c>
      <c r="F66" s="2" t="s">
        <v>11</v>
      </c>
      <c r="G66" s="2" t="s">
        <v>12</v>
      </c>
      <c r="H66" s="2" t="s">
        <v>13</v>
      </c>
      <c r="I66" s="2" t="s">
        <v>14</v>
      </c>
      <c r="K66" s="2" t="s">
        <v>7</v>
      </c>
      <c r="L66" s="2" t="s">
        <v>8</v>
      </c>
      <c r="M66" s="3" t="s">
        <v>9</v>
      </c>
      <c r="N66" s="3" t="s">
        <v>24</v>
      </c>
      <c r="O66" s="2" t="s">
        <v>10</v>
      </c>
      <c r="P66" s="2" t="s">
        <v>11</v>
      </c>
      <c r="Q66" s="2" t="s">
        <v>12</v>
      </c>
      <c r="R66" s="2" t="s">
        <v>13</v>
      </c>
      <c r="S66" s="2" t="s">
        <v>14</v>
      </c>
      <c r="U66" s="2" t="s">
        <v>7</v>
      </c>
      <c r="V66" s="2" t="s">
        <v>8</v>
      </c>
      <c r="W66" s="3" t="s">
        <v>9</v>
      </c>
      <c r="X66" s="3" t="s">
        <v>24</v>
      </c>
      <c r="Y66" s="2" t="s">
        <v>10</v>
      </c>
      <c r="Z66" s="2" t="s">
        <v>11</v>
      </c>
      <c r="AA66" s="2" t="s">
        <v>12</v>
      </c>
      <c r="AB66" s="2" t="s">
        <v>13</v>
      </c>
      <c r="AC66" s="2" t="s">
        <v>14</v>
      </c>
      <c r="AE66" s="2" t="s">
        <v>7</v>
      </c>
      <c r="AF66" s="2" t="s">
        <v>8</v>
      </c>
      <c r="AG66" s="3" t="s">
        <v>9</v>
      </c>
      <c r="AH66" s="3" t="s">
        <v>24</v>
      </c>
      <c r="AI66" s="2" t="s">
        <v>10</v>
      </c>
      <c r="AJ66" s="2" t="s">
        <v>11</v>
      </c>
      <c r="AK66" s="2" t="s">
        <v>12</v>
      </c>
      <c r="AL66" s="2" t="s">
        <v>13</v>
      </c>
      <c r="AM66" s="2" t="s">
        <v>14</v>
      </c>
      <c r="AO66" s="2" t="s">
        <v>7</v>
      </c>
      <c r="AP66" s="2" t="s">
        <v>8</v>
      </c>
      <c r="AQ66" s="3" t="s">
        <v>9</v>
      </c>
      <c r="AR66" s="3" t="s">
        <v>24</v>
      </c>
      <c r="AS66" s="2" t="s">
        <v>10</v>
      </c>
      <c r="AT66" s="2" t="s">
        <v>11</v>
      </c>
      <c r="AU66" s="2" t="s">
        <v>12</v>
      </c>
      <c r="AV66" s="2" t="s">
        <v>13</v>
      </c>
      <c r="AW66" s="2" t="s">
        <v>14</v>
      </c>
      <c r="AY66" s="2" t="s">
        <v>7</v>
      </c>
      <c r="AZ66" s="2" t="s">
        <v>8</v>
      </c>
      <c r="BA66" s="3" t="s">
        <v>9</v>
      </c>
      <c r="BB66" s="3" t="s">
        <v>24</v>
      </c>
      <c r="BC66" s="2" t="s">
        <v>10</v>
      </c>
      <c r="BD66" s="2" t="s">
        <v>11</v>
      </c>
      <c r="BE66" s="2" t="s">
        <v>12</v>
      </c>
      <c r="BF66" s="2" t="s">
        <v>13</v>
      </c>
      <c r="BG66" s="2" t="s">
        <v>14</v>
      </c>
    </row>
    <row r="67" spans="1:59" s="4" customFormat="1" ht="20.100000000000001" customHeight="1" x14ac:dyDescent="0.3">
      <c r="A67" s="5"/>
      <c r="B67" s="5"/>
      <c r="C67" s="6"/>
      <c r="D67" s="6"/>
      <c r="E67" s="7"/>
      <c r="F67" s="5"/>
      <c r="G67" s="8"/>
      <c r="H67" s="9"/>
      <c r="I67" s="8">
        <f>G67-H67</f>
        <v>0</v>
      </c>
      <c r="K67" s="5"/>
      <c r="L67" s="5"/>
      <c r="M67" s="6"/>
      <c r="N67" s="6"/>
      <c r="O67" s="7"/>
      <c r="P67" s="5"/>
      <c r="Q67" s="8"/>
      <c r="R67" s="9"/>
      <c r="S67" s="8">
        <f>Q67-R67</f>
        <v>0</v>
      </c>
      <c r="U67" s="5"/>
      <c r="V67" s="5"/>
      <c r="W67" s="6"/>
      <c r="X67" s="6"/>
      <c r="Y67" s="7"/>
      <c r="Z67" s="5"/>
      <c r="AA67" s="8"/>
      <c r="AB67" s="9"/>
      <c r="AC67" s="8">
        <f>AA67-AB67</f>
        <v>0</v>
      </c>
      <c r="AE67" s="5">
        <v>250054</v>
      </c>
      <c r="AF67" s="5">
        <v>304</v>
      </c>
      <c r="AG67" s="6">
        <v>0.7</v>
      </c>
      <c r="AH67" s="6" t="s">
        <v>25</v>
      </c>
      <c r="AI67" s="7" t="s">
        <v>220</v>
      </c>
      <c r="AJ67" s="5"/>
      <c r="AK67" s="8"/>
      <c r="AL67" s="9"/>
      <c r="AM67" s="8">
        <f>AK67-AL67</f>
        <v>0</v>
      </c>
      <c r="AO67" s="5"/>
      <c r="AP67" s="5"/>
      <c r="AQ67" s="6"/>
      <c r="AR67" s="6"/>
      <c r="AS67" s="7"/>
      <c r="AT67" s="5"/>
      <c r="AU67" s="8"/>
      <c r="AV67" s="9"/>
      <c r="AW67" s="8">
        <f>AU67-AV67</f>
        <v>0</v>
      </c>
      <c r="AY67" s="5"/>
      <c r="AZ67" s="5"/>
      <c r="BA67" s="6"/>
      <c r="BB67" s="6"/>
      <c r="BC67" s="7"/>
      <c r="BD67" s="5"/>
      <c r="BE67" s="8"/>
      <c r="BF67" s="9"/>
      <c r="BG67" s="8">
        <f>BE67-BF67</f>
        <v>0</v>
      </c>
    </row>
    <row r="68" spans="1:59" s="4" customFormat="1" ht="20.100000000000001" customHeight="1" x14ac:dyDescent="0.3">
      <c r="A68" s="5"/>
      <c r="B68" s="5"/>
      <c r="C68" s="5"/>
      <c r="D68" s="5"/>
      <c r="E68" s="7"/>
      <c r="F68" s="5"/>
      <c r="G68" s="8"/>
      <c r="H68" s="9"/>
      <c r="I68" s="8">
        <f t="shared" ref="I68:I72" si="30">G68-H68</f>
        <v>0</v>
      </c>
      <c r="K68" s="5"/>
      <c r="L68" s="5"/>
      <c r="M68" s="5"/>
      <c r="N68" s="5"/>
      <c r="O68" s="7"/>
      <c r="P68" s="5"/>
      <c r="Q68" s="8"/>
      <c r="R68" s="9"/>
      <c r="S68" s="8">
        <f t="shared" ref="S68:S72" si="31">Q68-R68</f>
        <v>0</v>
      </c>
      <c r="U68" s="5"/>
      <c r="V68" s="5"/>
      <c r="W68" s="5"/>
      <c r="X68" s="5"/>
      <c r="Y68" s="7"/>
      <c r="Z68" s="5"/>
      <c r="AA68" s="8"/>
      <c r="AB68" s="9"/>
      <c r="AC68" s="8">
        <f t="shared" ref="AC68:AC72" si="32">AA68-AB68</f>
        <v>0</v>
      </c>
      <c r="AE68" s="5"/>
      <c r="AF68" s="5"/>
      <c r="AG68" s="5"/>
      <c r="AH68" s="5"/>
      <c r="AI68" s="7"/>
      <c r="AJ68" s="5"/>
      <c r="AK68" s="8"/>
      <c r="AL68" s="9"/>
      <c r="AM68" s="8">
        <f t="shared" ref="AM68:AM72" si="33">AK68-AL68</f>
        <v>0</v>
      </c>
      <c r="AO68" s="5"/>
      <c r="AP68" s="5"/>
      <c r="AQ68" s="5"/>
      <c r="AR68" s="5"/>
      <c r="AS68" s="7"/>
      <c r="AT68" s="5"/>
      <c r="AU68" s="8"/>
      <c r="AV68" s="9"/>
      <c r="AW68" s="8">
        <f t="shared" ref="AW68:AW72" si="34">AU68-AV68</f>
        <v>0</v>
      </c>
      <c r="AY68" s="5"/>
      <c r="AZ68" s="5"/>
      <c r="BA68" s="5"/>
      <c r="BB68" s="5"/>
      <c r="BC68" s="7"/>
      <c r="BD68" s="5"/>
      <c r="BE68" s="8"/>
      <c r="BF68" s="9"/>
      <c r="BG68" s="8">
        <f t="shared" ref="BG68:BG72" si="35">BE68-BF68</f>
        <v>0</v>
      </c>
    </row>
    <row r="69" spans="1:59" s="4" customFormat="1" ht="20.100000000000001" customHeight="1" x14ac:dyDescent="0.3">
      <c r="A69" s="5"/>
      <c r="B69" s="5"/>
      <c r="C69" s="5"/>
      <c r="D69" s="5"/>
      <c r="E69" s="7"/>
      <c r="F69" s="5"/>
      <c r="G69" s="8"/>
      <c r="H69" s="9"/>
      <c r="I69" s="8">
        <f t="shared" si="30"/>
        <v>0</v>
      </c>
      <c r="K69" s="5"/>
      <c r="L69" s="5"/>
      <c r="M69" s="5"/>
      <c r="N69" s="5"/>
      <c r="O69" s="7"/>
      <c r="P69" s="5"/>
      <c r="Q69" s="8"/>
      <c r="R69" s="9"/>
      <c r="S69" s="8">
        <f t="shared" si="31"/>
        <v>0</v>
      </c>
      <c r="U69" s="5"/>
      <c r="V69" s="5"/>
      <c r="W69" s="5"/>
      <c r="X69" s="5"/>
      <c r="Y69" s="7"/>
      <c r="Z69" s="5"/>
      <c r="AA69" s="8"/>
      <c r="AB69" s="9"/>
      <c r="AC69" s="8">
        <f t="shared" si="32"/>
        <v>0</v>
      </c>
      <c r="AE69" s="5"/>
      <c r="AF69" s="5"/>
      <c r="AG69" s="5"/>
      <c r="AH69" s="5"/>
      <c r="AI69" s="7"/>
      <c r="AJ69" s="5"/>
      <c r="AK69" s="8"/>
      <c r="AL69" s="9"/>
      <c r="AM69" s="8">
        <f t="shared" si="33"/>
        <v>0</v>
      </c>
      <c r="AO69" s="5"/>
      <c r="AP69" s="5"/>
      <c r="AQ69" s="5"/>
      <c r="AR69" s="5"/>
      <c r="AS69" s="7"/>
      <c r="AT69" s="5"/>
      <c r="AU69" s="8"/>
      <c r="AV69" s="9"/>
      <c r="AW69" s="8">
        <f t="shared" si="34"/>
        <v>0</v>
      </c>
      <c r="AY69" s="5"/>
      <c r="AZ69" s="5"/>
      <c r="BA69" s="5"/>
      <c r="BB69" s="5"/>
      <c r="BC69" s="7"/>
      <c r="BD69" s="5"/>
      <c r="BE69" s="8"/>
      <c r="BF69" s="9"/>
      <c r="BG69" s="8">
        <f t="shared" si="35"/>
        <v>0</v>
      </c>
    </row>
    <row r="70" spans="1:59" s="4" customFormat="1" ht="20.100000000000001" customHeight="1" x14ac:dyDescent="0.3">
      <c r="A70" s="5"/>
      <c r="B70" s="5"/>
      <c r="C70" s="5"/>
      <c r="D70" s="5"/>
      <c r="E70" s="7"/>
      <c r="F70" s="5"/>
      <c r="G70" s="8"/>
      <c r="H70" s="9"/>
      <c r="I70" s="8">
        <f t="shared" si="30"/>
        <v>0</v>
      </c>
      <c r="K70" s="5"/>
      <c r="L70" s="5"/>
      <c r="M70" s="5"/>
      <c r="N70" s="5"/>
      <c r="O70" s="7"/>
      <c r="P70" s="5"/>
      <c r="Q70" s="8"/>
      <c r="R70" s="9"/>
      <c r="S70" s="8">
        <f t="shared" si="31"/>
        <v>0</v>
      </c>
      <c r="U70" s="5"/>
      <c r="V70" s="5"/>
      <c r="W70" s="5"/>
      <c r="X70" s="5"/>
      <c r="Y70" s="7"/>
      <c r="Z70" s="5"/>
      <c r="AA70" s="8"/>
      <c r="AB70" s="9"/>
      <c r="AC70" s="8">
        <f t="shared" si="32"/>
        <v>0</v>
      </c>
      <c r="AE70" s="5"/>
      <c r="AF70" s="5"/>
      <c r="AG70" s="5"/>
      <c r="AH70" s="5"/>
      <c r="AI70" s="7"/>
      <c r="AJ70" s="5"/>
      <c r="AK70" s="8"/>
      <c r="AL70" s="9"/>
      <c r="AM70" s="8">
        <f t="shared" si="33"/>
        <v>0</v>
      </c>
      <c r="AO70" s="5"/>
      <c r="AP70" s="5"/>
      <c r="AQ70" s="5"/>
      <c r="AR70" s="5"/>
      <c r="AS70" s="7"/>
      <c r="AT70" s="5"/>
      <c r="AU70" s="8"/>
      <c r="AV70" s="9"/>
      <c r="AW70" s="8">
        <f t="shared" si="34"/>
        <v>0</v>
      </c>
      <c r="AY70" s="5"/>
      <c r="AZ70" s="5"/>
      <c r="BA70" s="5"/>
      <c r="BB70" s="5"/>
      <c r="BC70" s="7"/>
      <c r="BD70" s="5"/>
      <c r="BE70" s="8"/>
      <c r="BF70" s="9"/>
      <c r="BG70" s="8">
        <f t="shared" si="35"/>
        <v>0</v>
      </c>
    </row>
    <row r="71" spans="1:59" s="4" customFormat="1" ht="20.100000000000001" customHeight="1" x14ac:dyDescent="0.3">
      <c r="A71" s="5"/>
      <c r="B71" s="5"/>
      <c r="C71" s="5"/>
      <c r="D71" s="5"/>
      <c r="E71" s="7"/>
      <c r="F71" s="5"/>
      <c r="G71" s="8"/>
      <c r="H71" s="9"/>
      <c r="I71" s="8">
        <f t="shared" si="30"/>
        <v>0</v>
      </c>
      <c r="K71" s="5"/>
      <c r="L71" s="5"/>
      <c r="M71" s="5"/>
      <c r="N71" s="5"/>
      <c r="O71" s="7"/>
      <c r="P71" s="5"/>
      <c r="Q71" s="8"/>
      <c r="R71" s="9"/>
      <c r="S71" s="8">
        <f t="shared" si="31"/>
        <v>0</v>
      </c>
      <c r="U71" s="5"/>
      <c r="V71" s="5"/>
      <c r="W71" s="5"/>
      <c r="X71" s="5"/>
      <c r="Y71" s="7"/>
      <c r="Z71" s="5"/>
      <c r="AA71" s="8"/>
      <c r="AB71" s="9"/>
      <c r="AC71" s="8">
        <f t="shared" si="32"/>
        <v>0</v>
      </c>
      <c r="AE71" s="5"/>
      <c r="AF71" s="5"/>
      <c r="AG71" s="5"/>
      <c r="AH71" s="5"/>
      <c r="AI71" s="7"/>
      <c r="AJ71" s="5"/>
      <c r="AK71" s="8"/>
      <c r="AL71" s="9"/>
      <c r="AM71" s="8">
        <f t="shared" si="33"/>
        <v>0</v>
      </c>
      <c r="AO71" s="5"/>
      <c r="AP71" s="5"/>
      <c r="AQ71" s="5"/>
      <c r="AR71" s="5"/>
      <c r="AS71" s="7"/>
      <c r="AT71" s="5"/>
      <c r="AU71" s="8"/>
      <c r="AV71" s="9"/>
      <c r="AW71" s="8">
        <f t="shared" si="34"/>
        <v>0</v>
      </c>
      <c r="AY71" s="5"/>
      <c r="AZ71" s="5"/>
      <c r="BA71" s="5"/>
      <c r="BB71" s="5"/>
      <c r="BC71" s="7"/>
      <c r="BD71" s="5"/>
      <c r="BE71" s="8"/>
      <c r="BF71" s="9"/>
      <c r="BG71" s="8">
        <f t="shared" si="35"/>
        <v>0</v>
      </c>
    </row>
    <row r="72" spans="1:59" s="4" customFormat="1" ht="20.100000000000001" customHeight="1" x14ac:dyDescent="0.3">
      <c r="A72" s="5"/>
      <c r="B72" s="5"/>
      <c r="C72" s="5"/>
      <c r="D72" s="5"/>
      <c r="E72" s="7"/>
      <c r="F72" s="5"/>
      <c r="G72" s="8"/>
      <c r="H72" s="9"/>
      <c r="I72" s="8">
        <f t="shared" si="30"/>
        <v>0</v>
      </c>
      <c r="K72" s="5"/>
      <c r="L72" s="5"/>
      <c r="M72" s="5"/>
      <c r="N72" s="5"/>
      <c r="O72" s="7"/>
      <c r="P72" s="5"/>
      <c r="Q72" s="8"/>
      <c r="R72" s="9"/>
      <c r="S72" s="8">
        <f t="shared" si="31"/>
        <v>0</v>
      </c>
      <c r="U72" s="5"/>
      <c r="V72" s="5"/>
      <c r="W72" s="5"/>
      <c r="X72" s="5"/>
      <c r="Y72" s="7"/>
      <c r="Z72" s="5"/>
      <c r="AA72" s="8"/>
      <c r="AB72" s="9"/>
      <c r="AC72" s="8">
        <f t="shared" si="32"/>
        <v>0</v>
      </c>
      <c r="AE72" s="5"/>
      <c r="AF72" s="5"/>
      <c r="AG72" s="5"/>
      <c r="AH72" s="5"/>
      <c r="AI72" s="7"/>
      <c r="AJ72" s="5"/>
      <c r="AK72" s="8"/>
      <c r="AL72" s="9"/>
      <c r="AM72" s="8">
        <f t="shared" si="33"/>
        <v>0</v>
      </c>
      <c r="AO72" s="5"/>
      <c r="AP72" s="5"/>
      <c r="AQ72" s="5"/>
      <c r="AR72" s="5"/>
      <c r="AS72" s="7"/>
      <c r="AT72" s="5"/>
      <c r="AU72" s="8"/>
      <c r="AV72" s="9"/>
      <c r="AW72" s="8">
        <f t="shared" si="34"/>
        <v>0</v>
      </c>
      <c r="AY72" s="5"/>
      <c r="AZ72" s="5"/>
      <c r="BA72" s="5"/>
      <c r="BB72" s="5"/>
      <c r="BC72" s="7"/>
      <c r="BD72" s="5"/>
      <c r="BE72" s="8"/>
      <c r="BF72" s="9"/>
      <c r="BG72" s="8">
        <f t="shared" si="35"/>
        <v>0</v>
      </c>
    </row>
    <row r="73" spans="1:59" s="4" customFormat="1" ht="20.100000000000001" customHeight="1" x14ac:dyDescent="0.3">
      <c r="A73" s="5"/>
      <c r="B73" s="5"/>
      <c r="C73" s="5"/>
      <c r="D73" s="5"/>
      <c r="E73" s="7"/>
      <c r="F73" s="5"/>
      <c r="G73" s="8">
        <f>SUM(G67:G72)</f>
        <v>0</v>
      </c>
      <c r="H73" s="9">
        <f>SUM(H67:H72)</f>
        <v>0</v>
      </c>
      <c r="I73" s="8">
        <f>SUM(I67:I72)</f>
        <v>0</v>
      </c>
      <c r="K73" s="5"/>
      <c r="L73" s="5"/>
      <c r="M73" s="5"/>
      <c r="N73" s="5"/>
      <c r="O73" s="7"/>
      <c r="P73" s="5"/>
      <c r="Q73" s="8">
        <f>SUM(Q67:Q72)</f>
        <v>0</v>
      </c>
      <c r="R73" s="9">
        <f>SUM(R67:R72)</f>
        <v>0</v>
      </c>
      <c r="S73" s="8">
        <f>SUM(S67:S72)</f>
        <v>0</v>
      </c>
      <c r="U73" s="5"/>
      <c r="V73" s="5"/>
      <c r="W73" s="5"/>
      <c r="X73" s="5"/>
      <c r="Y73" s="7"/>
      <c r="Z73" s="5"/>
      <c r="AA73" s="8">
        <f>SUM(AA67:AA72)</f>
        <v>0</v>
      </c>
      <c r="AB73" s="9">
        <f>SUM(AB67:AB72)</f>
        <v>0</v>
      </c>
      <c r="AC73" s="8">
        <f>SUM(AC67:AC72)</f>
        <v>0</v>
      </c>
      <c r="AE73" s="5"/>
      <c r="AF73" s="5"/>
      <c r="AG73" s="5"/>
      <c r="AH73" s="5"/>
      <c r="AI73" s="7"/>
      <c r="AJ73" s="5"/>
      <c r="AK73" s="8">
        <f>SUM(AK67:AK72)</f>
        <v>0</v>
      </c>
      <c r="AL73" s="9">
        <f>SUM(AL67:AL72)</f>
        <v>0</v>
      </c>
      <c r="AM73" s="8">
        <f>SUM(AM67:AM72)</f>
        <v>0</v>
      </c>
      <c r="AO73" s="5"/>
      <c r="AP73" s="5"/>
      <c r="AQ73" s="5"/>
      <c r="AR73" s="5"/>
      <c r="AS73" s="7"/>
      <c r="AT73" s="5"/>
      <c r="AU73" s="8">
        <f>SUM(AU67:AU72)</f>
        <v>0</v>
      </c>
      <c r="AV73" s="9">
        <f>SUM(AV67:AV72)</f>
        <v>0</v>
      </c>
      <c r="AW73" s="8">
        <f>SUM(AW67:AW72)</f>
        <v>0</v>
      </c>
      <c r="AY73" s="5"/>
      <c r="AZ73" s="5"/>
      <c r="BA73" s="5"/>
      <c r="BB73" s="5"/>
      <c r="BC73" s="7"/>
      <c r="BD73" s="5"/>
      <c r="BE73" s="8">
        <f>SUM(BE67:BE72)</f>
        <v>0</v>
      </c>
      <c r="BF73" s="9">
        <f>SUM(BF67:BF72)</f>
        <v>0</v>
      </c>
      <c r="BG73" s="8">
        <f>SUM(BG67:BG72)</f>
        <v>0</v>
      </c>
    </row>
    <row r="76" spans="1:59" x14ac:dyDescent="0.3">
      <c r="A76" s="91" t="s">
        <v>0</v>
      </c>
      <c r="B76" s="91"/>
      <c r="C76" s="91"/>
      <c r="D76" s="91"/>
      <c r="E76" s="91"/>
      <c r="F76" s="91"/>
      <c r="G76" s="91"/>
      <c r="H76" s="91"/>
      <c r="I76" s="91"/>
      <c r="K76" s="91" t="s">
        <v>1</v>
      </c>
      <c r="L76" s="91"/>
      <c r="M76" s="91"/>
      <c r="N76" s="91"/>
      <c r="O76" s="91"/>
      <c r="P76" s="91"/>
      <c r="Q76" s="91"/>
      <c r="R76" s="91"/>
      <c r="S76" s="91"/>
      <c r="U76" s="91" t="s">
        <v>2</v>
      </c>
      <c r="V76" s="91"/>
      <c r="W76" s="91"/>
      <c r="X76" s="91"/>
      <c r="Y76" s="91"/>
      <c r="Z76" s="91"/>
      <c r="AA76" s="91"/>
      <c r="AB76" s="91"/>
      <c r="AC76" s="91"/>
      <c r="AE76" s="91" t="s">
        <v>3</v>
      </c>
      <c r="AF76" s="91"/>
      <c r="AG76" s="91"/>
      <c r="AH76" s="91"/>
      <c r="AI76" s="91"/>
      <c r="AJ76" s="91"/>
      <c r="AK76" s="91"/>
      <c r="AL76" s="91"/>
      <c r="AM76" s="91"/>
      <c r="AO76" s="91" t="s">
        <v>4</v>
      </c>
      <c r="AP76" s="91"/>
      <c r="AQ76" s="91"/>
      <c r="AR76" s="91"/>
      <c r="AS76" s="91"/>
      <c r="AT76" s="91"/>
      <c r="AU76" s="91"/>
      <c r="AV76" s="91"/>
      <c r="AW76" s="91"/>
      <c r="AY76" s="91" t="s">
        <v>5</v>
      </c>
      <c r="AZ76" s="91"/>
      <c r="BA76" s="91"/>
      <c r="BB76" s="91"/>
      <c r="BC76" s="91"/>
      <c r="BD76" s="91"/>
      <c r="BE76" s="91"/>
      <c r="BF76" s="91"/>
      <c r="BG76" s="91"/>
    </row>
    <row r="77" spans="1:59" x14ac:dyDescent="0.3">
      <c r="A77" s="91" t="s">
        <v>22</v>
      </c>
      <c r="B77" s="91"/>
      <c r="C77" s="91"/>
      <c r="D77" s="91"/>
      <c r="E77" s="91"/>
      <c r="F77" s="91"/>
      <c r="G77" s="91"/>
      <c r="H77" s="91"/>
      <c r="I77" s="91"/>
      <c r="K77" s="91" t="s">
        <v>22</v>
      </c>
      <c r="L77" s="91"/>
      <c r="M77" s="91"/>
      <c r="N77" s="91"/>
      <c r="O77" s="91"/>
      <c r="P77" s="91"/>
      <c r="Q77" s="91"/>
      <c r="R77" s="91"/>
      <c r="S77" s="91"/>
      <c r="U77" s="91" t="s">
        <v>22</v>
      </c>
      <c r="V77" s="91"/>
      <c r="W77" s="91"/>
      <c r="X77" s="91"/>
      <c r="Y77" s="91"/>
      <c r="Z77" s="91"/>
      <c r="AA77" s="91"/>
      <c r="AB77" s="91"/>
      <c r="AC77" s="91"/>
      <c r="AE77" s="91" t="s">
        <v>22</v>
      </c>
      <c r="AF77" s="91"/>
      <c r="AG77" s="91"/>
      <c r="AH77" s="91"/>
      <c r="AI77" s="91"/>
      <c r="AJ77" s="91"/>
      <c r="AK77" s="91"/>
      <c r="AL77" s="91"/>
      <c r="AM77" s="91"/>
      <c r="AO77" s="91" t="s">
        <v>22</v>
      </c>
      <c r="AP77" s="91"/>
      <c r="AQ77" s="91"/>
      <c r="AR77" s="91"/>
      <c r="AS77" s="91"/>
      <c r="AT77" s="91"/>
      <c r="AU77" s="91"/>
      <c r="AV77" s="91"/>
      <c r="AW77" s="91"/>
      <c r="AY77" s="91" t="s">
        <v>22</v>
      </c>
      <c r="AZ77" s="91"/>
      <c r="BA77" s="91"/>
      <c r="BB77" s="91"/>
      <c r="BC77" s="91"/>
      <c r="BD77" s="91"/>
      <c r="BE77" s="91"/>
      <c r="BF77" s="91"/>
      <c r="BG77" s="91"/>
    </row>
    <row r="78" spans="1:59" s="4" customFormat="1" ht="23.1" customHeight="1" x14ac:dyDescent="0.3">
      <c r="A78" s="2" t="s">
        <v>7</v>
      </c>
      <c r="B78" s="2" t="s">
        <v>8</v>
      </c>
      <c r="C78" s="3" t="s">
        <v>9</v>
      </c>
      <c r="D78" s="3" t="s">
        <v>24</v>
      </c>
      <c r="E78" s="2" t="s">
        <v>10</v>
      </c>
      <c r="F78" s="2" t="s">
        <v>11</v>
      </c>
      <c r="G78" s="2" t="s">
        <v>12</v>
      </c>
      <c r="H78" s="2" t="s">
        <v>13</v>
      </c>
      <c r="I78" s="2" t="s">
        <v>14</v>
      </c>
      <c r="K78" s="2" t="s">
        <v>7</v>
      </c>
      <c r="L78" s="2" t="s">
        <v>8</v>
      </c>
      <c r="M78" s="3" t="s">
        <v>9</v>
      </c>
      <c r="N78" s="3" t="s">
        <v>24</v>
      </c>
      <c r="O78" s="2" t="s">
        <v>10</v>
      </c>
      <c r="P78" s="2" t="s">
        <v>11</v>
      </c>
      <c r="Q78" s="2" t="s">
        <v>12</v>
      </c>
      <c r="R78" s="2" t="s">
        <v>13</v>
      </c>
      <c r="S78" s="2" t="s">
        <v>14</v>
      </c>
      <c r="U78" s="2" t="s">
        <v>7</v>
      </c>
      <c r="V78" s="2" t="s">
        <v>8</v>
      </c>
      <c r="W78" s="3" t="s">
        <v>9</v>
      </c>
      <c r="X78" s="3" t="s">
        <v>24</v>
      </c>
      <c r="Y78" s="2" t="s">
        <v>10</v>
      </c>
      <c r="Z78" s="2" t="s">
        <v>11</v>
      </c>
      <c r="AA78" s="2" t="s">
        <v>12</v>
      </c>
      <c r="AB78" s="2" t="s">
        <v>13</v>
      </c>
      <c r="AC78" s="2" t="s">
        <v>14</v>
      </c>
      <c r="AE78" s="2" t="s">
        <v>7</v>
      </c>
      <c r="AF78" s="2" t="s">
        <v>8</v>
      </c>
      <c r="AG78" s="3" t="s">
        <v>9</v>
      </c>
      <c r="AH78" s="3" t="s">
        <v>24</v>
      </c>
      <c r="AI78" s="2" t="s">
        <v>10</v>
      </c>
      <c r="AJ78" s="2" t="s">
        <v>11</v>
      </c>
      <c r="AK78" s="2" t="s">
        <v>12</v>
      </c>
      <c r="AL78" s="2" t="s">
        <v>13</v>
      </c>
      <c r="AM78" s="2" t="s">
        <v>14</v>
      </c>
      <c r="AO78" s="2" t="s">
        <v>7</v>
      </c>
      <c r="AP78" s="2" t="s">
        <v>8</v>
      </c>
      <c r="AQ78" s="3" t="s">
        <v>9</v>
      </c>
      <c r="AR78" s="3" t="s">
        <v>24</v>
      </c>
      <c r="AS78" s="2" t="s">
        <v>10</v>
      </c>
      <c r="AT78" s="2" t="s">
        <v>11</v>
      </c>
      <c r="AU78" s="2" t="s">
        <v>12</v>
      </c>
      <c r="AV78" s="2" t="s">
        <v>13</v>
      </c>
      <c r="AW78" s="2" t="s">
        <v>14</v>
      </c>
      <c r="AY78" s="2" t="s">
        <v>7</v>
      </c>
      <c r="AZ78" s="2" t="s">
        <v>8</v>
      </c>
      <c r="BA78" s="3" t="s">
        <v>9</v>
      </c>
      <c r="BB78" s="3" t="s">
        <v>24</v>
      </c>
      <c r="BC78" s="2" t="s">
        <v>10</v>
      </c>
      <c r="BD78" s="2" t="s">
        <v>11</v>
      </c>
      <c r="BE78" s="2" t="s">
        <v>12</v>
      </c>
      <c r="BF78" s="2" t="s">
        <v>13</v>
      </c>
      <c r="BG78" s="2" t="s">
        <v>14</v>
      </c>
    </row>
    <row r="79" spans="1:59" s="4" customFormat="1" ht="20.100000000000001" customHeight="1" x14ac:dyDescent="0.3">
      <c r="A79" s="5">
        <v>150725</v>
      </c>
      <c r="B79" s="5">
        <v>430</v>
      </c>
      <c r="C79" s="6">
        <v>0.5</v>
      </c>
      <c r="D79" s="6" t="s">
        <v>27</v>
      </c>
      <c r="E79" s="7" t="s">
        <v>244</v>
      </c>
      <c r="F79" s="5"/>
      <c r="G79" s="8">
        <v>1370</v>
      </c>
      <c r="H79" s="9">
        <v>1370</v>
      </c>
      <c r="I79" s="8">
        <f>G79-H79</f>
        <v>0</v>
      </c>
      <c r="K79" s="5">
        <v>150725</v>
      </c>
      <c r="L79" s="5">
        <v>430</v>
      </c>
      <c r="M79" s="6">
        <v>0.5</v>
      </c>
      <c r="N79" s="6" t="s">
        <v>27</v>
      </c>
      <c r="O79" s="7" t="s">
        <v>262</v>
      </c>
      <c r="P79" s="5"/>
      <c r="Q79" s="8">
        <v>1350</v>
      </c>
      <c r="R79" s="9">
        <v>1350</v>
      </c>
      <c r="S79" s="8">
        <f>Q79-R79</f>
        <v>0</v>
      </c>
      <c r="U79" s="5">
        <v>150725</v>
      </c>
      <c r="V79" s="5">
        <v>430</v>
      </c>
      <c r="W79" s="6">
        <v>0.5</v>
      </c>
      <c r="X79" s="6" t="s">
        <v>27</v>
      </c>
      <c r="Y79" s="7" t="s">
        <v>268</v>
      </c>
      <c r="Z79" s="5"/>
      <c r="AA79" s="8">
        <v>1500</v>
      </c>
      <c r="AB79" s="9">
        <v>1500</v>
      </c>
      <c r="AC79" s="8">
        <f>AA79-AB79</f>
        <v>0</v>
      </c>
      <c r="AE79" s="5">
        <v>150725</v>
      </c>
      <c r="AF79" s="5">
        <v>430</v>
      </c>
      <c r="AG79" s="6">
        <v>0.5</v>
      </c>
      <c r="AH79" s="6" t="s">
        <v>27</v>
      </c>
      <c r="AI79" s="7" t="s">
        <v>256</v>
      </c>
      <c r="AJ79" s="5"/>
      <c r="AK79" s="8">
        <v>1610</v>
      </c>
      <c r="AL79" s="9">
        <v>1610</v>
      </c>
      <c r="AM79" s="8">
        <f>AK79-AL79</f>
        <v>0</v>
      </c>
      <c r="AO79" s="5">
        <v>150725</v>
      </c>
      <c r="AP79" s="5">
        <v>430</v>
      </c>
      <c r="AQ79" s="6">
        <v>0.5</v>
      </c>
      <c r="AR79" s="6" t="s">
        <v>27</v>
      </c>
      <c r="AS79" s="7" t="s">
        <v>250</v>
      </c>
      <c r="AT79" s="5"/>
      <c r="AU79" s="8">
        <v>1540</v>
      </c>
      <c r="AV79" s="9">
        <v>1540</v>
      </c>
      <c r="AW79" s="8">
        <f>AU79-AV79</f>
        <v>0</v>
      </c>
      <c r="AY79" s="5"/>
      <c r="AZ79" s="5"/>
      <c r="BA79" s="6"/>
      <c r="BB79" s="6"/>
      <c r="BC79" s="7"/>
      <c r="BD79" s="5"/>
      <c r="BE79" s="8"/>
      <c r="BF79" s="9"/>
      <c r="BG79" s="8">
        <f>BE79-BF79</f>
        <v>0</v>
      </c>
    </row>
    <row r="80" spans="1:59" s="4" customFormat="1" ht="20.100000000000001" customHeight="1" x14ac:dyDescent="0.3">
      <c r="A80" s="5">
        <v>150725</v>
      </c>
      <c r="B80" s="5">
        <v>430</v>
      </c>
      <c r="C80" s="6">
        <v>0.5</v>
      </c>
      <c r="D80" s="6" t="s">
        <v>27</v>
      </c>
      <c r="E80" s="7" t="s">
        <v>245</v>
      </c>
      <c r="F80" s="5"/>
      <c r="G80" s="8">
        <v>1370</v>
      </c>
      <c r="H80" s="9">
        <v>1370</v>
      </c>
      <c r="I80" s="8">
        <f t="shared" ref="I80:I84" si="36">G80-H80</f>
        <v>0</v>
      </c>
      <c r="K80" s="5">
        <v>150725</v>
      </c>
      <c r="L80" s="5">
        <v>430</v>
      </c>
      <c r="M80" s="6">
        <v>0.5</v>
      </c>
      <c r="N80" s="6" t="s">
        <v>27</v>
      </c>
      <c r="O80" s="7" t="s">
        <v>263</v>
      </c>
      <c r="P80" s="5"/>
      <c r="Q80" s="8">
        <v>1350</v>
      </c>
      <c r="R80" s="9">
        <v>1350</v>
      </c>
      <c r="S80" s="8">
        <f t="shared" ref="S80:S84" si="37">Q80-R80</f>
        <v>0</v>
      </c>
      <c r="U80" s="5">
        <v>150725</v>
      </c>
      <c r="V80" s="5">
        <v>430</v>
      </c>
      <c r="W80" s="6">
        <v>0.5</v>
      </c>
      <c r="X80" s="6" t="s">
        <v>27</v>
      </c>
      <c r="Y80" s="7" t="s">
        <v>269</v>
      </c>
      <c r="Z80" s="5"/>
      <c r="AA80" s="8">
        <v>1500</v>
      </c>
      <c r="AB80" s="9">
        <v>1500</v>
      </c>
      <c r="AC80" s="8">
        <f t="shared" ref="AC80:AC84" si="38">AA80-AB80</f>
        <v>0</v>
      </c>
      <c r="AE80" s="5">
        <v>150725</v>
      </c>
      <c r="AF80" s="5">
        <v>430</v>
      </c>
      <c r="AG80" s="6">
        <v>0.5</v>
      </c>
      <c r="AH80" s="6" t="s">
        <v>27</v>
      </c>
      <c r="AI80" s="7" t="s">
        <v>257</v>
      </c>
      <c r="AJ80" s="5"/>
      <c r="AK80" s="8">
        <v>1610</v>
      </c>
      <c r="AL80" s="9">
        <v>1610</v>
      </c>
      <c r="AM80" s="8">
        <f t="shared" ref="AM80:AM84" si="39">AK80-AL80</f>
        <v>0</v>
      </c>
      <c r="AO80" s="5">
        <v>150725</v>
      </c>
      <c r="AP80" s="5">
        <v>430</v>
      </c>
      <c r="AQ80" s="6">
        <v>0.5</v>
      </c>
      <c r="AR80" s="6" t="s">
        <v>27</v>
      </c>
      <c r="AS80" s="7" t="s">
        <v>251</v>
      </c>
      <c r="AT80" s="5"/>
      <c r="AU80" s="8">
        <v>1540</v>
      </c>
      <c r="AV80" s="9">
        <v>1540</v>
      </c>
      <c r="AW80" s="8">
        <f t="shared" ref="AW80:AW84" si="40">AU80-AV80</f>
        <v>0</v>
      </c>
      <c r="AY80" s="5"/>
      <c r="AZ80" s="5"/>
      <c r="BA80" s="5"/>
      <c r="BB80" s="5"/>
      <c r="BC80" s="7"/>
      <c r="BD80" s="5"/>
      <c r="BE80" s="8"/>
      <c r="BF80" s="9"/>
      <c r="BG80" s="8">
        <f t="shared" ref="BG80:BG84" si="41">BE80-BF80</f>
        <v>0</v>
      </c>
    </row>
    <row r="81" spans="1:59" s="4" customFormat="1" ht="20.100000000000001" customHeight="1" x14ac:dyDescent="0.3">
      <c r="A81" s="5">
        <v>150725</v>
      </c>
      <c r="B81" s="5">
        <v>430</v>
      </c>
      <c r="C81" s="6">
        <v>0.5</v>
      </c>
      <c r="D81" s="6" t="s">
        <v>27</v>
      </c>
      <c r="E81" s="7" t="s">
        <v>246</v>
      </c>
      <c r="F81" s="5"/>
      <c r="G81" s="8">
        <v>1370</v>
      </c>
      <c r="H81" s="9">
        <v>1370</v>
      </c>
      <c r="I81" s="8">
        <f t="shared" si="36"/>
        <v>0</v>
      </c>
      <c r="K81" s="5">
        <v>150725</v>
      </c>
      <c r="L81" s="5">
        <v>430</v>
      </c>
      <c r="M81" s="6">
        <v>0.5</v>
      </c>
      <c r="N81" s="6" t="s">
        <v>27</v>
      </c>
      <c r="O81" s="7" t="s">
        <v>264</v>
      </c>
      <c r="P81" s="5"/>
      <c r="Q81" s="8">
        <v>1350</v>
      </c>
      <c r="R81" s="9">
        <v>1350</v>
      </c>
      <c r="S81" s="8">
        <f t="shared" si="37"/>
        <v>0</v>
      </c>
      <c r="U81" s="5">
        <v>150725</v>
      </c>
      <c r="V81" s="5">
        <v>430</v>
      </c>
      <c r="W81" s="6">
        <v>0.5</v>
      </c>
      <c r="X81" s="6" t="s">
        <v>27</v>
      </c>
      <c r="Y81" s="7" t="s">
        <v>270</v>
      </c>
      <c r="Z81" s="5"/>
      <c r="AA81" s="8">
        <v>1500</v>
      </c>
      <c r="AB81" s="9">
        <v>1500</v>
      </c>
      <c r="AC81" s="8">
        <f t="shared" si="38"/>
        <v>0</v>
      </c>
      <c r="AE81" s="5">
        <v>150725</v>
      </c>
      <c r="AF81" s="5">
        <v>430</v>
      </c>
      <c r="AG81" s="6">
        <v>0.5</v>
      </c>
      <c r="AH81" s="6" t="s">
        <v>27</v>
      </c>
      <c r="AI81" s="7" t="s">
        <v>258</v>
      </c>
      <c r="AJ81" s="5"/>
      <c r="AK81" s="8">
        <v>1610</v>
      </c>
      <c r="AL81" s="9">
        <v>1610</v>
      </c>
      <c r="AM81" s="8">
        <f t="shared" si="39"/>
        <v>0</v>
      </c>
      <c r="AO81" s="5">
        <v>150725</v>
      </c>
      <c r="AP81" s="5">
        <v>430</v>
      </c>
      <c r="AQ81" s="6">
        <v>0.5</v>
      </c>
      <c r="AR81" s="6" t="s">
        <v>27</v>
      </c>
      <c r="AS81" s="7" t="s">
        <v>252</v>
      </c>
      <c r="AT81" s="5"/>
      <c r="AU81" s="8">
        <v>1540</v>
      </c>
      <c r="AV81" s="9">
        <v>1540</v>
      </c>
      <c r="AW81" s="8">
        <f t="shared" si="40"/>
        <v>0</v>
      </c>
      <c r="AY81" s="5"/>
      <c r="AZ81" s="5"/>
      <c r="BA81" s="5"/>
      <c r="BB81" s="5"/>
      <c r="BC81" s="7"/>
      <c r="BD81" s="5"/>
      <c r="BE81" s="8"/>
      <c r="BF81" s="9"/>
      <c r="BG81" s="8">
        <f t="shared" si="41"/>
        <v>0</v>
      </c>
    </row>
    <row r="82" spans="1:59" s="4" customFormat="1" ht="20.100000000000001" customHeight="1" x14ac:dyDescent="0.3">
      <c r="A82" s="5">
        <v>150725</v>
      </c>
      <c r="B82" s="5">
        <v>430</v>
      </c>
      <c r="C82" s="6">
        <v>0.5</v>
      </c>
      <c r="D82" s="6" t="s">
        <v>27</v>
      </c>
      <c r="E82" s="7" t="s">
        <v>247</v>
      </c>
      <c r="F82" s="5"/>
      <c r="G82" s="8">
        <v>1370</v>
      </c>
      <c r="H82" s="9">
        <v>1370</v>
      </c>
      <c r="I82" s="8">
        <f t="shared" si="36"/>
        <v>0</v>
      </c>
      <c r="K82" s="5">
        <v>150725</v>
      </c>
      <c r="L82" s="5">
        <v>430</v>
      </c>
      <c r="M82" s="6">
        <v>0.5</v>
      </c>
      <c r="N82" s="6" t="s">
        <v>27</v>
      </c>
      <c r="O82" s="7" t="s">
        <v>265</v>
      </c>
      <c r="P82" s="5"/>
      <c r="Q82" s="8">
        <v>1350</v>
      </c>
      <c r="R82" s="9">
        <v>1350</v>
      </c>
      <c r="S82" s="8">
        <f t="shared" si="37"/>
        <v>0</v>
      </c>
      <c r="U82" s="5">
        <v>150725</v>
      </c>
      <c r="V82" s="5">
        <v>430</v>
      </c>
      <c r="W82" s="6">
        <v>0.5</v>
      </c>
      <c r="X82" s="6" t="s">
        <v>27</v>
      </c>
      <c r="Y82" s="7" t="s">
        <v>271</v>
      </c>
      <c r="Z82" s="5"/>
      <c r="AA82" s="8">
        <v>1500</v>
      </c>
      <c r="AB82" s="9">
        <v>1500</v>
      </c>
      <c r="AC82" s="8">
        <f t="shared" si="38"/>
        <v>0</v>
      </c>
      <c r="AE82" s="5">
        <v>150725</v>
      </c>
      <c r="AF82" s="5">
        <v>430</v>
      </c>
      <c r="AG82" s="6">
        <v>0.5</v>
      </c>
      <c r="AH82" s="6" t="s">
        <v>27</v>
      </c>
      <c r="AI82" s="7" t="s">
        <v>259</v>
      </c>
      <c r="AJ82" s="5"/>
      <c r="AK82" s="8">
        <v>1610</v>
      </c>
      <c r="AL82" s="9">
        <v>1610</v>
      </c>
      <c r="AM82" s="8">
        <f t="shared" si="39"/>
        <v>0</v>
      </c>
      <c r="AO82" s="5">
        <v>150725</v>
      </c>
      <c r="AP82" s="5">
        <v>430</v>
      </c>
      <c r="AQ82" s="6">
        <v>0.5</v>
      </c>
      <c r="AR82" s="6" t="s">
        <v>27</v>
      </c>
      <c r="AS82" s="7" t="s">
        <v>253</v>
      </c>
      <c r="AT82" s="5"/>
      <c r="AU82" s="8">
        <v>1540</v>
      </c>
      <c r="AV82" s="9">
        <v>1540</v>
      </c>
      <c r="AW82" s="8">
        <f t="shared" si="40"/>
        <v>0</v>
      </c>
      <c r="AY82" s="5"/>
      <c r="AZ82" s="5"/>
      <c r="BA82" s="5"/>
      <c r="BB82" s="5"/>
      <c r="BC82" s="7"/>
      <c r="BD82" s="5"/>
      <c r="BE82" s="8"/>
      <c r="BF82" s="9"/>
      <c r="BG82" s="8">
        <f t="shared" si="41"/>
        <v>0</v>
      </c>
    </row>
    <row r="83" spans="1:59" s="4" customFormat="1" ht="20.100000000000001" customHeight="1" x14ac:dyDescent="0.3">
      <c r="A83" s="5">
        <v>150725</v>
      </c>
      <c r="B83" s="5">
        <v>430</v>
      </c>
      <c r="C83" s="6">
        <v>0.5</v>
      </c>
      <c r="D83" s="6" t="s">
        <v>27</v>
      </c>
      <c r="E83" s="7" t="s">
        <v>248</v>
      </c>
      <c r="F83" s="5"/>
      <c r="G83" s="8">
        <v>1370</v>
      </c>
      <c r="H83" s="9">
        <v>1370</v>
      </c>
      <c r="I83" s="8">
        <f t="shared" si="36"/>
        <v>0</v>
      </c>
      <c r="K83" s="5">
        <v>150725</v>
      </c>
      <c r="L83" s="5">
        <v>430</v>
      </c>
      <c r="M83" s="6">
        <v>0.5</v>
      </c>
      <c r="N83" s="6" t="s">
        <v>27</v>
      </c>
      <c r="O83" s="7" t="s">
        <v>266</v>
      </c>
      <c r="P83" s="5"/>
      <c r="Q83" s="8">
        <v>1350</v>
      </c>
      <c r="R83" s="9">
        <v>1350</v>
      </c>
      <c r="S83" s="8">
        <f t="shared" si="37"/>
        <v>0</v>
      </c>
      <c r="U83" s="5">
        <v>150725</v>
      </c>
      <c r="V83" s="5">
        <v>430</v>
      </c>
      <c r="W83" s="6">
        <v>0.5</v>
      </c>
      <c r="X83" s="6" t="s">
        <v>27</v>
      </c>
      <c r="Y83" s="7" t="s">
        <v>272</v>
      </c>
      <c r="Z83" s="5"/>
      <c r="AA83" s="8">
        <v>1500</v>
      </c>
      <c r="AB83" s="9">
        <v>1500</v>
      </c>
      <c r="AC83" s="8">
        <f t="shared" si="38"/>
        <v>0</v>
      </c>
      <c r="AE83" s="5">
        <v>150725</v>
      </c>
      <c r="AF83" s="5">
        <v>430</v>
      </c>
      <c r="AG83" s="6">
        <v>0.5</v>
      </c>
      <c r="AH83" s="6" t="s">
        <v>27</v>
      </c>
      <c r="AI83" s="7" t="s">
        <v>260</v>
      </c>
      <c r="AJ83" s="5"/>
      <c r="AK83" s="8">
        <v>1610</v>
      </c>
      <c r="AL83" s="9">
        <v>1610</v>
      </c>
      <c r="AM83" s="8">
        <f t="shared" si="39"/>
        <v>0</v>
      </c>
      <c r="AO83" s="5">
        <v>150725</v>
      </c>
      <c r="AP83" s="5">
        <v>430</v>
      </c>
      <c r="AQ83" s="6">
        <v>0.5</v>
      </c>
      <c r="AR83" s="6" t="s">
        <v>27</v>
      </c>
      <c r="AS83" s="7" t="s">
        <v>254</v>
      </c>
      <c r="AT83" s="5"/>
      <c r="AU83" s="8">
        <v>1540</v>
      </c>
      <c r="AV83" s="9">
        <v>1540</v>
      </c>
      <c r="AW83" s="8">
        <f t="shared" si="40"/>
        <v>0</v>
      </c>
      <c r="AY83" s="5"/>
      <c r="AZ83" s="5"/>
      <c r="BA83" s="5"/>
      <c r="BB83" s="5"/>
      <c r="BC83" s="7"/>
      <c r="BD83" s="5"/>
      <c r="BE83" s="8"/>
      <c r="BF83" s="9"/>
      <c r="BG83" s="8">
        <f t="shared" si="41"/>
        <v>0</v>
      </c>
    </row>
    <row r="84" spans="1:59" s="4" customFormat="1" ht="20.100000000000001" customHeight="1" x14ac:dyDescent="0.3">
      <c r="A84" s="5">
        <v>150725</v>
      </c>
      <c r="B84" s="5">
        <v>430</v>
      </c>
      <c r="C84" s="6">
        <v>0.5</v>
      </c>
      <c r="D84" s="6" t="s">
        <v>27</v>
      </c>
      <c r="E84" s="7" t="s">
        <v>249</v>
      </c>
      <c r="F84" s="5"/>
      <c r="G84" s="8">
        <v>1370</v>
      </c>
      <c r="H84" s="9">
        <v>1370</v>
      </c>
      <c r="I84" s="8">
        <f t="shared" si="36"/>
        <v>0</v>
      </c>
      <c r="K84" s="5">
        <v>150725</v>
      </c>
      <c r="L84" s="5">
        <v>430</v>
      </c>
      <c r="M84" s="6">
        <v>0.5</v>
      </c>
      <c r="N84" s="6" t="s">
        <v>27</v>
      </c>
      <c r="O84" s="7" t="s">
        <v>267</v>
      </c>
      <c r="P84" s="5"/>
      <c r="Q84" s="8">
        <v>1350</v>
      </c>
      <c r="R84" s="9">
        <v>1350</v>
      </c>
      <c r="S84" s="8">
        <f t="shared" si="37"/>
        <v>0</v>
      </c>
      <c r="U84" s="5">
        <v>150725</v>
      </c>
      <c r="V84" s="5">
        <v>430</v>
      </c>
      <c r="W84" s="6">
        <v>0.5</v>
      </c>
      <c r="X84" s="6" t="s">
        <v>27</v>
      </c>
      <c r="Y84" s="7" t="s">
        <v>273</v>
      </c>
      <c r="Z84" s="5"/>
      <c r="AA84" s="8">
        <v>1500</v>
      </c>
      <c r="AB84" s="9">
        <v>1500</v>
      </c>
      <c r="AC84" s="8">
        <f t="shared" si="38"/>
        <v>0</v>
      </c>
      <c r="AE84" s="5">
        <v>150725</v>
      </c>
      <c r="AF84" s="5">
        <v>430</v>
      </c>
      <c r="AG84" s="6">
        <v>0.5</v>
      </c>
      <c r="AH84" s="6" t="s">
        <v>27</v>
      </c>
      <c r="AI84" s="7" t="s">
        <v>261</v>
      </c>
      <c r="AJ84" s="5"/>
      <c r="AK84" s="8">
        <v>1610</v>
      </c>
      <c r="AL84" s="9">
        <v>1610</v>
      </c>
      <c r="AM84" s="8">
        <f t="shared" si="39"/>
        <v>0</v>
      </c>
      <c r="AO84" s="5">
        <v>150725</v>
      </c>
      <c r="AP84" s="5">
        <v>430</v>
      </c>
      <c r="AQ84" s="6">
        <v>0.5</v>
      </c>
      <c r="AR84" s="6" t="s">
        <v>27</v>
      </c>
      <c r="AS84" s="7" t="s">
        <v>255</v>
      </c>
      <c r="AT84" s="5"/>
      <c r="AU84" s="8">
        <v>1540</v>
      </c>
      <c r="AV84" s="9">
        <v>1540</v>
      </c>
      <c r="AW84" s="8">
        <f t="shared" si="40"/>
        <v>0</v>
      </c>
      <c r="AY84" s="5"/>
      <c r="AZ84" s="5"/>
      <c r="BA84" s="5"/>
      <c r="BB84" s="5"/>
      <c r="BC84" s="7"/>
      <c r="BD84" s="5"/>
      <c r="BE84" s="8"/>
      <c r="BF84" s="9"/>
      <c r="BG84" s="8">
        <f t="shared" si="41"/>
        <v>0</v>
      </c>
    </row>
    <row r="85" spans="1:59" s="4" customFormat="1" ht="20.100000000000001" customHeight="1" x14ac:dyDescent="0.3">
      <c r="A85" s="5"/>
      <c r="B85" s="5"/>
      <c r="C85" s="5"/>
      <c r="D85" s="5"/>
      <c r="E85" s="7"/>
      <c r="F85" s="5"/>
      <c r="G85" s="8">
        <f>SUM(G79:G84)</f>
        <v>8220</v>
      </c>
      <c r="H85" s="9">
        <f>SUM(H79:H84)</f>
        <v>8220</v>
      </c>
      <c r="I85" s="8">
        <f>SUM(I79:I84)</f>
        <v>0</v>
      </c>
      <c r="K85" s="5"/>
      <c r="L85" s="5"/>
      <c r="M85" s="5"/>
      <c r="N85" s="5"/>
      <c r="O85" s="7"/>
      <c r="P85" s="5"/>
      <c r="Q85" s="8">
        <f>SUM(Q79:Q84)</f>
        <v>8100</v>
      </c>
      <c r="R85" s="9">
        <f>SUM(R79:R84)</f>
        <v>8100</v>
      </c>
      <c r="S85" s="8">
        <f>SUM(S79:S84)</f>
        <v>0</v>
      </c>
      <c r="U85" s="5"/>
      <c r="V85" s="5"/>
      <c r="W85" s="5"/>
      <c r="X85" s="5"/>
      <c r="Y85" s="7"/>
      <c r="Z85" s="5"/>
      <c r="AA85" s="8">
        <f>SUM(AA79:AA84)</f>
        <v>9000</v>
      </c>
      <c r="AB85" s="9">
        <f>SUM(AB79:AB84)</f>
        <v>9000</v>
      </c>
      <c r="AC85" s="8">
        <f>SUM(AC79:AC84)</f>
        <v>0</v>
      </c>
      <c r="AE85" s="5"/>
      <c r="AF85" s="5"/>
      <c r="AG85" s="5"/>
      <c r="AH85" s="5"/>
      <c r="AI85" s="7"/>
      <c r="AJ85" s="5"/>
      <c r="AK85" s="8">
        <f>SUM(AK79:AK84)</f>
        <v>9660</v>
      </c>
      <c r="AL85" s="9">
        <f>SUM(AL79:AL84)</f>
        <v>9660</v>
      </c>
      <c r="AM85" s="8">
        <f>SUM(AM79:AM84)</f>
        <v>0</v>
      </c>
      <c r="AO85" s="5"/>
      <c r="AP85" s="5"/>
      <c r="AQ85" s="5"/>
      <c r="AR85" s="5"/>
      <c r="AS85" s="7"/>
      <c r="AT85" s="5"/>
      <c r="AU85" s="8">
        <f>SUM(AU79:AU84)</f>
        <v>9240</v>
      </c>
      <c r="AV85" s="9">
        <f>SUM(AV79:AV84)</f>
        <v>9240</v>
      </c>
      <c r="AW85" s="8">
        <f>SUM(AW79:AW84)</f>
        <v>0</v>
      </c>
      <c r="AY85" s="5"/>
      <c r="AZ85" s="5"/>
      <c r="BA85" s="5"/>
      <c r="BB85" s="5"/>
      <c r="BC85" s="7"/>
      <c r="BD85" s="5"/>
      <c r="BE85" s="8">
        <f>SUM(BE79:BE84)</f>
        <v>0</v>
      </c>
      <c r="BF85" s="9">
        <f>SUM(BF79:BF84)</f>
        <v>0</v>
      </c>
      <c r="BG85" s="8">
        <f>SUM(BG79:BG84)</f>
        <v>0</v>
      </c>
    </row>
  </sheetData>
  <mergeCells count="86">
    <mergeCell ref="AY5:BG5"/>
    <mergeCell ref="BD2:BE3"/>
    <mergeCell ref="BF2:BG3"/>
    <mergeCell ref="A4:I4"/>
    <mergeCell ref="K4:S4"/>
    <mergeCell ref="U4:AC4"/>
    <mergeCell ref="AE4:AM4"/>
    <mergeCell ref="AO4:AW4"/>
    <mergeCell ref="AY4:BG4"/>
    <mergeCell ref="A5:I5"/>
    <mergeCell ref="K5:S5"/>
    <mergeCell ref="U5:AC5"/>
    <mergeCell ref="AE5:AM5"/>
    <mergeCell ref="AO5:AW5"/>
    <mergeCell ref="AY17:BG17"/>
    <mergeCell ref="A16:I16"/>
    <mergeCell ref="K16:S16"/>
    <mergeCell ref="U16:AC16"/>
    <mergeCell ref="AE16:AM16"/>
    <mergeCell ref="AO16:AW16"/>
    <mergeCell ref="AY16:BG16"/>
    <mergeCell ref="A17:I17"/>
    <mergeCell ref="K17:S17"/>
    <mergeCell ref="U17:AC17"/>
    <mergeCell ref="AE17:AM17"/>
    <mergeCell ref="AO17:AW17"/>
    <mergeCell ref="AY29:BG29"/>
    <mergeCell ref="A28:I28"/>
    <mergeCell ref="K28:S28"/>
    <mergeCell ref="U28:AC28"/>
    <mergeCell ref="AE28:AM28"/>
    <mergeCell ref="AO28:AW28"/>
    <mergeCell ref="AY28:BG28"/>
    <mergeCell ref="A29:I29"/>
    <mergeCell ref="K29:S29"/>
    <mergeCell ref="U29:AC29"/>
    <mergeCell ref="AE29:AM29"/>
    <mergeCell ref="AO29:AW29"/>
    <mergeCell ref="AY41:BG41"/>
    <mergeCell ref="A40:I40"/>
    <mergeCell ref="K40:S40"/>
    <mergeCell ref="U40:AC40"/>
    <mergeCell ref="AE40:AM40"/>
    <mergeCell ref="AO40:AW40"/>
    <mergeCell ref="AY40:BG40"/>
    <mergeCell ref="A41:I41"/>
    <mergeCell ref="K41:S41"/>
    <mergeCell ref="U41:AC41"/>
    <mergeCell ref="AE41:AM41"/>
    <mergeCell ref="AO41:AW41"/>
    <mergeCell ref="AY53:BG53"/>
    <mergeCell ref="A52:I52"/>
    <mergeCell ref="K52:S52"/>
    <mergeCell ref="U52:AC52"/>
    <mergeCell ref="AE52:AM52"/>
    <mergeCell ref="AO52:AW52"/>
    <mergeCell ref="AY52:BG52"/>
    <mergeCell ref="A53:I53"/>
    <mergeCell ref="K53:S53"/>
    <mergeCell ref="U53:AC53"/>
    <mergeCell ref="AE53:AM53"/>
    <mergeCell ref="AO53:AW53"/>
    <mergeCell ref="AY65:BG65"/>
    <mergeCell ref="A64:I64"/>
    <mergeCell ref="K64:S64"/>
    <mergeCell ref="U64:AC64"/>
    <mergeCell ref="AE64:AM64"/>
    <mergeCell ref="AO64:AW64"/>
    <mergeCell ref="AY64:BG64"/>
    <mergeCell ref="A65:I65"/>
    <mergeCell ref="K65:S65"/>
    <mergeCell ref="U65:AC65"/>
    <mergeCell ref="AE65:AM65"/>
    <mergeCell ref="AO65:AW65"/>
    <mergeCell ref="AY77:BG77"/>
    <mergeCell ref="A76:I76"/>
    <mergeCell ref="K76:S76"/>
    <mergeCell ref="U76:AC76"/>
    <mergeCell ref="AE76:AM76"/>
    <mergeCell ref="AO76:AW76"/>
    <mergeCell ref="AY76:BG76"/>
    <mergeCell ref="A77:I77"/>
    <mergeCell ref="K77:S77"/>
    <mergeCell ref="U77:AC77"/>
    <mergeCell ref="AE77:AM77"/>
    <mergeCell ref="AO77:AW77"/>
  </mergeCells>
  <pageMargins left="0.19685039370078741" right="0.19685039370078741" top="0.39370078740157483" bottom="0.19685039370078741" header="0.31496062992125984" footer="0.31496062992125984"/>
  <pageSetup paperSize="9" scale="30" fitToHeight="0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L1811"/>
  <sheetViews>
    <sheetView topLeftCell="P49" zoomScale="85" zoomScaleNormal="85" zoomScalePageLayoutView="25" workbookViewId="0">
      <selection activeCell="AI60" sqref="AI60"/>
    </sheetView>
  </sheetViews>
  <sheetFormatPr defaultRowHeight="14.4" x14ac:dyDescent="0.3"/>
  <cols>
    <col min="1" max="1" width="8.21875" style="1" bestFit="1" customWidth="1"/>
    <col min="2" max="2" width="4.77734375" style="1" customWidth="1"/>
    <col min="3" max="3" width="6.77734375" style="1" customWidth="1"/>
    <col min="4" max="4" width="9.21875" style="1" customWidth="1"/>
    <col min="5" max="5" width="45.77734375" style="1" customWidth="1"/>
    <col min="6" max="9" width="6.77734375" style="1" customWidth="1"/>
    <col min="10" max="10" width="1.77734375" customWidth="1"/>
    <col min="11" max="11" width="8.21875" style="1" bestFit="1" customWidth="1"/>
    <col min="12" max="12" width="4.77734375" style="1" customWidth="1"/>
    <col min="13" max="14" width="6.77734375" style="1" customWidth="1"/>
    <col min="15" max="15" width="45.77734375" style="1" customWidth="1"/>
    <col min="16" max="19" width="6.77734375" style="1" customWidth="1"/>
    <col min="20" max="20" width="1.77734375" customWidth="1"/>
    <col min="21" max="21" width="8.21875" style="1" bestFit="1" customWidth="1"/>
    <col min="22" max="22" width="4.77734375" style="1" customWidth="1"/>
    <col min="23" max="24" width="6.77734375" style="1" customWidth="1"/>
    <col min="25" max="25" width="45.77734375" style="1" customWidth="1"/>
    <col min="26" max="29" width="6.77734375" style="1" customWidth="1"/>
    <col min="30" max="30" width="1.77734375" customWidth="1"/>
    <col min="31" max="31" width="8.21875" style="1" bestFit="1" customWidth="1"/>
    <col min="32" max="32" width="4.77734375" style="1" customWidth="1"/>
    <col min="33" max="34" width="6.77734375" style="1" customWidth="1"/>
    <col min="35" max="35" width="45.77734375" style="1" customWidth="1"/>
    <col min="36" max="39" width="6.77734375" style="1" customWidth="1"/>
    <col min="40" max="40" width="1.77734375" customWidth="1"/>
    <col min="41" max="41" width="8.21875" style="1" bestFit="1" customWidth="1"/>
    <col min="42" max="42" width="4.77734375" style="1" customWidth="1"/>
    <col min="43" max="44" width="6.77734375" style="1" customWidth="1"/>
    <col min="45" max="45" width="45.77734375" style="1" customWidth="1"/>
    <col min="46" max="49" width="6.77734375" style="1" customWidth="1"/>
    <col min="50" max="50" width="1.77734375" customWidth="1"/>
    <col min="51" max="51" width="8.21875" style="1" bestFit="1" customWidth="1"/>
    <col min="52" max="52" width="4.77734375" style="1" customWidth="1"/>
    <col min="53" max="54" width="6.77734375" style="1" customWidth="1"/>
    <col min="55" max="55" width="45.77734375" style="1" customWidth="1"/>
    <col min="56" max="59" width="6.77734375" style="1" customWidth="1"/>
  </cols>
  <sheetData>
    <row r="1" spans="1:59" ht="13.05" customHeight="1" x14ac:dyDescent="0.3">
      <c r="A1" s="91" t="s">
        <v>0</v>
      </c>
      <c r="B1" s="91"/>
      <c r="C1" s="91"/>
      <c r="D1" s="91"/>
      <c r="E1" s="91"/>
      <c r="F1" s="91"/>
      <c r="G1" s="91"/>
      <c r="H1" s="91"/>
      <c r="I1" s="91"/>
      <c r="K1" s="91" t="s">
        <v>1</v>
      </c>
      <c r="L1" s="91"/>
      <c r="M1" s="91"/>
      <c r="N1" s="91"/>
      <c r="O1" s="91"/>
      <c r="P1" s="91"/>
      <c r="Q1" s="91"/>
      <c r="R1" s="91"/>
      <c r="S1" s="91"/>
      <c r="U1" s="91" t="s">
        <v>2</v>
      </c>
      <c r="V1" s="91"/>
      <c r="W1" s="91"/>
      <c r="X1" s="91"/>
      <c r="Y1" s="91"/>
      <c r="Z1" s="91"/>
      <c r="AA1" s="91"/>
      <c r="AB1" s="91"/>
      <c r="AC1" s="91"/>
      <c r="AE1" s="91" t="s">
        <v>3</v>
      </c>
      <c r="AF1" s="91"/>
      <c r="AG1" s="91"/>
      <c r="AH1" s="91"/>
      <c r="AI1" s="91"/>
      <c r="AJ1" s="91"/>
      <c r="AK1" s="91"/>
      <c r="AL1" s="91"/>
      <c r="AM1" s="91"/>
      <c r="AO1" s="91" t="s">
        <v>4</v>
      </c>
      <c r="AP1" s="91"/>
      <c r="AQ1" s="91"/>
      <c r="AR1" s="91"/>
      <c r="AS1" s="91"/>
      <c r="AT1" s="91"/>
      <c r="AU1" s="91"/>
      <c r="AV1" s="91"/>
      <c r="AW1" s="91"/>
      <c r="AY1" s="91" t="s">
        <v>5</v>
      </c>
      <c r="AZ1" s="91"/>
      <c r="BA1" s="91"/>
      <c r="BB1" s="91"/>
      <c r="BC1" s="91"/>
      <c r="BD1" s="91"/>
      <c r="BE1" s="91"/>
      <c r="BF1" s="91"/>
      <c r="BG1" s="91"/>
    </row>
    <row r="2" spans="1:59" ht="13.05" customHeight="1" x14ac:dyDescent="0.3">
      <c r="A2" s="91" t="s">
        <v>6</v>
      </c>
      <c r="B2" s="91"/>
      <c r="C2" s="91"/>
      <c r="D2" s="91"/>
      <c r="E2" s="91"/>
      <c r="F2" s="91"/>
      <c r="G2" s="91"/>
      <c r="H2" s="91"/>
      <c r="I2" s="91"/>
      <c r="K2" s="91" t="s">
        <v>6</v>
      </c>
      <c r="L2" s="91"/>
      <c r="M2" s="91"/>
      <c r="N2" s="91"/>
      <c r="O2" s="91"/>
      <c r="P2" s="91"/>
      <c r="Q2" s="91"/>
      <c r="R2" s="91"/>
      <c r="S2" s="91"/>
      <c r="U2" s="91" t="s">
        <v>6</v>
      </c>
      <c r="V2" s="91"/>
      <c r="W2" s="91"/>
      <c r="X2" s="91"/>
      <c r="Y2" s="91"/>
      <c r="Z2" s="91"/>
      <c r="AA2" s="91"/>
      <c r="AB2" s="91"/>
      <c r="AC2" s="91"/>
      <c r="AE2" s="91" t="s">
        <v>6</v>
      </c>
      <c r="AF2" s="91"/>
      <c r="AG2" s="91"/>
      <c r="AH2" s="91"/>
      <c r="AI2" s="91"/>
      <c r="AJ2" s="91"/>
      <c r="AK2" s="91"/>
      <c r="AL2" s="91"/>
      <c r="AM2" s="91"/>
      <c r="AO2" s="91" t="s">
        <v>6</v>
      </c>
      <c r="AP2" s="91"/>
      <c r="AQ2" s="91"/>
      <c r="AR2" s="91"/>
      <c r="AS2" s="91"/>
      <c r="AT2" s="91"/>
      <c r="AU2" s="91"/>
      <c r="AV2" s="91"/>
      <c r="AW2" s="91"/>
      <c r="AY2" s="91" t="s">
        <v>6</v>
      </c>
      <c r="AZ2" s="91"/>
      <c r="BA2" s="91"/>
      <c r="BB2" s="91"/>
      <c r="BC2" s="91"/>
      <c r="BD2" s="91"/>
      <c r="BE2" s="91"/>
      <c r="BF2" s="91"/>
      <c r="BG2" s="91"/>
    </row>
    <row r="3" spans="1:59" s="4" customFormat="1" ht="20.100000000000001" customHeight="1" x14ac:dyDescent="0.3">
      <c r="A3" s="2" t="s">
        <v>7</v>
      </c>
      <c r="B3" s="2" t="s">
        <v>8</v>
      </c>
      <c r="C3" s="3" t="s">
        <v>9</v>
      </c>
      <c r="D3" s="3" t="s">
        <v>24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K3" s="2" t="s">
        <v>7</v>
      </c>
      <c r="L3" s="2" t="s">
        <v>8</v>
      </c>
      <c r="M3" s="3" t="s">
        <v>9</v>
      </c>
      <c r="N3" s="3" t="s">
        <v>24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U3" s="2" t="s">
        <v>7</v>
      </c>
      <c r="V3" s="2" t="s">
        <v>8</v>
      </c>
      <c r="W3" s="3" t="s">
        <v>9</v>
      </c>
      <c r="X3" s="3" t="s">
        <v>24</v>
      </c>
      <c r="Y3" s="2" t="s">
        <v>10</v>
      </c>
      <c r="Z3" s="2" t="s">
        <v>11</v>
      </c>
      <c r="AA3" s="2" t="s">
        <v>12</v>
      </c>
      <c r="AB3" s="2" t="s">
        <v>13</v>
      </c>
      <c r="AC3" s="2" t="s">
        <v>14</v>
      </c>
      <c r="AE3" s="2" t="s">
        <v>7</v>
      </c>
      <c r="AF3" s="2" t="s">
        <v>8</v>
      </c>
      <c r="AG3" s="3" t="s">
        <v>9</v>
      </c>
      <c r="AH3" s="3" t="s">
        <v>24</v>
      </c>
      <c r="AI3" s="2" t="s">
        <v>10</v>
      </c>
      <c r="AJ3" s="2" t="s">
        <v>11</v>
      </c>
      <c r="AK3" s="2" t="s">
        <v>12</v>
      </c>
      <c r="AL3" s="2" t="s">
        <v>13</v>
      </c>
      <c r="AM3" s="2" t="s">
        <v>14</v>
      </c>
      <c r="AO3" s="2" t="s">
        <v>7</v>
      </c>
      <c r="AP3" s="2" t="s">
        <v>8</v>
      </c>
      <c r="AQ3" s="3" t="s">
        <v>9</v>
      </c>
      <c r="AR3" s="3" t="s">
        <v>24</v>
      </c>
      <c r="AS3" s="2" t="s">
        <v>10</v>
      </c>
      <c r="AT3" s="2" t="s">
        <v>11</v>
      </c>
      <c r="AU3" s="2" t="s">
        <v>12</v>
      </c>
      <c r="AV3" s="2" t="s">
        <v>13</v>
      </c>
      <c r="AW3" s="2" t="s">
        <v>14</v>
      </c>
      <c r="AY3" s="2" t="s">
        <v>7</v>
      </c>
      <c r="AZ3" s="2" t="s">
        <v>8</v>
      </c>
      <c r="BA3" s="3" t="s">
        <v>9</v>
      </c>
      <c r="BB3" s="3" t="s">
        <v>24</v>
      </c>
      <c r="BC3" s="2" t="s">
        <v>10</v>
      </c>
      <c r="BD3" s="2" t="s">
        <v>11</v>
      </c>
      <c r="BE3" s="2" t="s">
        <v>12</v>
      </c>
      <c r="BF3" s="2" t="s">
        <v>13</v>
      </c>
      <c r="BG3" s="2" t="s">
        <v>14</v>
      </c>
    </row>
    <row r="4" spans="1:59" s="4" customFormat="1" ht="17.100000000000001" customHeight="1" x14ac:dyDescent="0.3">
      <c r="A4" s="11"/>
      <c r="B4" s="11"/>
      <c r="C4" s="12"/>
      <c r="D4" s="12"/>
      <c r="E4" s="13"/>
      <c r="F4" s="11"/>
      <c r="G4" s="14"/>
      <c r="H4" s="9"/>
      <c r="I4" s="8">
        <f>G4-H4</f>
        <v>0</v>
      </c>
      <c r="K4" s="11"/>
      <c r="L4" s="11"/>
      <c r="M4" s="12"/>
      <c r="N4" s="12"/>
      <c r="O4" s="13"/>
      <c r="P4" s="11"/>
      <c r="Q4" s="14"/>
      <c r="R4" s="9"/>
      <c r="S4" s="8">
        <f>Q4-R4</f>
        <v>0</v>
      </c>
      <c r="U4" s="11"/>
      <c r="V4" s="11"/>
      <c r="W4" s="12"/>
      <c r="X4" s="12"/>
      <c r="Y4" s="13"/>
      <c r="Z4" s="11"/>
      <c r="AA4" s="14"/>
      <c r="AB4" s="9"/>
      <c r="AC4" s="8">
        <f>AA4-AB4</f>
        <v>0</v>
      </c>
      <c r="AE4" s="5">
        <v>250067</v>
      </c>
      <c r="AF4" s="5">
        <v>430</v>
      </c>
      <c r="AG4" s="6">
        <v>0.5</v>
      </c>
      <c r="AH4" s="6" t="s">
        <v>27</v>
      </c>
      <c r="AI4" s="7" t="s">
        <v>74</v>
      </c>
      <c r="AJ4" s="5"/>
      <c r="AK4" s="8">
        <v>1000</v>
      </c>
      <c r="AL4" s="9">
        <f>600+340</f>
        <v>940</v>
      </c>
      <c r="AM4" s="8">
        <f>AK4-AL4</f>
        <v>60</v>
      </c>
      <c r="AO4" s="5">
        <v>250063</v>
      </c>
      <c r="AP4" s="5">
        <v>430</v>
      </c>
      <c r="AQ4" s="6">
        <v>0.5</v>
      </c>
      <c r="AR4" s="6" t="s">
        <v>27</v>
      </c>
      <c r="AS4" s="7" t="s">
        <v>84</v>
      </c>
      <c r="AT4" s="5"/>
      <c r="AU4" s="8">
        <v>1000</v>
      </c>
      <c r="AV4" s="9">
        <v>1000</v>
      </c>
      <c r="AW4" s="8">
        <f>AU4-AV4</f>
        <v>0</v>
      </c>
      <c r="AY4" s="5">
        <v>250063</v>
      </c>
      <c r="AZ4" s="5">
        <v>430</v>
      </c>
      <c r="BA4" s="6">
        <v>0.5</v>
      </c>
      <c r="BB4" s="6" t="s">
        <v>27</v>
      </c>
      <c r="BC4" s="7" t="s">
        <v>83</v>
      </c>
      <c r="BD4" s="5"/>
      <c r="BE4" s="8">
        <v>1000</v>
      </c>
      <c r="BF4" s="9">
        <v>1000</v>
      </c>
      <c r="BG4" s="8">
        <f>BE4-BF4</f>
        <v>0</v>
      </c>
    </row>
    <row r="5" spans="1:59" s="4" customFormat="1" ht="17.100000000000001" customHeight="1" x14ac:dyDescent="0.3">
      <c r="A5" s="11"/>
      <c r="B5" s="11"/>
      <c r="C5" s="12"/>
      <c r="D5" s="12"/>
      <c r="E5" s="13"/>
      <c r="F5" s="11"/>
      <c r="G5" s="14"/>
      <c r="H5" s="9"/>
      <c r="I5" s="8">
        <f t="shared" ref="I5:I9" si="0">G5-H5</f>
        <v>0</v>
      </c>
      <c r="K5" s="11"/>
      <c r="L5" s="11"/>
      <c r="M5" s="12"/>
      <c r="N5" s="12"/>
      <c r="O5" s="13"/>
      <c r="P5" s="11"/>
      <c r="Q5" s="14"/>
      <c r="R5" s="9"/>
      <c r="S5" s="8">
        <f t="shared" ref="S5:S9" si="1">Q5-R5</f>
        <v>0</v>
      </c>
      <c r="U5" s="11"/>
      <c r="V5" s="11"/>
      <c r="W5" s="12"/>
      <c r="X5" s="12"/>
      <c r="Y5" s="13"/>
      <c r="Z5" s="11"/>
      <c r="AA5" s="14"/>
      <c r="AB5" s="9"/>
      <c r="AC5" s="8">
        <f t="shared" ref="AC5:AC9" si="2">AA5-AB5</f>
        <v>0</v>
      </c>
      <c r="AE5" s="5"/>
      <c r="AF5" s="5"/>
      <c r="AG5" s="6"/>
      <c r="AH5" s="6"/>
      <c r="AI5" s="7" t="s">
        <v>225</v>
      </c>
      <c r="AJ5" s="5"/>
      <c r="AK5" s="8"/>
      <c r="AL5" s="9"/>
      <c r="AM5" s="8">
        <f t="shared" ref="AM5:AM9" si="3">AK5-AL5</f>
        <v>0</v>
      </c>
      <c r="AO5" s="5">
        <v>250064</v>
      </c>
      <c r="AP5" s="5">
        <v>430</v>
      </c>
      <c r="AQ5" s="6">
        <v>0.5</v>
      </c>
      <c r="AR5" s="6" t="s">
        <v>27</v>
      </c>
      <c r="AS5" s="7" t="s">
        <v>96</v>
      </c>
      <c r="AT5" s="5"/>
      <c r="AU5" s="8">
        <v>1000</v>
      </c>
      <c r="AV5" s="9">
        <v>1000</v>
      </c>
      <c r="AW5" s="8">
        <f t="shared" ref="AW5:AW9" si="4">AU5-AV5</f>
        <v>0</v>
      </c>
      <c r="AY5" s="5"/>
      <c r="AZ5" s="5"/>
      <c r="BA5" s="5"/>
      <c r="BB5" s="5"/>
      <c r="BC5" s="7"/>
      <c r="BD5" s="5"/>
      <c r="BE5" s="8"/>
      <c r="BF5" s="9"/>
      <c r="BG5" s="8">
        <f t="shared" ref="BG5:BG9" si="5">BE5-BF5</f>
        <v>0</v>
      </c>
    </row>
    <row r="6" spans="1:59" s="4" customFormat="1" ht="17.100000000000001" customHeight="1" x14ac:dyDescent="0.3">
      <c r="A6" s="11"/>
      <c r="B6" s="11"/>
      <c r="C6" s="12"/>
      <c r="D6" s="12"/>
      <c r="E6" s="13"/>
      <c r="F6" s="11"/>
      <c r="G6" s="14"/>
      <c r="H6" s="9"/>
      <c r="I6" s="8">
        <f t="shared" si="0"/>
        <v>0</v>
      </c>
      <c r="K6" s="11"/>
      <c r="L6" s="11"/>
      <c r="M6" s="12"/>
      <c r="N6" s="12"/>
      <c r="O6" s="13"/>
      <c r="P6" s="11"/>
      <c r="Q6" s="14"/>
      <c r="R6" s="9"/>
      <c r="S6" s="8">
        <f t="shared" si="1"/>
        <v>0</v>
      </c>
      <c r="U6" s="11"/>
      <c r="V6" s="11"/>
      <c r="W6" s="12"/>
      <c r="X6" s="12"/>
      <c r="Y6" s="13"/>
      <c r="Z6" s="11"/>
      <c r="AA6" s="14"/>
      <c r="AB6" s="9"/>
      <c r="AC6" s="8">
        <f t="shared" si="2"/>
        <v>0</v>
      </c>
      <c r="AE6" s="5"/>
      <c r="AF6" s="5"/>
      <c r="AG6" s="6"/>
      <c r="AH6" s="6"/>
      <c r="AI6" s="7" t="s">
        <v>226</v>
      </c>
      <c r="AJ6" s="5"/>
      <c r="AK6" s="8"/>
      <c r="AL6" s="9"/>
      <c r="AM6" s="8">
        <f t="shared" si="3"/>
        <v>0</v>
      </c>
      <c r="AO6" s="5">
        <v>250064</v>
      </c>
      <c r="AP6" s="5">
        <v>430</v>
      </c>
      <c r="AQ6" s="6">
        <v>0.5</v>
      </c>
      <c r="AR6" s="6" t="s">
        <v>27</v>
      </c>
      <c r="AS6" s="7" t="s">
        <v>95</v>
      </c>
      <c r="AT6" s="5"/>
      <c r="AU6" s="8">
        <v>1000</v>
      </c>
      <c r="AV6" s="9">
        <f>250+750</f>
        <v>1000</v>
      </c>
      <c r="AW6" s="8">
        <f t="shared" si="4"/>
        <v>0</v>
      </c>
      <c r="AY6" s="5"/>
      <c r="AZ6" s="5"/>
      <c r="BA6" s="5"/>
      <c r="BB6" s="5"/>
      <c r="BC6" s="7"/>
      <c r="BD6" s="5"/>
      <c r="BE6" s="8"/>
      <c r="BF6" s="9"/>
      <c r="BG6" s="8">
        <f t="shared" si="5"/>
        <v>0</v>
      </c>
    </row>
    <row r="7" spans="1:59" s="4" customFormat="1" ht="17.100000000000001" customHeight="1" x14ac:dyDescent="0.3">
      <c r="A7" s="11"/>
      <c r="B7" s="11"/>
      <c r="C7" s="12"/>
      <c r="D7" s="12"/>
      <c r="E7" s="13"/>
      <c r="F7" s="11"/>
      <c r="G7" s="14"/>
      <c r="H7" s="9"/>
      <c r="I7" s="8">
        <f t="shared" si="0"/>
        <v>0</v>
      </c>
      <c r="K7" s="11"/>
      <c r="L7" s="11"/>
      <c r="M7" s="12"/>
      <c r="N7" s="12"/>
      <c r="O7" s="13"/>
      <c r="P7" s="11"/>
      <c r="Q7" s="14"/>
      <c r="R7" s="9"/>
      <c r="S7" s="8">
        <f t="shared" si="1"/>
        <v>0</v>
      </c>
      <c r="U7" s="5"/>
      <c r="V7" s="5"/>
      <c r="W7" s="5"/>
      <c r="X7" s="5"/>
      <c r="Y7" s="7"/>
      <c r="Z7" s="5"/>
      <c r="AA7" s="8"/>
      <c r="AB7" s="9"/>
      <c r="AC7" s="8">
        <f t="shared" si="2"/>
        <v>0</v>
      </c>
      <c r="AE7" s="5"/>
      <c r="AF7" s="5"/>
      <c r="AG7" s="5"/>
      <c r="AH7" s="5"/>
      <c r="AI7" s="7"/>
      <c r="AJ7" s="5"/>
      <c r="AK7" s="8"/>
      <c r="AL7" s="9"/>
      <c r="AM7" s="8">
        <f t="shared" si="3"/>
        <v>0</v>
      </c>
      <c r="AO7" s="5"/>
      <c r="AP7" s="5"/>
      <c r="AQ7" s="6"/>
      <c r="AR7" s="6"/>
      <c r="AS7" s="7"/>
      <c r="AT7" s="5"/>
      <c r="AU7" s="8"/>
      <c r="AV7" s="9"/>
      <c r="AW7" s="8">
        <f t="shared" si="4"/>
        <v>0</v>
      </c>
      <c r="AY7" s="5"/>
      <c r="AZ7" s="5"/>
      <c r="BA7" s="5"/>
      <c r="BB7" s="5"/>
      <c r="BC7" s="7"/>
      <c r="BD7" s="5"/>
      <c r="BE7" s="8"/>
      <c r="BF7" s="9"/>
      <c r="BG7" s="8">
        <f t="shared" si="5"/>
        <v>0</v>
      </c>
    </row>
    <row r="8" spans="1:59" s="4" customFormat="1" ht="17.100000000000001" customHeight="1" x14ac:dyDescent="0.3">
      <c r="A8" s="11"/>
      <c r="B8" s="11"/>
      <c r="C8" s="12"/>
      <c r="D8" s="12"/>
      <c r="E8" s="13"/>
      <c r="F8" s="11"/>
      <c r="G8" s="14"/>
      <c r="H8" s="9"/>
      <c r="I8" s="8">
        <f t="shared" si="0"/>
        <v>0</v>
      </c>
      <c r="K8" s="11"/>
      <c r="L8" s="11"/>
      <c r="M8" s="12"/>
      <c r="N8" s="12"/>
      <c r="O8" s="13"/>
      <c r="P8" s="11"/>
      <c r="Q8" s="14"/>
      <c r="R8" s="19"/>
      <c r="S8" s="8">
        <f t="shared" si="1"/>
        <v>0</v>
      </c>
      <c r="U8" s="5"/>
      <c r="V8" s="5"/>
      <c r="W8" s="5"/>
      <c r="X8" s="5"/>
      <c r="Y8" s="7"/>
      <c r="Z8" s="5"/>
      <c r="AA8" s="8"/>
      <c r="AB8" s="9"/>
      <c r="AC8" s="8">
        <f t="shared" si="2"/>
        <v>0</v>
      </c>
      <c r="AE8" s="5"/>
      <c r="AF8" s="5"/>
      <c r="AG8" s="5"/>
      <c r="AH8" s="5"/>
      <c r="AI8" s="7"/>
      <c r="AJ8" s="5"/>
      <c r="AK8" s="8"/>
      <c r="AL8" s="9"/>
      <c r="AM8" s="8">
        <f t="shared" si="3"/>
        <v>0</v>
      </c>
      <c r="AO8" s="5"/>
      <c r="AP8" s="5"/>
      <c r="AQ8" s="6"/>
      <c r="AR8" s="6"/>
      <c r="AS8" s="7"/>
      <c r="AT8" s="5"/>
      <c r="AU8" s="8"/>
      <c r="AV8" s="9"/>
      <c r="AW8" s="8">
        <f t="shared" si="4"/>
        <v>0</v>
      </c>
      <c r="AY8" s="5"/>
      <c r="AZ8" s="5"/>
      <c r="BA8" s="5"/>
      <c r="BB8" s="5"/>
      <c r="BC8" s="7"/>
      <c r="BD8" s="5"/>
      <c r="BE8" s="8"/>
      <c r="BF8" s="9"/>
      <c r="BG8" s="8">
        <f t="shared" si="5"/>
        <v>0</v>
      </c>
    </row>
    <row r="9" spans="1:59" s="4" customFormat="1" ht="17.100000000000001" customHeight="1" x14ac:dyDescent="0.3">
      <c r="A9" s="11"/>
      <c r="B9" s="11"/>
      <c r="C9" s="12"/>
      <c r="D9" s="12"/>
      <c r="E9" s="13"/>
      <c r="F9" s="11"/>
      <c r="G9" s="14"/>
      <c r="H9" s="9"/>
      <c r="I9" s="8">
        <f t="shared" si="0"/>
        <v>0</v>
      </c>
      <c r="K9" s="11"/>
      <c r="L9" s="11"/>
      <c r="M9" s="12"/>
      <c r="N9" s="12"/>
      <c r="O9" s="13"/>
      <c r="P9" s="11"/>
      <c r="Q9" s="14"/>
      <c r="R9" s="19"/>
      <c r="S9" s="8">
        <f t="shared" si="1"/>
        <v>0</v>
      </c>
      <c r="U9" s="5"/>
      <c r="V9" s="5"/>
      <c r="W9" s="5"/>
      <c r="X9" s="5"/>
      <c r="Y9" s="7"/>
      <c r="Z9" s="5"/>
      <c r="AA9" s="8"/>
      <c r="AB9" s="9"/>
      <c r="AC9" s="8">
        <f t="shared" si="2"/>
        <v>0</v>
      </c>
      <c r="AE9" s="5"/>
      <c r="AF9" s="5"/>
      <c r="AG9" s="5"/>
      <c r="AH9" s="5"/>
      <c r="AI9" s="7"/>
      <c r="AJ9" s="5"/>
      <c r="AK9" s="8"/>
      <c r="AL9" s="9"/>
      <c r="AM9" s="8">
        <f t="shared" si="3"/>
        <v>0</v>
      </c>
      <c r="AO9" s="5"/>
      <c r="AP9" s="5"/>
      <c r="AQ9" s="5"/>
      <c r="AR9" s="5"/>
      <c r="AS9" s="7"/>
      <c r="AT9" s="5"/>
      <c r="AU9" s="8"/>
      <c r="AV9" s="9"/>
      <c r="AW9" s="8">
        <f t="shared" si="4"/>
        <v>0</v>
      </c>
      <c r="AY9" s="5"/>
      <c r="AZ9" s="5"/>
      <c r="BA9" s="5"/>
      <c r="BB9" s="5"/>
      <c r="BC9" s="7"/>
      <c r="BD9" s="5"/>
      <c r="BE9" s="8"/>
      <c r="BF9" s="9"/>
      <c r="BG9" s="8">
        <f t="shared" si="5"/>
        <v>0</v>
      </c>
    </row>
    <row r="10" spans="1:59" s="4" customFormat="1" ht="17.100000000000001" customHeight="1" x14ac:dyDescent="0.3">
      <c r="A10" s="5"/>
      <c r="B10" s="5"/>
      <c r="C10" s="5"/>
      <c r="D10" s="5"/>
      <c r="E10" s="7"/>
      <c r="F10" s="5"/>
      <c r="G10" s="8">
        <f>SUM(G4:G9)</f>
        <v>0</v>
      </c>
      <c r="H10" s="9">
        <f>SUM(H4:H9)</f>
        <v>0</v>
      </c>
      <c r="I10" s="8">
        <f>SUM(I4:I9)</f>
        <v>0</v>
      </c>
      <c r="K10" s="5"/>
      <c r="L10" s="5"/>
      <c r="M10" s="5"/>
      <c r="N10" s="5"/>
      <c r="O10" s="7"/>
      <c r="P10" s="5"/>
      <c r="Q10" s="8">
        <f>SUM(Q4:Q9)</f>
        <v>0</v>
      </c>
      <c r="R10" s="9">
        <f>SUM(R4:R9)</f>
        <v>0</v>
      </c>
      <c r="S10" s="8">
        <f>SUM(S4:S9)</f>
        <v>0</v>
      </c>
      <c r="U10" s="5"/>
      <c r="V10" s="5"/>
      <c r="W10" s="5"/>
      <c r="X10" s="5"/>
      <c r="Y10" s="7"/>
      <c r="Z10" s="5"/>
      <c r="AA10" s="8">
        <f>SUM(AA4:AA9)</f>
        <v>0</v>
      </c>
      <c r="AB10" s="9">
        <f>SUM(AB4:AB9)</f>
        <v>0</v>
      </c>
      <c r="AC10" s="8">
        <f>SUM(AC4:AC9)</f>
        <v>0</v>
      </c>
      <c r="AE10" s="5"/>
      <c r="AF10" s="5"/>
      <c r="AG10" s="5"/>
      <c r="AH10" s="5"/>
      <c r="AI10" s="7"/>
      <c r="AJ10" s="5"/>
      <c r="AK10" s="8">
        <f>SUM(AK4:AK9)</f>
        <v>1000</v>
      </c>
      <c r="AL10" s="9">
        <f>SUM(AL4:AL9)</f>
        <v>940</v>
      </c>
      <c r="AM10" s="8">
        <f>SUM(AM4:AM9)</f>
        <v>60</v>
      </c>
      <c r="AO10" s="5"/>
      <c r="AP10" s="5"/>
      <c r="AQ10" s="5"/>
      <c r="AR10" s="5"/>
      <c r="AS10" s="7"/>
      <c r="AT10" s="5"/>
      <c r="AU10" s="8">
        <f>SUM(AU4:AU9)</f>
        <v>3000</v>
      </c>
      <c r="AV10" s="9">
        <f>SUM(AV4:AV9)</f>
        <v>3000</v>
      </c>
      <c r="AW10" s="8">
        <f>SUM(AW4:AW9)</f>
        <v>0</v>
      </c>
      <c r="AY10" s="5"/>
      <c r="AZ10" s="5"/>
      <c r="BA10" s="5"/>
      <c r="BB10" s="5"/>
      <c r="BC10" s="7"/>
      <c r="BD10" s="5"/>
      <c r="BE10" s="8">
        <f>SUM(BE4:BE9)</f>
        <v>1000</v>
      </c>
      <c r="BF10" s="9">
        <f>SUM(BF4:BF9)</f>
        <v>1000</v>
      </c>
      <c r="BG10" s="8">
        <f>SUM(BG4:BG9)</f>
        <v>0</v>
      </c>
    </row>
    <row r="12" spans="1:59" ht="13.05" customHeight="1" x14ac:dyDescent="0.3">
      <c r="A12" s="91" t="s">
        <v>0</v>
      </c>
      <c r="B12" s="91"/>
      <c r="C12" s="91"/>
      <c r="D12" s="91"/>
      <c r="E12" s="91"/>
      <c r="F12" s="91"/>
      <c r="G12" s="91"/>
      <c r="H12" s="91"/>
      <c r="I12" s="91"/>
      <c r="K12" s="91" t="s">
        <v>1</v>
      </c>
      <c r="L12" s="91"/>
      <c r="M12" s="91"/>
      <c r="N12" s="91"/>
      <c r="O12" s="91"/>
      <c r="P12" s="91"/>
      <c r="Q12" s="91"/>
      <c r="R12" s="91"/>
      <c r="S12" s="91"/>
      <c r="U12" s="91" t="s">
        <v>2</v>
      </c>
      <c r="V12" s="91"/>
      <c r="W12" s="91"/>
      <c r="X12" s="91"/>
      <c r="Y12" s="91"/>
      <c r="Z12" s="91"/>
      <c r="AA12" s="91"/>
      <c r="AB12" s="91"/>
      <c r="AC12" s="91"/>
      <c r="AE12" s="91" t="s">
        <v>3</v>
      </c>
      <c r="AF12" s="91"/>
      <c r="AG12" s="91"/>
      <c r="AH12" s="91"/>
      <c r="AI12" s="91"/>
      <c r="AJ12" s="91"/>
      <c r="AK12" s="91"/>
      <c r="AL12" s="91"/>
      <c r="AM12" s="91"/>
      <c r="AO12" s="91" t="s">
        <v>4</v>
      </c>
      <c r="AP12" s="91"/>
      <c r="AQ12" s="91"/>
      <c r="AR12" s="91"/>
      <c r="AS12" s="91"/>
      <c r="AT12" s="91"/>
      <c r="AU12" s="91"/>
      <c r="AV12" s="91"/>
      <c r="AW12" s="91"/>
      <c r="AY12" s="91" t="s">
        <v>5</v>
      </c>
      <c r="AZ12" s="91"/>
      <c r="BA12" s="91"/>
      <c r="BB12" s="91"/>
      <c r="BC12" s="91"/>
      <c r="BD12" s="91"/>
      <c r="BE12" s="91"/>
      <c r="BF12" s="91"/>
      <c r="BG12" s="91"/>
    </row>
    <row r="13" spans="1:59" ht="13.05" customHeight="1" x14ac:dyDescent="0.3">
      <c r="A13" s="91" t="s">
        <v>15</v>
      </c>
      <c r="B13" s="91"/>
      <c r="C13" s="91"/>
      <c r="D13" s="91"/>
      <c r="E13" s="91"/>
      <c r="F13" s="91"/>
      <c r="G13" s="91"/>
      <c r="H13" s="91"/>
      <c r="I13" s="91"/>
      <c r="K13" s="91" t="s">
        <v>15</v>
      </c>
      <c r="L13" s="91"/>
      <c r="M13" s="91"/>
      <c r="N13" s="91"/>
      <c r="O13" s="91"/>
      <c r="P13" s="91"/>
      <c r="Q13" s="91"/>
      <c r="R13" s="91"/>
      <c r="S13" s="91"/>
      <c r="U13" s="91" t="s">
        <v>15</v>
      </c>
      <c r="V13" s="91"/>
      <c r="W13" s="91"/>
      <c r="X13" s="91"/>
      <c r="Y13" s="91"/>
      <c r="Z13" s="91"/>
      <c r="AA13" s="91"/>
      <c r="AB13" s="91"/>
      <c r="AC13" s="91"/>
      <c r="AE13" s="91" t="s">
        <v>15</v>
      </c>
      <c r="AF13" s="91"/>
      <c r="AG13" s="91"/>
      <c r="AH13" s="91"/>
      <c r="AI13" s="91"/>
      <c r="AJ13" s="91"/>
      <c r="AK13" s="91"/>
      <c r="AL13" s="91"/>
      <c r="AM13" s="91"/>
      <c r="AO13" s="91" t="s">
        <v>15</v>
      </c>
      <c r="AP13" s="91"/>
      <c r="AQ13" s="91"/>
      <c r="AR13" s="91"/>
      <c r="AS13" s="91"/>
      <c r="AT13" s="91"/>
      <c r="AU13" s="91"/>
      <c r="AV13" s="91"/>
      <c r="AW13" s="91"/>
      <c r="AY13" s="91" t="s">
        <v>15</v>
      </c>
      <c r="AZ13" s="91"/>
      <c r="BA13" s="91"/>
      <c r="BB13" s="91"/>
      <c r="BC13" s="91"/>
      <c r="BD13" s="91"/>
      <c r="BE13" s="91"/>
      <c r="BF13" s="91"/>
      <c r="BG13" s="91"/>
    </row>
    <row r="14" spans="1:59" s="4" customFormat="1" ht="20.100000000000001" customHeight="1" x14ac:dyDescent="0.3">
      <c r="A14" s="2" t="s">
        <v>7</v>
      </c>
      <c r="B14" s="2" t="s">
        <v>8</v>
      </c>
      <c r="C14" s="3" t="s">
        <v>9</v>
      </c>
      <c r="D14" s="3" t="s">
        <v>24</v>
      </c>
      <c r="E14" s="2" t="s">
        <v>10</v>
      </c>
      <c r="F14" s="2" t="s">
        <v>11</v>
      </c>
      <c r="G14" s="2" t="s">
        <v>12</v>
      </c>
      <c r="H14" s="2" t="s">
        <v>13</v>
      </c>
      <c r="I14" s="2" t="s">
        <v>14</v>
      </c>
      <c r="K14" s="2" t="s">
        <v>7</v>
      </c>
      <c r="L14" s="2" t="s">
        <v>8</v>
      </c>
      <c r="M14" s="3" t="s">
        <v>9</v>
      </c>
      <c r="N14" s="3" t="s">
        <v>24</v>
      </c>
      <c r="O14" s="2" t="s">
        <v>10</v>
      </c>
      <c r="P14" s="2" t="s">
        <v>11</v>
      </c>
      <c r="Q14" s="2" t="s">
        <v>12</v>
      </c>
      <c r="R14" s="2" t="s">
        <v>13</v>
      </c>
      <c r="S14" s="2" t="s">
        <v>14</v>
      </c>
      <c r="U14" s="2" t="s">
        <v>7</v>
      </c>
      <c r="V14" s="2" t="s">
        <v>8</v>
      </c>
      <c r="W14" s="3" t="s">
        <v>9</v>
      </c>
      <c r="X14" s="3" t="s">
        <v>24</v>
      </c>
      <c r="Y14" s="2" t="s">
        <v>10</v>
      </c>
      <c r="Z14" s="2" t="s">
        <v>11</v>
      </c>
      <c r="AA14" s="2" t="s">
        <v>12</v>
      </c>
      <c r="AB14" s="2" t="s">
        <v>13</v>
      </c>
      <c r="AC14" s="2" t="s">
        <v>14</v>
      </c>
      <c r="AE14" s="2" t="s">
        <v>7</v>
      </c>
      <c r="AF14" s="2" t="s">
        <v>8</v>
      </c>
      <c r="AG14" s="3" t="s">
        <v>9</v>
      </c>
      <c r="AH14" s="3" t="s">
        <v>24</v>
      </c>
      <c r="AI14" s="2" t="s">
        <v>10</v>
      </c>
      <c r="AJ14" s="2" t="s">
        <v>11</v>
      </c>
      <c r="AK14" s="2" t="s">
        <v>12</v>
      </c>
      <c r="AL14" s="2" t="s">
        <v>13</v>
      </c>
      <c r="AM14" s="2" t="s">
        <v>14</v>
      </c>
      <c r="AO14" s="2" t="s">
        <v>7</v>
      </c>
      <c r="AP14" s="2" t="s">
        <v>8</v>
      </c>
      <c r="AQ14" s="3" t="s">
        <v>9</v>
      </c>
      <c r="AR14" s="3" t="s">
        <v>24</v>
      </c>
      <c r="AS14" s="2" t="s">
        <v>10</v>
      </c>
      <c r="AT14" s="2" t="s">
        <v>11</v>
      </c>
      <c r="AU14" s="2" t="s">
        <v>12</v>
      </c>
      <c r="AV14" s="2" t="s">
        <v>13</v>
      </c>
      <c r="AW14" s="2" t="s">
        <v>14</v>
      </c>
      <c r="AY14" s="2" t="s">
        <v>7</v>
      </c>
      <c r="AZ14" s="2" t="s">
        <v>8</v>
      </c>
      <c r="BA14" s="3" t="s">
        <v>9</v>
      </c>
      <c r="BB14" s="3" t="s">
        <v>24</v>
      </c>
      <c r="BC14" s="2" t="s">
        <v>10</v>
      </c>
      <c r="BD14" s="2" t="s">
        <v>11</v>
      </c>
      <c r="BE14" s="2" t="s">
        <v>12</v>
      </c>
      <c r="BF14" s="2" t="s">
        <v>13</v>
      </c>
      <c r="BG14" s="2" t="s">
        <v>14</v>
      </c>
    </row>
    <row r="15" spans="1:59" s="4" customFormat="1" ht="17.100000000000001" customHeight="1" x14ac:dyDescent="0.3">
      <c r="A15" s="11">
        <v>250049</v>
      </c>
      <c r="B15" s="11">
        <v>304</v>
      </c>
      <c r="C15" s="12">
        <v>0.7</v>
      </c>
      <c r="D15" s="12" t="s">
        <v>25</v>
      </c>
      <c r="E15" s="13" t="s">
        <v>185</v>
      </c>
      <c r="F15" s="11">
        <v>304</v>
      </c>
      <c r="G15" s="14">
        <v>790</v>
      </c>
      <c r="H15" s="9">
        <v>800</v>
      </c>
      <c r="I15" s="8">
        <f>G15-H15</f>
        <v>-10</v>
      </c>
      <c r="K15" s="11">
        <v>250054</v>
      </c>
      <c r="L15" s="11">
        <v>304</v>
      </c>
      <c r="M15" s="12">
        <v>0.7</v>
      </c>
      <c r="N15" s="12" t="s">
        <v>25</v>
      </c>
      <c r="O15" s="13" t="s">
        <v>210</v>
      </c>
      <c r="P15" s="11">
        <v>304</v>
      </c>
      <c r="Q15" s="14">
        <v>825</v>
      </c>
      <c r="R15" s="9">
        <v>825</v>
      </c>
      <c r="S15" s="8">
        <f>Q15-R15</f>
        <v>0</v>
      </c>
      <c r="U15" s="10">
        <v>250050</v>
      </c>
      <c r="V15" s="10">
        <v>304</v>
      </c>
      <c r="W15" s="15">
        <v>0.6</v>
      </c>
      <c r="X15" s="15" t="s">
        <v>41</v>
      </c>
      <c r="Y15" s="16" t="s">
        <v>192</v>
      </c>
      <c r="Z15" s="10">
        <v>430</v>
      </c>
      <c r="AA15" s="17">
        <v>900</v>
      </c>
      <c r="AB15" s="9">
        <f>285+615</f>
        <v>900</v>
      </c>
      <c r="AC15" s="8">
        <f>AA15-AB15</f>
        <v>0</v>
      </c>
      <c r="AE15" s="10">
        <v>250051</v>
      </c>
      <c r="AF15" s="10">
        <v>304</v>
      </c>
      <c r="AG15" s="15">
        <v>0.7</v>
      </c>
      <c r="AH15" s="15" t="s">
        <v>25</v>
      </c>
      <c r="AI15" s="16" t="s">
        <v>200</v>
      </c>
      <c r="AJ15" s="10">
        <v>304</v>
      </c>
      <c r="AK15" s="17">
        <v>900</v>
      </c>
      <c r="AL15" s="9">
        <v>900</v>
      </c>
      <c r="AM15" s="8">
        <f>AK15-AL15</f>
        <v>0</v>
      </c>
      <c r="AO15" s="5"/>
      <c r="AP15" s="5"/>
      <c r="AQ15" s="6"/>
      <c r="AR15" s="6"/>
      <c r="AS15" s="7"/>
      <c r="AT15" s="5"/>
      <c r="AU15" s="8"/>
      <c r="AV15" s="9"/>
      <c r="AW15" s="8">
        <f>AU15-AV15</f>
        <v>0</v>
      </c>
      <c r="AY15" s="5"/>
      <c r="AZ15" s="5"/>
      <c r="BA15" s="6"/>
      <c r="BB15" s="6"/>
      <c r="BC15" s="7"/>
      <c r="BD15" s="5"/>
      <c r="BE15" s="8"/>
      <c r="BF15" s="9"/>
      <c r="BG15" s="8">
        <f>BE15-BF15</f>
        <v>0</v>
      </c>
    </row>
    <row r="16" spans="1:59" s="4" customFormat="1" ht="17.100000000000001" customHeight="1" x14ac:dyDescent="0.3">
      <c r="A16" s="11">
        <v>250051</v>
      </c>
      <c r="B16" s="11">
        <v>304</v>
      </c>
      <c r="C16" s="12">
        <v>0.7</v>
      </c>
      <c r="D16" s="12" t="s">
        <v>25</v>
      </c>
      <c r="E16" s="13" t="s">
        <v>199</v>
      </c>
      <c r="F16" s="11">
        <v>304</v>
      </c>
      <c r="G16" s="14">
        <v>900</v>
      </c>
      <c r="H16" s="9">
        <v>900</v>
      </c>
      <c r="I16" s="8">
        <f t="shared" ref="I16:I20" si="6">G16-H16</f>
        <v>0</v>
      </c>
      <c r="K16" s="10">
        <v>250054</v>
      </c>
      <c r="L16" s="10">
        <v>304</v>
      </c>
      <c r="M16" s="15">
        <v>0.7</v>
      </c>
      <c r="N16" s="15" t="s">
        <v>25</v>
      </c>
      <c r="O16" s="16" t="s">
        <v>213</v>
      </c>
      <c r="P16" s="10">
        <v>304</v>
      </c>
      <c r="Q16" s="17">
        <v>825</v>
      </c>
      <c r="R16" s="9">
        <v>917</v>
      </c>
      <c r="S16" s="8">
        <f t="shared" ref="S16:S20" si="7">Q16-R16</f>
        <v>-92</v>
      </c>
      <c r="U16" s="10">
        <v>250053</v>
      </c>
      <c r="V16" s="10">
        <v>304</v>
      </c>
      <c r="W16" s="15">
        <v>0.7</v>
      </c>
      <c r="X16" s="15" t="s">
        <v>25</v>
      </c>
      <c r="Y16" s="16" t="s">
        <v>201</v>
      </c>
      <c r="Z16" s="10">
        <v>304</v>
      </c>
      <c r="AA16" s="17">
        <v>720</v>
      </c>
      <c r="AB16" s="9">
        <v>725</v>
      </c>
      <c r="AC16" s="8">
        <f t="shared" ref="AC16:AC20" si="8">AA16-AB16</f>
        <v>-5</v>
      </c>
      <c r="AE16" s="10">
        <v>250054</v>
      </c>
      <c r="AF16" s="10">
        <v>304</v>
      </c>
      <c r="AG16" s="15">
        <v>0.7</v>
      </c>
      <c r="AH16" s="15" t="s">
        <v>25</v>
      </c>
      <c r="AI16" s="16" t="s">
        <v>212</v>
      </c>
      <c r="AJ16" s="10">
        <v>304</v>
      </c>
      <c r="AK16" s="17">
        <v>825</v>
      </c>
      <c r="AL16" s="9">
        <v>825</v>
      </c>
      <c r="AM16" s="8">
        <f t="shared" ref="AM16:AM20" si="9">AK16-AL16</f>
        <v>0</v>
      </c>
      <c r="AO16" s="5"/>
      <c r="AP16" s="5"/>
      <c r="AQ16" s="5"/>
      <c r="AR16" s="5"/>
      <c r="AS16" s="7"/>
      <c r="AT16" s="5"/>
      <c r="AU16" s="8"/>
      <c r="AV16" s="9"/>
      <c r="AW16" s="8">
        <f t="shared" ref="AW16:AW20" si="10">AU16-AV16</f>
        <v>0</v>
      </c>
      <c r="AY16" s="5"/>
      <c r="AZ16" s="5"/>
      <c r="BA16" s="5"/>
      <c r="BB16" s="5"/>
      <c r="BC16" s="7"/>
      <c r="BD16" s="5"/>
      <c r="BE16" s="8"/>
      <c r="BF16" s="9"/>
      <c r="BG16" s="8">
        <f t="shared" ref="BG16:BG20" si="11">BE16-BF16</f>
        <v>0</v>
      </c>
    </row>
    <row r="17" spans="1:59" s="4" customFormat="1" ht="17.100000000000001" customHeight="1" x14ac:dyDescent="0.3">
      <c r="A17" s="11">
        <v>250053</v>
      </c>
      <c r="B17" s="11">
        <v>304</v>
      </c>
      <c r="C17" s="12">
        <v>0.7</v>
      </c>
      <c r="D17" s="12" t="s">
        <v>25</v>
      </c>
      <c r="E17" s="13" t="s">
        <v>199</v>
      </c>
      <c r="F17" s="11">
        <v>304</v>
      </c>
      <c r="G17" s="14">
        <v>720</v>
      </c>
      <c r="H17" s="9">
        <v>720</v>
      </c>
      <c r="I17" s="8">
        <f t="shared" si="6"/>
        <v>0</v>
      </c>
      <c r="K17" s="10">
        <v>250035</v>
      </c>
      <c r="L17" s="10">
        <v>304</v>
      </c>
      <c r="M17" s="15">
        <v>0.7</v>
      </c>
      <c r="N17" s="15" t="s">
        <v>41</v>
      </c>
      <c r="O17" s="16" t="s">
        <v>224</v>
      </c>
      <c r="P17" s="10">
        <v>304</v>
      </c>
      <c r="Q17" s="17">
        <v>470</v>
      </c>
      <c r="R17" s="9">
        <v>485</v>
      </c>
      <c r="S17" s="8">
        <f t="shared" si="7"/>
        <v>-15</v>
      </c>
      <c r="U17" s="10">
        <v>250049</v>
      </c>
      <c r="V17" s="10">
        <v>304</v>
      </c>
      <c r="W17" s="15">
        <v>0.7</v>
      </c>
      <c r="X17" s="15" t="s">
        <v>25</v>
      </c>
      <c r="Y17" s="16" t="s">
        <v>186</v>
      </c>
      <c r="Z17" s="10">
        <v>304</v>
      </c>
      <c r="AA17" s="17">
        <v>790</v>
      </c>
      <c r="AB17" s="9">
        <v>800</v>
      </c>
      <c r="AC17" s="8">
        <f t="shared" si="8"/>
        <v>-10</v>
      </c>
      <c r="AE17" s="5"/>
      <c r="AF17" s="5"/>
      <c r="AG17" s="5"/>
      <c r="AH17" s="5"/>
      <c r="AI17" s="7"/>
      <c r="AJ17" s="5"/>
      <c r="AK17" s="8"/>
      <c r="AL17" s="9"/>
      <c r="AM17" s="8">
        <f t="shared" si="9"/>
        <v>0</v>
      </c>
      <c r="AO17" s="5"/>
      <c r="AP17" s="5"/>
      <c r="AQ17" s="5"/>
      <c r="AR17" s="5"/>
      <c r="AS17" s="7"/>
      <c r="AT17" s="5"/>
      <c r="AU17" s="8"/>
      <c r="AV17" s="9"/>
      <c r="AW17" s="8">
        <f t="shared" si="10"/>
        <v>0</v>
      </c>
      <c r="AY17" s="5"/>
      <c r="AZ17" s="5"/>
      <c r="BA17" s="5"/>
      <c r="BB17" s="5"/>
      <c r="BC17" s="7"/>
      <c r="BD17" s="5"/>
      <c r="BE17" s="8"/>
      <c r="BF17" s="9"/>
      <c r="BG17" s="8">
        <f t="shared" si="11"/>
        <v>0</v>
      </c>
    </row>
    <row r="18" spans="1:59" s="4" customFormat="1" ht="17.100000000000001" customHeight="1" x14ac:dyDescent="0.3">
      <c r="A18" s="11"/>
      <c r="B18" s="11"/>
      <c r="C18" s="12"/>
      <c r="D18" s="12"/>
      <c r="E18" s="13"/>
      <c r="F18" s="11"/>
      <c r="G18" s="14"/>
      <c r="H18" s="9"/>
      <c r="I18" s="8">
        <f t="shared" si="6"/>
        <v>0</v>
      </c>
      <c r="K18" s="11"/>
      <c r="L18" s="11"/>
      <c r="M18" s="12"/>
      <c r="N18" s="12"/>
      <c r="O18" s="13"/>
      <c r="P18" s="11"/>
      <c r="Q18" s="14"/>
      <c r="R18" s="9"/>
      <c r="S18" s="8">
        <f t="shared" si="7"/>
        <v>0</v>
      </c>
      <c r="U18" s="10">
        <v>250054</v>
      </c>
      <c r="V18" s="10">
        <v>304</v>
      </c>
      <c r="W18" s="15">
        <v>0.7</v>
      </c>
      <c r="X18" s="15" t="s">
        <v>25</v>
      </c>
      <c r="Y18" s="16" t="s">
        <v>211</v>
      </c>
      <c r="Z18" s="10">
        <v>304</v>
      </c>
      <c r="AA18" s="17">
        <v>825</v>
      </c>
      <c r="AB18" s="9">
        <v>825</v>
      </c>
      <c r="AC18" s="8">
        <f t="shared" si="8"/>
        <v>0</v>
      </c>
      <c r="AE18" s="5"/>
      <c r="AF18" s="5"/>
      <c r="AG18" s="5"/>
      <c r="AH18" s="5"/>
      <c r="AI18" s="7"/>
      <c r="AJ18" s="5"/>
      <c r="AK18" s="8"/>
      <c r="AL18" s="9"/>
      <c r="AM18" s="8">
        <f t="shared" si="9"/>
        <v>0</v>
      </c>
      <c r="AO18" s="5"/>
      <c r="AP18" s="5"/>
      <c r="AQ18" s="5"/>
      <c r="AR18" s="5"/>
      <c r="AS18" s="7"/>
      <c r="AT18" s="5"/>
      <c r="AU18" s="8"/>
      <c r="AV18" s="9"/>
      <c r="AW18" s="8">
        <f t="shared" si="10"/>
        <v>0</v>
      </c>
      <c r="AY18" s="5"/>
      <c r="AZ18" s="5"/>
      <c r="BA18" s="5"/>
      <c r="BB18" s="5"/>
      <c r="BC18" s="7"/>
      <c r="BD18" s="5"/>
      <c r="BE18" s="8"/>
      <c r="BF18" s="9"/>
      <c r="BG18" s="8">
        <f t="shared" si="11"/>
        <v>0</v>
      </c>
    </row>
    <row r="19" spans="1:59" s="4" customFormat="1" ht="17.100000000000001" customHeight="1" x14ac:dyDescent="0.3">
      <c r="A19" s="11"/>
      <c r="B19" s="11"/>
      <c r="C19" s="12"/>
      <c r="D19" s="12"/>
      <c r="E19" s="13"/>
      <c r="F19" s="11"/>
      <c r="G19" s="14"/>
      <c r="H19" s="9"/>
      <c r="I19" s="8">
        <f t="shared" si="6"/>
        <v>0</v>
      </c>
      <c r="K19" s="11"/>
      <c r="L19" s="11"/>
      <c r="M19" s="12"/>
      <c r="N19" s="12"/>
      <c r="O19" s="13"/>
      <c r="P19" s="11"/>
      <c r="Q19" s="14"/>
      <c r="R19" s="9"/>
      <c r="S19" s="8">
        <f t="shared" si="7"/>
        <v>0</v>
      </c>
      <c r="U19" s="5"/>
      <c r="V19" s="5"/>
      <c r="W19" s="5"/>
      <c r="X19" s="5"/>
      <c r="Y19" s="7"/>
      <c r="Z19" s="5"/>
      <c r="AA19" s="8"/>
      <c r="AB19" s="9"/>
      <c r="AC19" s="8">
        <f t="shared" si="8"/>
        <v>0</v>
      </c>
      <c r="AE19" s="5"/>
      <c r="AF19" s="5"/>
      <c r="AG19" s="5"/>
      <c r="AH19" s="5"/>
      <c r="AI19" s="7"/>
      <c r="AJ19" s="5"/>
      <c r="AK19" s="8"/>
      <c r="AL19" s="9"/>
      <c r="AM19" s="8">
        <f t="shared" si="9"/>
        <v>0</v>
      </c>
      <c r="AO19" s="5"/>
      <c r="AP19" s="5"/>
      <c r="AQ19" s="5"/>
      <c r="AR19" s="5"/>
      <c r="AS19" s="7"/>
      <c r="AT19" s="5"/>
      <c r="AU19" s="8"/>
      <c r="AV19" s="9"/>
      <c r="AW19" s="8">
        <f t="shared" si="10"/>
        <v>0</v>
      </c>
      <c r="AY19" s="5"/>
      <c r="AZ19" s="5"/>
      <c r="BA19" s="5"/>
      <c r="BB19" s="5"/>
      <c r="BC19" s="7"/>
      <c r="BD19" s="5"/>
      <c r="BE19" s="8"/>
      <c r="BF19" s="9"/>
      <c r="BG19" s="8">
        <f t="shared" si="11"/>
        <v>0</v>
      </c>
    </row>
    <row r="20" spans="1:59" s="4" customFormat="1" ht="17.100000000000001" customHeight="1" x14ac:dyDescent="0.3">
      <c r="A20" s="11"/>
      <c r="B20" s="11"/>
      <c r="C20" s="12"/>
      <c r="D20" s="12"/>
      <c r="E20" s="13"/>
      <c r="F20" s="11"/>
      <c r="G20" s="14"/>
      <c r="H20" s="9"/>
      <c r="I20" s="8">
        <f t="shared" si="6"/>
        <v>0</v>
      </c>
      <c r="K20" s="5"/>
      <c r="L20" s="5"/>
      <c r="M20" s="5"/>
      <c r="N20" s="5"/>
      <c r="O20" s="7"/>
      <c r="P20" s="5"/>
      <c r="Q20" s="8"/>
      <c r="R20" s="9"/>
      <c r="S20" s="8">
        <f t="shared" si="7"/>
        <v>0</v>
      </c>
      <c r="U20" s="5"/>
      <c r="V20" s="5"/>
      <c r="W20" s="5"/>
      <c r="X20" s="5"/>
      <c r="Y20" s="7"/>
      <c r="Z20" s="5"/>
      <c r="AA20" s="8"/>
      <c r="AB20" s="9"/>
      <c r="AC20" s="8">
        <f t="shared" si="8"/>
        <v>0</v>
      </c>
      <c r="AE20" s="5"/>
      <c r="AF20" s="5"/>
      <c r="AG20" s="5"/>
      <c r="AH20" s="5"/>
      <c r="AI20" s="21" t="s">
        <v>276</v>
      </c>
      <c r="AJ20" s="5"/>
      <c r="AK20" s="8"/>
      <c r="AL20" s="9"/>
      <c r="AM20" s="8">
        <f t="shared" si="9"/>
        <v>0</v>
      </c>
      <c r="AO20" s="5"/>
      <c r="AP20" s="5"/>
      <c r="AQ20" s="5"/>
      <c r="AR20" s="5"/>
      <c r="AS20" s="7"/>
      <c r="AT20" s="5"/>
      <c r="AU20" s="8"/>
      <c r="AV20" s="9"/>
      <c r="AW20" s="8">
        <f t="shared" si="10"/>
        <v>0</v>
      </c>
      <c r="AY20" s="5"/>
      <c r="AZ20" s="5"/>
      <c r="BA20" s="5"/>
      <c r="BB20" s="5"/>
      <c r="BC20" s="7"/>
      <c r="BD20" s="5"/>
      <c r="BE20" s="8"/>
      <c r="BF20" s="9"/>
      <c r="BG20" s="8">
        <f t="shared" si="11"/>
        <v>0</v>
      </c>
    </row>
    <row r="21" spans="1:59" s="4" customFormat="1" ht="17.100000000000001" customHeight="1" x14ac:dyDescent="0.3">
      <c r="A21" s="5"/>
      <c r="B21" s="5"/>
      <c r="C21" s="5"/>
      <c r="D21" s="5"/>
      <c r="E21" s="7" t="s">
        <v>228</v>
      </c>
      <c r="F21" s="5"/>
      <c r="G21" s="8">
        <f>SUM(G15:G20)</f>
        <v>2410</v>
      </c>
      <c r="H21" s="9">
        <f>SUM(H15:H20)</f>
        <v>2420</v>
      </c>
      <c r="I21" s="8">
        <f>SUM(I15:I20)</f>
        <v>-10</v>
      </c>
      <c r="K21" s="5"/>
      <c r="L21" s="5"/>
      <c r="M21" s="5"/>
      <c r="N21" s="5"/>
      <c r="O21" s="7" t="s">
        <v>228</v>
      </c>
      <c r="P21" s="5"/>
      <c r="Q21" s="8">
        <f>SUM(Q15:Q20)</f>
        <v>2120</v>
      </c>
      <c r="R21" s="9">
        <f>SUM(R15:R20)</f>
        <v>2227</v>
      </c>
      <c r="S21" s="8">
        <f>SUM(S15:S20)</f>
        <v>-107</v>
      </c>
      <c r="U21" s="5"/>
      <c r="V21" s="5"/>
      <c r="W21" s="5"/>
      <c r="X21" s="5"/>
      <c r="Y21" s="7" t="s">
        <v>228</v>
      </c>
      <c r="Z21" s="5"/>
      <c r="AA21" s="8">
        <f>SUM(AA15:AA20)</f>
        <v>3235</v>
      </c>
      <c r="AB21" s="9">
        <f>SUM(AB15:AB20)</f>
        <v>3250</v>
      </c>
      <c r="AC21" s="8">
        <f>SUM(AC15:AC20)</f>
        <v>-15</v>
      </c>
      <c r="AE21" s="5"/>
      <c r="AF21" s="5"/>
      <c r="AG21" s="5"/>
      <c r="AH21" s="5"/>
      <c r="AI21" s="7" t="s">
        <v>228</v>
      </c>
      <c r="AJ21" s="5"/>
      <c r="AK21" s="8">
        <f>SUM(AK15:AK20)</f>
        <v>1725</v>
      </c>
      <c r="AL21" s="9">
        <f>SUM(AL15:AL20)</f>
        <v>1725</v>
      </c>
      <c r="AM21" s="8">
        <f>SUM(AM15:AM20)</f>
        <v>0</v>
      </c>
      <c r="AO21" s="5"/>
      <c r="AP21" s="5"/>
      <c r="AQ21" s="5"/>
      <c r="AR21" s="5"/>
      <c r="AS21" s="7"/>
      <c r="AT21" s="5"/>
      <c r="AU21" s="8">
        <f>SUM(AU15:AU20)</f>
        <v>0</v>
      </c>
      <c r="AV21" s="9">
        <f>SUM(AV15:AV20)</f>
        <v>0</v>
      </c>
      <c r="AW21" s="8">
        <f>SUM(AW15:AW20)</f>
        <v>0</v>
      </c>
      <c r="AY21" s="5"/>
      <c r="AZ21" s="5"/>
      <c r="BA21" s="5"/>
      <c r="BB21" s="5"/>
      <c r="BC21" s="7"/>
      <c r="BD21" s="5"/>
      <c r="BE21" s="8">
        <f>SUM(BE15:BE20)</f>
        <v>0</v>
      </c>
      <c r="BF21" s="9">
        <f>SUM(BF15:BF20)</f>
        <v>0</v>
      </c>
      <c r="BG21" s="8">
        <f>SUM(BG15:BG20)</f>
        <v>0</v>
      </c>
    </row>
    <row r="23" spans="1:59" ht="13.05" customHeight="1" x14ac:dyDescent="0.3">
      <c r="A23" s="91" t="s">
        <v>0</v>
      </c>
      <c r="B23" s="91"/>
      <c r="C23" s="91"/>
      <c r="D23" s="91"/>
      <c r="E23" s="91"/>
      <c r="F23" s="91"/>
      <c r="G23" s="91"/>
      <c r="H23" s="91"/>
      <c r="I23" s="91"/>
      <c r="K23" s="91" t="s">
        <v>1</v>
      </c>
      <c r="L23" s="91"/>
      <c r="M23" s="91"/>
      <c r="N23" s="91"/>
      <c r="O23" s="91"/>
      <c r="P23" s="91"/>
      <c r="Q23" s="91"/>
      <c r="R23" s="91"/>
      <c r="S23" s="91"/>
      <c r="U23" s="91" t="s">
        <v>2</v>
      </c>
      <c r="V23" s="91"/>
      <c r="W23" s="91"/>
      <c r="X23" s="91"/>
      <c r="Y23" s="91"/>
      <c r="Z23" s="91"/>
      <c r="AA23" s="91"/>
      <c r="AB23" s="91"/>
      <c r="AC23" s="91"/>
      <c r="AE23" s="91" t="s">
        <v>3</v>
      </c>
      <c r="AF23" s="91"/>
      <c r="AG23" s="91"/>
      <c r="AH23" s="91"/>
      <c r="AI23" s="91"/>
      <c r="AJ23" s="91"/>
      <c r="AK23" s="91"/>
      <c r="AL23" s="91"/>
      <c r="AM23" s="91"/>
      <c r="AO23" s="91" t="s">
        <v>4</v>
      </c>
      <c r="AP23" s="91"/>
      <c r="AQ23" s="91"/>
      <c r="AR23" s="91"/>
      <c r="AS23" s="91"/>
      <c r="AT23" s="91"/>
      <c r="AU23" s="91"/>
      <c r="AV23" s="91"/>
      <c r="AW23" s="91"/>
      <c r="AY23" s="91" t="s">
        <v>5</v>
      </c>
      <c r="AZ23" s="91"/>
      <c r="BA23" s="91"/>
      <c r="BB23" s="91"/>
      <c r="BC23" s="91"/>
      <c r="BD23" s="91"/>
      <c r="BE23" s="91"/>
      <c r="BF23" s="91"/>
      <c r="BG23" s="91"/>
    </row>
    <row r="24" spans="1:59" ht="13.05" customHeight="1" x14ac:dyDescent="0.3">
      <c r="A24" s="91" t="s">
        <v>19</v>
      </c>
      <c r="B24" s="91"/>
      <c r="C24" s="91"/>
      <c r="D24" s="91"/>
      <c r="E24" s="91"/>
      <c r="F24" s="91"/>
      <c r="G24" s="91"/>
      <c r="H24" s="91"/>
      <c r="I24" s="91"/>
      <c r="K24" s="91" t="s">
        <v>19</v>
      </c>
      <c r="L24" s="91"/>
      <c r="M24" s="91"/>
      <c r="N24" s="91"/>
      <c r="O24" s="91"/>
      <c r="P24" s="91"/>
      <c r="Q24" s="91"/>
      <c r="R24" s="91"/>
      <c r="S24" s="91"/>
      <c r="U24" s="91" t="s">
        <v>19</v>
      </c>
      <c r="V24" s="91"/>
      <c r="W24" s="91"/>
      <c r="X24" s="91"/>
      <c r="Y24" s="91"/>
      <c r="Z24" s="91"/>
      <c r="AA24" s="91"/>
      <c r="AB24" s="91"/>
      <c r="AC24" s="91"/>
      <c r="AE24" s="91" t="s">
        <v>19</v>
      </c>
      <c r="AF24" s="91"/>
      <c r="AG24" s="91"/>
      <c r="AH24" s="91"/>
      <c r="AI24" s="91"/>
      <c r="AJ24" s="91"/>
      <c r="AK24" s="91"/>
      <c r="AL24" s="91"/>
      <c r="AM24" s="91"/>
      <c r="AO24" s="91" t="s">
        <v>19</v>
      </c>
      <c r="AP24" s="91"/>
      <c r="AQ24" s="91"/>
      <c r="AR24" s="91"/>
      <c r="AS24" s="91"/>
      <c r="AT24" s="91"/>
      <c r="AU24" s="91"/>
      <c r="AV24" s="91"/>
      <c r="AW24" s="91"/>
      <c r="AY24" s="91" t="s">
        <v>19</v>
      </c>
      <c r="AZ24" s="91"/>
      <c r="BA24" s="91"/>
      <c r="BB24" s="91"/>
      <c r="BC24" s="91"/>
      <c r="BD24" s="91"/>
      <c r="BE24" s="91"/>
      <c r="BF24" s="91"/>
      <c r="BG24" s="91"/>
    </row>
    <row r="25" spans="1:59" s="4" customFormat="1" ht="20.100000000000001" customHeight="1" x14ac:dyDescent="0.3">
      <c r="A25" s="2" t="s">
        <v>7</v>
      </c>
      <c r="B25" s="2" t="s">
        <v>8</v>
      </c>
      <c r="C25" s="3" t="s">
        <v>9</v>
      </c>
      <c r="D25" s="3" t="s">
        <v>24</v>
      </c>
      <c r="E25" s="2" t="s">
        <v>10</v>
      </c>
      <c r="F25" s="2" t="s">
        <v>11</v>
      </c>
      <c r="G25" s="2" t="s">
        <v>12</v>
      </c>
      <c r="H25" s="2" t="s">
        <v>13</v>
      </c>
      <c r="I25" s="2" t="s">
        <v>14</v>
      </c>
      <c r="K25" s="2" t="s">
        <v>7</v>
      </c>
      <c r="L25" s="2" t="s">
        <v>8</v>
      </c>
      <c r="M25" s="3" t="s">
        <v>9</v>
      </c>
      <c r="N25" s="3" t="s">
        <v>24</v>
      </c>
      <c r="O25" s="2" t="s">
        <v>10</v>
      </c>
      <c r="P25" s="2" t="s">
        <v>11</v>
      </c>
      <c r="Q25" s="2" t="s">
        <v>12</v>
      </c>
      <c r="R25" s="2" t="s">
        <v>13</v>
      </c>
      <c r="S25" s="2" t="s">
        <v>14</v>
      </c>
      <c r="U25" s="2" t="s">
        <v>7</v>
      </c>
      <c r="V25" s="2" t="s">
        <v>8</v>
      </c>
      <c r="W25" s="3" t="s">
        <v>9</v>
      </c>
      <c r="X25" s="3" t="s">
        <v>24</v>
      </c>
      <c r="Y25" s="2" t="s">
        <v>10</v>
      </c>
      <c r="Z25" s="2" t="s">
        <v>11</v>
      </c>
      <c r="AA25" s="2" t="s">
        <v>12</v>
      </c>
      <c r="AB25" s="2" t="s">
        <v>13</v>
      </c>
      <c r="AC25" s="2" t="s">
        <v>14</v>
      </c>
      <c r="AE25" s="2" t="s">
        <v>7</v>
      </c>
      <c r="AF25" s="2" t="s">
        <v>8</v>
      </c>
      <c r="AG25" s="3" t="s">
        <v>9</v>
      </c>
      <c r="AH25" s="3" t="s">
        <v>24</v>
      </c>
      <c r="AI25" s="2" t="s">
        <v>10</v>
      </c>
      <c r="AJ25" s="2" t="s">
        <v>11</v>
      </c>
      <c r="AK25" s="2" t="s">
        <v>12</v>
      </c>
      <c r="AL25" s="2" t="s">
        <v>13</v>
      </c>
      <c r="AM25" s="2" t="s">
        <v>14</v>
      </c>
      <c r="AO25" s="2" t="s">
        <v>7</v>
      </c>
      <c r="AP25" s="2" t="s">
        <v>8</v>
      </c>
      <c r="AQ25" s="3" t="s">
        <v>9</v>
      </c>
      <c r="AR25" s="3" t="s">
        <v>24</v>
      </c>
      <c r="AS25" s="2" t="s">
        <v>10</v>
      </c>
      <c r="AT25" s="2" t="s">
        <v>11</v>
      </c>
      <c r="AU25" s="2" t="s">
        <v>12</v>
      </c>
      <c r="AV25" s="2" t="s">
        <v>13</v>
      </c>
      <c r="AW25" s="2" t="s">
        <v>14</v>
      </c>
      <c r="AY25" s="2" t="s">
        <v>7</v>
      </c>
      <c r="AZ25" s="2" t="s">
        <v>8</v>
      </c>
      <c r="BA25" s="3" t="s">
        <v>9</v>
      </c>
      <c r="BB25" s="3" t="s">
        <v>24</v>
      </c>
      <c r="BC25" s="2" t="s">
        <v>10</v>
      </c>
      <c r="BD25" s="2" t="s">
        <v>11</v>
      </c>
      <c r="BE25" s="2" t="s">
        <v>12</v>
      </c>
      <c r="BF25" s="2" t="s">
        <v>13</v>
      </c>
      <c r="BG25" s="2" t="s">
        <v>14</v>
      </c>
    </row>
    <row r="26" spans="1:59" s="4" customFormat="1" ht="17.100000000000001" customHeight="1" x14ac:dyDescent="0.3">
      <c r="A26" s="5">
        <v>250049</v>
      </c>
      <c r="B26" s="5">
        <v>304</v>
      </c>
      <c r="C26" s="6">
        <v>0.7</v>
      </c>
      <c r="D26" s="6" t="s">
        <v>25</v>
      </c>
      <c r="E26" s="7" t="s">
        <v>187</v>
      </c>
      <c r="F26" s="5">
        <v>304</v>
      </c>
      <c r="G26" s="8">
        <v>790</v>
      </c>
      <c r="H26" s="9">
        <v>790</v>
      </c>
      <c r="I26" s="8">
        <f>G26-H26</f>
        <v>0</v>
      </c>
      <c r="K26" s="5">
        <v>250050</v>
      </c>
      <c r="L26" s="5">
        <v>304</v>
      </c>
      <c r="M26" s="6">
        <v>0.6</v>
      </c>
      <c r="N26" s="6" t="s">
        <v>41</v>
      </c>
      <c r="O26" s="7" t="s">
        <v>195</v>
      </c>
      <c r="P26" s="5">
        <v>430</v>
      </c>
      <c r="Q26" s="8">
        <v>900</v>
      </c>
      <c r="R26" s="9"/>
      <c r="S26" s="8">
        <f>Q26-R26</f>
        <v>900</v>
      </c>
      <c r="U26" s="5">
        <v>250053</v>
      </c>
      <c r="V26" s="5">
        <v>304</v>
      </c>
      <c r="W26" s="6">
        <v>0.7</v>
      </c>
      <c r="X26" s="6" t="s">
        <v>25</v>
      </c>
      <c r="Y26" s="7" t="s">
        <v>202</v>
      </c>
      <c r="Z26" s="5">
        <v>304</v>
      </c>
      <c r="AA26" s="8">
        <v>720</v>
      </c>
      <c r="AB26" s="9"/>
      <c r="AC26" s="8">
        <f>AA26-AB26</f>
        <v>720</v>
      </c>
      <c r="AE26" s="5">
        <v>250054</v>
      </c>
      <c r="AF26" s="5">
        <v>304</v>
      </c>
      <c r="AG26" s="6">
        <v>0.7</v>
      </c>
      <c r="AH26" s="6" t="s">
        <v>25</v>
      </c>
      <c r="AI26" s="7" t="s">
        <v>214</v>
      </c>
      <c r="AJ26" s="5">
        <v>304</v>
      </c>
      <c r="AK26" s="8">
        <v>825</v>
      </c>
      <c r="AL26" s="9">
        <v>825</v>
      </c>
      <c r="AM26" s="8">
        <f>AK26-AL26</f>
        <v>0</v>
      </c>
      <c r="AO26" s="5">
        <v>250067</v>
      </c>
      <c r="AP26" s="5">
        <v>430</v>
      </c>
      <c r="AQ26" s="6">
        <v>0.5</v>
      </c>
      <c r="AR26" s="6"/>
      <c r="AS26" s="7" t="s">
        <v>101</v>
      </c>
      <c r="AT26" s="5"/>
      <c r="AU26" s="8">
        <v>1000</v>
      </c>
      <c r="AV26" s="9">
        <v>1000</v>
      </c>
      <c r="AW26" s="8">
        <f>AU26-AV26</f>
        <v>0</v>
      </c>
      <c r="AY26" s="5">
        <v>250063</v>
      </c>
      <c r="AZ26" s="5">
        <v>430</v>
      </c>
      <c r="BA26" s="6">
        <v>0.5</v>
      </c>
      <c r="BB26" s="6"/>
      <c r="BC26" s="7" t="s">
        <v>104</v>
      </c>
      <c r="BD26" s="5"/>
      <c r="BE26" s="8">
        <v>1000</v>
      </c>
      <c r="BF26" s="9">
        <v>1000</v>
      </c>
      <c r="BG26" s="8">
        <f>BE26-BF26</f>
        <v>0</v>
      </c>
    </row>
    <row r="27" spans="1:59" s="4" customFormat="1" ht="17.100000000000001" customHeight="1" x14ac:dyDescent="0.3">
      <c r="A27" s="5">
        <v>250049</v>
      </c>
      <c r="B27" s="5">
        <v>304</v>
      </c>
      <c r="C27" s="6">
        <v>0.7</v>
      </c>
      <c r="D27" s="6" t="s">
        <v>25</v>
      </c>
      <c r="E27" s="7" t="s">
        <v>188</v>
      </c>
      <c r="F27" s="5">
        <v>304</v>
      </c>
      <c r="G27" s="8">
        <v>790</v>
      </c>
      <c r="H27" s="9">
        <v>790</v>
      </c>
      <c r="I27" s="8">
        <f t="shared" ref="I27:I31" si="12">G27-H27</f>
        <v>0</v>
      </c>
      <c r="K27" s="5">
        <v>250051</v>
      </c>
      <c r="L27" s="5">
        <v>304</v>
      </c>
      <c r="M27" s="6">
        <v>0.7</v>
      </c>
      <c r="N27" s="6" t="s">
        <v>25</v>
      </c>
      <c r="O27" s="7" t="s">
        <v>202</v>
      </c>
      <c r="P27" s="5">
        <v>304</v>
      </c>
      <c r="Q27" s="8">
        <v>900</v>
      </c>
      <c r="R27" s="9"/>
      <c r="S27" s="8">
        <f t="shared" ref="S27:S31" si="13">Q27-R27</f>
        <v>900</v>
      </c>
      <c r="U27" s="5">
        <v>250053</v>
      </c>
      <c r="V27" s="5">
        <v>304</v>
      </c>
      <c r="W27" s="6">
        <v>0.7</v>
      </c>
      <c r="X27" s="6" t="s">
        <v>25</v>
      </c>
      <c r="Y27" s="7" t="s">
        <v>203</v>
      </c>
      <c r="Z27" s="5">
        <v>304</v>
      </c>
      <c r="AA27" s="8">
        <v>720</v>
      </c>
      <c r="AB27" s="9"/>
      <c r="AC27" s="8">
        <f t="shared" ref="AC27:AC31" si="14">AA27-AB27</f>
        <v>720</v>
      </c>
      <c r="AE27" s="5">
        <v>250054</v>
      </c>
      <c r="AF27" s="5">
        <v>304</v>
      </c>
      <c r="AG27" s="6">
        <v>0.7</v>
      </c>
      <c r="AH27" s="6" t="s">
        <v>25</v>
      </c>
      <c r="AI27" s="7" t="s">
        <v>215</v>
      </c>
      <c r="AJ27" s="5">
        <v>304</v>
      </c>
      <c r="AK27" s="8">
        <v>825</v>
      </c>
      <c r="AL27" s="9">
        <v>825</v>
      </c>
      <c r="AM27" s="8">
        <f t="shared" ref="AM27:AM31" si="15">AK27-AL27</f>
        <v>0</v>
      </c>
      <c r="AO27" s="5">
        <v>250067</v>
      </c>
      <c r="AP27" s="5">
        <v>430</v>
      </c>
      <c r="AQ27" s="6">
        <v>0.5</v>
      </c>
      <c r="AR27" s="6"/>
      <c r="AS27" s="7" t="s">
        <v>102</v>
      </c>
      <c r="AT27" s="5"/>
      <c r="AU27" s="8">
        <v>1000</v>
      </c>
      <c r="AV27" s="9">
        <v>1000</v>
      </c>
      <c r="AW27" s="8">
        <f t="shared" ref="AW27:AW31" si="16">AU27-AV27</f>
        <v>0</v>
      </c>
      <c r="AY27" s="5">
        <v>250063</v>
      </c>
      <c r="AZ27" s="5">
        <v>430</v>
      </c>
      <c r="BA27" s="6">
        <v>0.5</v>
      </c>
      <c r="BB27" s="6"/>
      <c r="BC27" s="7" t="s">
        <v>101</v>
      </c>
      <c r="BD27" s="5"/>
      <c r="BE27" s="8">
        <v>1000</v>
      </c>
      <c r="BF27" s="9">
        <v>1000</v>
      </c>
      <c r="BG27" s="8">
        <f t="shared" ref="BG27:BG31" si="17">BE27-BF27</f>
        <v>0</v>
      </c>
    </row>
    <row r="28" spans="1:59" s="4" customFormat="1" ht="17.100000000000001" customHeight="1" x14ac:dyDescent="0.3">
      <c r="A28" s="5">
        <v>250049</v>
      </c>
      <c r="B28" s="5">
        <v>304</v>
      </c>
      <c r="C28" s="6">
        <v>0.7</v>
      </c>
      <c r="D28" s="6" t="s">
        <v>25</v>
      </c>
      <c r="E28" s="7" t="s">
        <v>189</v>
      </c>
      <c r="F28" s="5">
        <v>304</v>
      </c>
      <c r="G28" s="8">
        <v>790</v>
      </c>
      <c r="H28" s="9">
        <v>790</v>
      </c>
      <c r="I28" s="8">
        <f t="shared" si="12"/>
        <v>0</v>
      </c>
      <c r="K28" s="5">
        <v>250051</v>
      </c>
      <c r="L28" s="5">
        <v>304</v>
      </c>
      <c r="M28" s="6">
        <v>0.7</v>
      </c>
      <c r="N28" s="6" t="s">
        <v>25</v>
      </c>
      <c r="O28" s="7" t="s">
        <v>203</v>
      </c>
      <c r="P28" s="5">
        <v>304</v>
      </c>
      <c r="Q28" s="8">
        <v>900</v>
      </c>
      <c r="R28" s="9"/>
      <c r="S28" s="8">
        <f t="shared" si="13"/>
        <v>900</v>
      </c>
      <c r="U28" s="5">
        <v>250053</v>
      </c>
      <c r="V28" s="5">
        <v>304</v>
      </c>
      <c r="W28" s="6">
        <v>0.7</v>
      </c>
      <c r="X28" s="6" t="s">
        <v>25</v>
      </c>
      <c r="Y28" s="7" t="s">
        <v>204</v>
      </c>
      <c r="Z28" s="5">
        <v>304</v>
      </c>
      <c r="AA28" s="8">
        <v>720</v>
      </c>
      <c r="AB28" s="9"/>
      <c r="AC28" s="8">
        <f t="shared" si="14"/>
        <v>720</v>
      </c>
      <c r="AE28" s="5">
        <v>250054</v>
      </c>
      <c r="AF28" s="5">
        <v>304</v>
      </c>
      <c r="AG28" s="6">
        <v>0.7</v>
      </c>
      <c r="AH28" s="6" t="s">
        <v>25</v>
      </c>
      <c r="AI28" s="7" t="s">
        <v>216</v>
      </c>
      <c r="AJ28" s="5">
        <v>304</v>
      </c>
      <c r="AK28" s="8">
        <v>825</v>
      </c>
      <c r="AL28" s="9">
        <v>825</v>
      </c>
      <c r="AM28" s="8">
        <f t="shared" si="15"/>
        <v>0</v>
      </c>
      <c r="AO28" s="5">
        <v>250067</v>
      </c>
      <c r="AP28" s="5">
        <v>430</v>
      </c>
      <c r="AQ28" s="6">
        <v>0.5</v>
      </c>
      <c r="AR28" s="6"/>
      <c r="AS28" s="7" t="s">
        <v>103</v>
      </c>
      <c r="AT28" s="5"/>
      <c r="AU28" s="8">
        <v>1000</v>
      </c>
      <c r="AV28" s="9">
        <v>1000</v>
      </c>
      <c r="AW28" s="8">
        <f t="shared" si="16"/>
        <v>0</v>
      </c>
      <c r="AY28" s="5">
        <v>250063</v>
      </c>
      <c r="AZ28" s="5">
        <v>430</v>
      </c>
      <c r="BA28" s="6">
        <v>0.5</v>
      </c>
      <c r="BB28" s="6"/>
      <c r="BC28" s="7" t="s">
        <v>102</v>
      </c>
      <c r="BD28" s="5"/>
      <c r="BE28" s="8">
        <v>1250</v>
      </c>
      <c r="BF28" s="9">
        <v>1000</v>
      </c>
      <c r="BG28" s="8">
        <f t="shared" si="17"/>
        <v>250</v>
      </c>
    </row>
    <row r="29" spans="1:59" s="4" customFormat="1" ht="17.100000000000001" customHeight="1" x14ac:dyDescent="0.3">
      <c r="A29" s="5">
        <v>250049</v>
      </c>
      <c r="B29" s="5">
        <v>304</v>
      </c>
      <c r="C29" s="6">
        <v>0.7</v>
      </c>
      <c r="D29" s="6" t="s">
        <v>25</v>
      </c>
      <c r="E29" s="7" t="s">
        <v>190</v>
      </c>
      <c r="F29" s="5">
        <v>304</v>
      </c>
      <c r="G29" s="8">
        <v>790</v>
      </c>
      <c r="H29" s="9">
        <v>790</v>
      </c>
      <c r="I29" s="8">
        <f t="shared" si="12"/>
        <v>0</v>
      </c>
      <c r="K29" s="5">
        <v>250051</v>
      </c>
      <c r="L29" s="5">
        <v>304</v>
      </c>
      <c r="M29" s="6">
        <v>0.7</v>
      </c>
      <c r="N29" s="6" t="s">
        <v>25</v>
      </c>
      <c r="O29" s="7" t="s">
        <v>204</v>
      </c>
      <c r="P29" s="5">
        <v>304</v>
      </c>
      <c r="Q29" s="8">
        <v>900</v>
      </c>
      <c r="R29" s="9"/>
      <c r="S29" s="8">
        <f t="shared" si="13"/>
        <v>900</v>
      </c>
      <c r="U29" s="5">
        <v>250053</v>
      </c>
      <c r="V29" s="5">
        <v>304</v>
      </c>
      <c r="W29" s="6">
        <v>0.7</v>
      </c>
      <c r="X29" s="6" t="s">
        <v>25</v>
      </c>
      <c r="Y29" s="7" t="s">
        <v>205</v>
      </c>
      <c r="Z29" s="5">
        <v>304</v>
      </c>
      <c r="AA29" s="8">
        <v>720</v>
      </c>
      <c r="AB29" s="9"/>
      <c r="AC29" s="8">
        <f t="shared" si="14"/>
        <v>720</v>
      </c>
      <c r="AE29" s="5">
        <v>250054</v>
      </c>
      <c r="AF29" s="5">
        <v>304</v>
      </c>
      <c r="AG29" s="6">
        <v>0.7</v>
      </c>
      <c r="AH29" s="6" t="s">
        <v>25</v>
      </c>
      <c r="AI29" s="7" t="s">
        <v>217</v>
      </c>
      <c r="AJ29" s="5">
        <v>304</v>
      </c>
      <c r="AK29" s="8">
        <v>825</v>
      </c>
      <c r="AL29" s="9">
        <v>825</v>
      </c>
      <c r="AM29" s="8">
        <f t="shared" si="15"/>
        <v>0</v>
      </c>
      <c r="AO29" s="5"/>
      <c r="AP29" s="5"/>
      <c r="AQ29" s="5"/>
      <c r="AR29" s="5"/>
      <c r="AS29" s="7"/>
      <c r="AT29" s="5"/>
      <c r="AU29" s="8"/>
      <c r="AV29" s="9"/>
      <c r="AW29" s="8">
        <f t="shared" si="16"/>
        <v>0</v>
      </c>
      <c r="AY29" s="5">
        <v>250063</v>
      </c>
      <c r="AZ29" s="5">
        <v>430</v>
      </c>
      <c r="BA29" s="6">
        <v>0.5</v>
      </c>
      <c r="BB29" s="6"/>
      <c r="BC29" s="7" t="s">
        <v>103</v>
      </c>
      <c r="BD29" s="5"/>
      <c r="BE29" s="8">
        <v>1250</v>
      </c>
      <c r="BF29" s="9">
        <v>1000</v>
      </c>
      <c r="BG29" s="8">
        <f t="shared" si="17"/>
        <v>250</v>
      </c>
    </row>
    <row r="30" spans="1:59" s="4" customFormat="1" ht="17.100000000000001" customHeight="1" x14ac:dyDescent="0.3">
      <c r="A30" s="5">
        <v>250049</v>
      </c>
      <c r="B30" s="5">
        <v>304</v>
      </c>
      <c r="C30" s="6">
        <v>0.7</v>
      </c>
      <c r="D30" s="6" t="s">
        <v>25</v>
      </c>
      <c r="E30" s="7" t="s">
        <v>191</v>
      </c>
      <c r="F30" s="5">
        <v>304</v>
      </c>
      <c r="G30" s="8">
        <v>790</v>
      </c>
      <c r="H30" s="9">
        <v>790</v>
      </c>
      <c r="I30" s="8">
        <f t="shared" si="12"/>
        <v>0</v>
      </c>
      <c r="K30" s="5">
        <v>250051</v>
      </c>
      <c r="L30" s="5">
        <v>304</v>
      </c>
      <c r="M30" s="6">
        <v>0.7</v>
      </c>
      <c r="N30" s="6" t="s">
        <v>25</v>
      </c>
      <c r="O30" s="7" t="s">
        <v>205</v>
      </c>
      <c r="P30" s="5">
        <v>304</v>
      </c>
      <c r="Q30" s="8">
        <v>900</v>
      </c>
      <c r="R30" s="9"/>
      <c r="S30" s="8">
        <f t="shared" si="13"/>
        <v>900</v>
      </c>
      <c r="U30" s="5">
        <v>250053</v>
      </c>
      <c r="V30" s="5">
        <v>304</v>
      </c>
      <c r="W30" s="6">
        <v>0.7</v>
      </c>
      <c r="X30" s="6" t="s">
        <v>25</v>
      </c>
      <c r="Y30" s="7" t="s">
        <v>206</v>
      </c>
      <c r="Z30" s="5">
        <v>304</v>
      </c>
      <c r="AA30" s="8">
        <v>720</v>
      </c>
      <c r="AB30" s="9"/>
      <c r="AC30" s="8">
        <f t="shared" si="14"/>
        <v>720</v>
      </c>
      <c r="AE30" s="5">
        <v>250054</v>
      </c>
      <c r="AF30" s="5">
        <v>304</v>
      </c>
      <c r="AG30" s="6">
        <v>0.7</v>
      </c>
      <c r="AH30" s="6" t="s">
        <v>25</v>
      </c>
      <c r="AI30" s="7" t="s">
        <v>218</v>
      </c>
      <c r="AJ30" s="5">
        <v>304</v>
      </c>
      <c r="AK30" s="8">
        <v>825</v>
      </c>
      <c r="AL30" s="9"/>
      <c r="AM30" s="8">
        <f t="shared" si="15"/>
        <v>825</v>
      </c>
      <c r="AO30" s="5"/>
      <c r="AP30" s="5"/>
      <c r="AQ30" s="5"/>
      <c r="AR30" s="5"/>
      <c r="AS30" s="7"/>
      <c r="AT30" s="5"/>
      <c r="AU30" s="8"/>
      <c r="AV30" s="9"/>
      <c r="AW30" s="8">
        <f t="shared" si="16"/>
        <v>0</v>
      </c>
      <c r="AY30" s="5">
        <v>250063</v>
      </c>
      <c r="AZ30" s="5">
        <v>430</v>
      </c>
      <c r="BA30" s="6">
        <v>0.5</v>
      </c>
      <c r="BB30" s="6"/>
      <c r="BC30" s="7" t="s">
        <v>105</v>
      </c>
      <c r="BD30" s="5"/>
      <c r="BE30" s="8">
        <v>1250</v>
      </c>
      <c r="BF30" s="9">
        <v>1000</v>
      </c>
      <c r="BG30" s="8">
        <f t="shared" si="17"/>
        <v>250</v>
      </c>
    </row>
    <row r="31" spans="1:59" s="4" customFormat="1" ht="17.100000000000001" customHeight="1" x14ac:dyDescent="0.3">
      <c r="A31" s="5"/>
      <c r="B31" s="5"/>
      <c r="C31" s="5"/>
      <c r="D31" s="5"/>
      <c r="E31" s="7"/>
      <c r="F31" s="5"/>
      <c r="G31" s="8"/>
      <c r="H31" s="9"/>
      <c r="I31" s="8">
        <f t="shared" si="12"/>
        <v>0</v>
      </c>
      <c r="K31" s="5">
        <v>250051</v>
      </c>
      <c r="L31" s="5">
        <v>304</v>
      </c>
      <c r="M31" s="6">
        <v>0.7</v>
      </c>
      <c r="N31" s="6" t="s">
        <v>25</v>
      </c>
      <c r="O31" s="7" t="s">
        <v>207</v>
      </c>
      <c r="P31" s="5">
        <v>304</v>
      </c>
      <c r="Q31" s="8">
        <v>900</v>
      </c>
      <c r="R31" s="9"/>
      <c r="S31" s="8">
        <f t="shared" si="13"/>
        <v>900</v>
      </c>
      <c r="U31" s="5"/>
      <c r="V31" s="5"/>
      <c r="W31" s="5"/>
      <c r="X31" s="5"/>
      <c r="Y31" s="7"/>
      <c r="Z31" s="5"/>
      <c r="AA31" s="8"/>
      <c r="AB31" s="9"/>
      <c r="AC31" s="8">
        <f t="shared" si="14"/>
        <v>0</v>
      </c>
      <c r="AE31" s="5"/>
      <c r="AF31" s="5"/>
      <c r="AG31" s="5"/>
      <c r="AH31" s="5"/>
      <c r="AI31" s="7"/>
      <c r="AJ31" s="5"/>
      <c r="AK31" s="8"/>
      <c r="AL31" s="9"/>
      <c r="AM31" s="8">
        <f t="shared" si="15"/>
        <v>0</v>
      </c>
      <c r="AO31" s="5"/>
      <c r="AP31" s="5"/>
      <c r="AQ31" s="5"/>
      <c r="AR31" s="5"/>
      <c r="AS31" s="7"/>
      <c r="AT31" s="5"/>
      <c r="AU31" s="8"/>
      <c r="AV31" s="9"/>
      <c r="AW31" s="8">
        <f t="shared" si="16"/>
        <v>0</v>
      </c>
      <c r="AY31" s="5">
        <v>250063</v>
      </c>
      <c r="AZ31" s="5">
        <v>430</v>
      </c>
      <c r="BA31" s="6">
        <v>0.5</v>
      </c>
      <c r="BB31" s="6"/>
      <c r="BC31" s="7" t="s">
        <v>106</v>
      </c>
      <c r="BD31" s="5"/>
      <c r="BE31" s="8">
        <v>1000</v>
      </c>
      <c r="BF31" s="9">
        <v>1000</v>
      </c>
      <c r="BG31" s="8">
        <f t="shared" si="17"/>
        <v>0</v>
      </c>
    </row>
    <row r="32" spans="1:59" s="4" customFormat="1" ht="17.100000000000001" customHeight="1" x14ac:dyDescent="0.3">
      <c r="A32" s="5"/>
      <c r="B32" s="5"/>
      <c r="C32" s="5"/>
      <c r="D32" s="5"/>
      <c r="E32" s="7"/>
      <c r="F32" s="5"/>
      <c r="G32" s="8">
        <f>SUM(G26:G31)</f>
        <v>3950</v>
      </c>
      <c r="H32" s="9">
        <f>SUM(H26:H31)</f>
        <v>3950</v>
      </c>
      <c r="I32" s="8">
        <f>SUM(I26:I31)</f>
        <v>0</v>
      </c>
      <c r="K32" s="5"/>
      <c r="L32" s="5"/>
      <c r="M32" s="5"/>
      <c r="N32" s="5"/>
      <c r="O32" s="7"/>
      <c r="P32" s="5"/>
      <c r="Q32" s="8">
        <f>SUM(Q26:Q31)</f>
        <v>5400</v>
      </c>
      <c r="R32" s="9">
        <f>SUM(R26:R31)</f>
        <v>0</v>
      </c>
      <c r="S32" s="8">
        <f>SUM(S26:S31)</f>
        <v>5400</v>
      </c>
      <c r="U32" s="5"/>
      <c r="V32" s="5"/>
      <c r="W32" s="5"/>
      <c r="X32" s="5"/>
      <c r="Y32" s="7"/>
      <c r="Z32" s="5"/>
      <c r="AA32" s="8">
        <f>SUM(AA26:AA31)</f>
        <v>3600</v>
      </c>
      <c r="AB32" s="9">
        <f>SUM(AB26:AB31)</f>
        <v>0</v>
      </c>
      <c r="AC32" s="8">
        <f>SUM(AC26:AC31)</f>
        <v>3600</v>
      </c>
      <c r="AE32" s="5"/>
      <c r="AF32" s="5"/>
      <c r="AG32" s="5"/>
      <c r="AH32" s="5"/>
      <c r="AI32" s="7"/>
      <c r="AJ32" s="5"/>
      <c r="AK32" s="8">
        <f>SUM(AK26:AK31)</f>
        <v>4125</v>
      </c>
      <c r="AL32" s="9">
        <f>SUM(AL26:AL31)</f>
        <v>3300</v>
      </c>
      <c r="AM32" s="8">
        <f>SUM(AM26:AM31)</f>
        <v>825</v>
      </c>
      <c r="AO32" s="5"/>
      <c r="AP32" s="5"/>
      <c r="AQ32" s="5"/>
      <c r="AR32" s="5"/>
      <c r="AS32" s="7"/>
      <c r="AT32" s="5"/>
      <c r="AU32" s="8">
        <f>SUM(AU26:AU31)</f>
        <v>3000</v>
      </c>
      <c r="AV32" s="9">
        <f>SUM(AV26:AV31)</f>
        <v>3000</v>
      </c>
      <c r="AW32" s="8">
        <f>SUM(AW26:AW31)</f>
        <v>0</v>
      </c>
      <c r="AY32" s="5"/>
      <c r="AZ32" s="5"/>
      <c r="BA32" s="5"/>
      <c r="BB32" s="5"/>
      <c r="BC32" s="7"/>
      <c r="BD32" s="5"/>
      <c r="BE32" s="8">
        <f>SUM(BE26:BE31)</f>
        <v>6750</v>
      </c>
      <c r="BF32" s="9">
        <f>SUM(BF26:BF31)</f>
        <v>6000</v>
      </c>
      <c r="BG32" s="8">
        <f>SUM(BG26:BG31)</f>
        <v>750</v>
      </c>
    </row>
    <row r="34" spans="1:59" ht="13.05" customHeight="1" x14ac:dyDescent="0.3">
      <c r="A34" s="91" t="s">
        <v>0</v>
      </c>
      <c r="B34" s="91"/>
      <c r="C34" s="91"/>
      <c r="D34" s="91"/>
      <c r="E34" s="91"/>
      <c r="F34" s="91"/>
      <c r="G34" s="91"/>
      <c r="H34" s="91"/>
      <c r="I34" s="91"/>
      <c r="K34" s="91" t="s">
        <v>1</v>
      </c>
      <c r="L34" s="91"/>
      <c r="M34" s="91"/>
      <c r="N34" s="91"/>
      <c r="O34" s="91"/>
      <c r="P34" s="91"/>
      <c r="Q34" s="91"/>
      <c r="R34" s="91"/>
      <c r="S34" s="91"/>
      <c r="U34" s="91" t="s">
        <v>2</v>
      </c>
      <c r="V34" s="91"/>
      <c r="W34" s="91"/>
      <c r="X34" s="91"/>
      <c r="Y34" s="91"/>
      <c r="Z34" s="91"/>
      <c r="AA34" s="91"/>
      <c r="AB34" s="91"/>
      <c r="AC34" s="91"/>
      <c r="AE34" s="91" t="s">
        <v>3</v>
      </c>
      <c r="AF34" s="91"/>
      <c r="AG34" s="91"/>
      <c r="AH34" s="91"/>
      <c r="AI34" s="91"/>
      <c r="AJ34" s="91"/>
      <c r="AK34" s="91"/>
      <c r="AL34" s="91"/>
      <c r="AM34" s="91"/>
      <c r="AO34" s="91" t="s">
        <v>4</v>
      </c>
      <c r="AP34" s="91"/>
      <c r="AQ34" s="91"/>
      <c r="AR34" s="91"/>
      <c r="AS34" s="91"/>
      <c r="AT34" s="91"/>
      <c r="AU34" s="91"/>
      <c r="AV34" s="91"/>
      <c r="AW34" s="91"/>
      <c r="AY34" s="91" t="s">
        <v>5</v>
      </c>
      <c r="AZ34" s="91"/>
      <c r="BA34" s="91"/>
      <c r="BB34" s="91"/>
      <c r="BC34" s="91"/>
      <c r="BD34" s="91"/>
      <c r="BE34" s="91"/>
      <c r="BF34" s="91"/>
      <c r="BG34" s="91"/>
    </row>
    <row r="35" spans="1:59" ht="13.05" customHeight="1" x14ac:dyDescent="0.3">
      <c r="A35" s="91" t="s">
        <v>20</v>
      </c>
      <c r="B35" s="91"/>
      <c r="C35" s="91"/>
      <c r="D35" s="91"/>
      <c r="E35" s="91"/>
      <c r="F35" s="91"/>
      <c r="G35" s="91"/>
      <c r="H35" s="91"/>
      <c r="I35" s="91"/>
      <c r="K35" s="91" t="s">
        <v>20</v>
      </c>
      <c r="L35" s="91"/>
      <c r="M35" s="91"/>
      <c r="N35" s="91"/>
      <c r="O35" s="91"/>
      <c r="P35" s="91"/>
      <c r="Q35" s="91"/>
      <c r="R35" s="91"/>
      <c r="S35" s="91"/>
      <c r="U35" s="91" t="s">
        <v>20</v>
      </c>
      <c r="V35" s="91"/>
      <c r="W35" s="91"/>
      <c r="X35" s="91"/>
      <c r="Y35" s="91"/>
      <c r="Z35" s="91"/>
      <c r="AA35" s="91"/>
      <c r="AB35" s="91"/>
      <c r="AC35" s="91"/>
      <c r="AE35" s="91" t="s">
        <v>20</v>
      </c>
      <c r="AF35" s="91"/>
      <c r="AG35" s="91"/>
      <c r="AH35" s="91"/>
      <c r="AI35" s="91"/>
      <c r="AJ35" s="91"/>
      <c r="AK35" s="91"/>
      <c r="AL35" s="91"/>
      <c r="AM35" s="91"/>
      <c r="AO35" s="91" t="s">
        <v>20</v>
      </c>
      <c r="AP35" s="91"/>
      <c r="AQ35" s="91"/>
      <c r="AR35" s="91"/>
      <c r="AS35" s="91"/>
      <c r="AT35" s="91"/>
      <c r="AU35" s="91"/>
      <c r="AV35" s="91"/>
      <c r="AW35" s="91"/>
      <c r="AY35" s="91" t="s">
        <v>20</v>
      </c>
      <c r="AZ35" s="91"/>
      <c r="BA35" s="91"/>
      <c r="BB35" s="91"/>
      <c r="BC35" s="91"/>
      <c r="BD35" s="91"/>
      <c r="BE35" s="91"/>
      <c r="BF35" s="91"/>
      <c r="BG35" s="91"/>
    </row>
    <row r="36" spans="1:59" s="4" customFormat="1" ht="20.100000000000001" customHeight="1" x14ac:dyDescent="0.3">
      <c r="A36" s="2" t="s">
        <v>7</v>
      </c>
      <c r="B36" s="2" t="s">
        <v>8</v>
      </c>
      <c r="C36" s="3" t="s">
        <v>9</v>
      </c>
      <c r="D36" s="3" t="s">
        <v>24</v>
      </c>
      <c r="E36" s="2" t="s">
        <v>10</v>
      </c>
      <c r="F36" s="2" t="s">
        <v>11</v>
      </c>
      <c r="G36" s="2" t="s">
        <v>12</v>
      </c>
      <c r="H36" s="2" t="s">
        <v>13</v>
      </c>
      <c r="I36" s="2" t="s">
        <v>14</v>
      </c>
      <c r="K36" s="2" t="s">
        <v>7</v>
      </c>
      <c r="L36" s="2" t="s">
        <v>8</v>
      </c>
      <c r="M36" s="3" t="s">
        <v>9</v>
      </c>
      <c r="N36" s="3" t="s">
        <v>24</v>
      </c>
      <c r="O36" s="2" t="s">
        <v>10</v>
      </c>
      <c r="P36" s="2" t="s">
        <v>11</v>
      </c>
      <c r="Q36" s="2" t="s">
        <v>12</v>
      </c>
      <c r="R36" s="2" t="s">
        <v>13</v>
      </c>
      <c r="S36" s="2" t="s">
        <v>14</v>
      </c>
      <c r="U36" s="2" t="s">
        <v>7</v>
      </c>
      <c r="V36" s="2" t="s">
        <v>8</v>
      </c>
      <c r="W36" s="3" t="s">
        <v>9</v>
      </c>
      <c r="X36" s="3" t="s">
        <v>24</v>
      </c>
      <c r="Y36" s="2" t="s">
        <v>10</v>
      </c>
      <c r="Z36" s="2" t="s">
        <v>11</v>
      </c>
      <c r="AA36" s="2" t="s">
        <v>12</v>
      </c>
      <c r="AB36" s="2" t="s">
        <v>13</v>
      </c>
      <c r="AC36" s="2" t="s">
        <v>14</v>
      </c>
      <c r="AE36" s="2" t="s">
        <v>7</v>
      </c>
      <c r="AF36" s="2" t="s">
        <v>8</v>
      </c>
      <c r="AG36" s="3" t="s">
        <v>9</v>
      </c>
      <c r="AH36" s="3" t="s">
        <v>24</v>
      </c>
      <c r="AI36" s="2" t="s">
        <v>10</v>
      </c>
      <c r="AJ36" s="2" t="s">
        <v>11</v>
      </c>
      <c r="AK36" s="2" t="s">
        <v>12</v>
      </c>
      <c r="AL36" s="2" t="s">
        <v>13</v>
      </c>
      <c r="AM36" s="2" t="s">
        <v>14</v>
      </c>
      <c r="AO36" s="2" t="s">
        <v>7</v>
      </c>
      <c r="AP36" s="2" t="s">
        <v>8</v>
      </c>
      <c r="AQ36" s="3" t="s">
        <v>9</v>
      </c>
      <c r="AR36" s="3" t="s">
        <v>24</v>
      </c>
      <c r="AS36" s="2" t="s">
        <v>10</v>
      </c>
      <c r="AT36" s="2" t="s">
        <v>11</v>
      </c>
      <c r="AU36" s="2" t="s">
        <v>12</v>
      </c>
      <c r="AV36" s="2" t="s">
        <v>13</v>
      </c>
      <c r="AW36" s="2" t="s">
        <v>14</v>
      </c>
      <c r="AY36" s="2" t="s">
        <v>7</v>
      </c>
      <c r="AZ36" s="2" t="s">
        <v>8</v>
      </c>
      <c r="BA36" s="3" t="s">
        <v>9</v>
      </c>
      <c r="BB36" s="3" t="s">
        <v>24</v>
      </c>
      <c r="BC36" s="2" t="s">
        <v>10</v>
      </c>
      <c r="BD36" s="2" t="s">
        <v>11</v>
      </c>
      <c r="BE36" s="2" t="s">
        <v>12</v>
      </c>
      <c r="BF36" s="2" t="s">
        <v>13</v>
      </c>
      <c r="BG36" s="2" t="s">
        <v>14</v>
      </c>
    </row>
    <row r="37" spans="1:59" s="4" customFormat="1" ht="17.100000000000001" customHeight="1" x14ac:dyDescent="0.3">
      <c r="A37" s="5">
        <v>90725</v>
      </c>
      <c r="B37" s="5">
        <v>304</v>
      </c>
      <c r="C37" s="6">
        <v>0.9</v>
      </c>
      <c r="D37" s="6" t="s">
        <v>25</v>
      </c>
      <c r="E37" s="7" t="s">
        <v>229</v>
      </c>
      <c r="F37" s="5">
        <v>304</v>
      </c>
      <c r="G37" s="8">
        <v>1800</v>
      </c>
      <c r="H37" s="9">
        <v>1800</v>
      </c>
      <c r="I37" s="8">
        <f>G37-H37</f>
        <v>0</v>
      </c>
      <c r="K37" s="5">
        <v>90725</v>
      </c>
      <c r="L37" s="5">
        <v>304</v>
      </c>
      <c r="M37" s="6">
        <v>0.9</v>
      </c>
      <c r="N37" s="6" t="s">
        <v>25</v>
      </c>
      <c r="O37" s="7" t="s">
        <v>229</v>
      </c>
      <c r="P37" s="5">
        <v>304</v>
      </c>
      <c r="Q37" s="8">
        <v>1300</v>
      </c>
      <c r="R37" s="9">
        <v>1100</v>
      </c>
      <c r="S37" s="8">
        <f>Q37-R37</f>
        <v>200</v>
      </c>
      <c r="U37" s="5">
        <v>250040</v>
      </c>
      <c r="V37" s="5">
        <v>304</v>
      </c>
      <c r="W37" s="6">
        <v>0.7</v>
      </c>
      <c r="X37" s="6" t="s">
        <v>27</v>
      </c>
      <c r="Y37" s="7" t="s">
        <v>227</v>
      </c>
      <c r="Z37" s="5">
        <v>304</v>
      </c>
      <c r="AA37" s="8">
        <v>2400</v>
      </c>
      <c r="AB37" s="9"/>
      <c r="AC37" s="8">
        <f>AA37-AB37</f>
        <v>2400</v>
      </c>
      <c r="AE37" s="11">
        <v>250825</v>
      </c>
      <c r="AF37" s="5">
        <v>430</v>
      </c>
      <c r="AG37" s="6">
        <v>0.8</v>
      </c>
      <c r="AH37" s="6" t="s">
        <v>27</v>
      </c>
      <c r="AI37" s="7" t="s">
        <v>46</v>
      </c>
      <c r="AJ37" s="5">
        <v>430</v>
      </c>
      <c r="AK37" s="8">
        <v>2050</v>
      </c>
      <c r="AL37" s="9">
        <v>1800</v>
      </c>
      <c r="AM37" s="8">
        <f>AK37-AL37</f>
        <v>250</v>
      </c>
      <c r="AO37" s="11">
        <v>250825</v>
      </c>
      <c r="AP37" s="5">
        <v>430</v>
      </c>
      <c r="AQ37" s="6">
        <v>0.8</v>
      </c>
      <c r="AR37" s="6" t="s">
        <v>27</v>
      </c>
      <c r="AS37" s="7" t="s">
        <v>46</v>
      </c>
      <c r="AT37" s="5">
        <v>430</v>
      </c>
      <c r="AU37" s="8">
        <v>2050</v>
      </c>
      <c r="AV37" s="9"/>
      <c r="AW37" s="8">
        <f>AU37-AV37</f>
        <v>2050</v>
      </c>
      <c r="AY37" s="11">
        <v>250825</v>
      </c>
      <c r="AZ37" s="5">
        <v>430</v>
      </c>
      <c r="BA37" s="6">
        <v>0.8</v>
      </c>
      <c r="BB37" s="6" t="s">
        <v>27</v>
      </c>
      <c r="BC37" s="7" t="s">
        <v>46</v>
      </c>
      <c r="BD37" s="5">
        <v>430</v>
      </c>
      <c r="BE37" s="8">
        <v>900</v>
      </c>
      <c r="BF37" s="9"/>
      <c r="BG37" s="8">
        <f>BE37-BF37</f>
        <v>900</v>
      </c>
    </row>
    <row r="38" spans="1:59" s="4" customFormat="1" ht="17.100000000000001" customHeight="1" x14ac:dyDescent="0.3">
      <c r="A38" s="5">
        <v>250041</v>
      </c>
      <c r="B38" s="5">
        <v>304</v>
      </c>
      <c r="C38" s="6">
        <v>0.9</v>
      </c>
      <c r="D38" s="6" t="s">
        <v>27</v>
      </c>
      <c r="E38" s="7" t="s">
        <v>158</v>
      </c>
      <c r="F38" s="5">
        <v>304</v>
      </c>
      <c r="G38" s="8">
        <v>1000</v>
      </c>
      <c r="H38" s="9">
        <v>1000</v>
      </c>
      <c r="I38" s="8">
        <f t="shared" ref="I38:I42" si="18">G38-H38</f>
        <v>0</v>
      </c>
      <c r="K38" s="5">
        <v>250041</v>
      </c>
      <c r="L38" s="5">
        <v>304</v>
      </c>
      <c r="M38" s="6">
        <v>0.9</v>
      </c>
      <c r="N38" s="6" t="s">
        <v>27</v>
      </c>
      <c r="O38" s="7" t="s">
        <v>157</v>
      </c>
      <c r="P38" s="5">
        <v>304</v>
      </c>
      <c r="Q38" s="8">
        <v>1000</v>
      </c>
      <c r="R38" s="9">
        <v>1150</v>
      </c>
      <c r="S38" s="8">
        <f t="shared" ref="S38:S42" si="19">Q38-R38</f>
        <v>-150</v>
      </c>
      <c r="U38" s="5"/>
      <c r="V38" s="5"/>
      <c r="W38" s="5"/>
      <c r="X38" s="5"/>
      <c r="Y38" s="7"/>
      <c r="Z38" s="5"/>
      <c r="AA38" s="8"/>
      <c r="AB38" s="9"/>
      <c r="AC38" s="8">
        <f t="shared" ref="AC38:AC42" si="20">AA38-AB38</f>
        <v>0</v>
      </c>
      <c r="AE38" s="11"/>
      <c r="AF38" s="5"/>
      <c r="AG38" s="6"/>
      <c r="AH38" s="6"/>
      <c r="AI38" s="7"/>
      <c r="AJ38" s="5"/>
      <c r="AK38" s="8"/>
      <c r="AL38" s="9"/>
      <c r="AM38" s="8">
        <f t="shared" ref="AM38:AM42" si="21">AK38-AL38</f>
        <v>0</v>
      </c>
      <c r="AO38" s="11"/>
      <c r="AP38" s="11"/>
      <c r="AQ38" s="12"/>
      <c r="AR38" s="12"/>
      <c r="AS38" s="13"/>
      <c r="AT38" s="11"/>
      <c r="AU38" s="14"/>
      <c r="AV38" s="9"/>
      <c r="AW38" s="8">
        <f t="shared" ref="AW38:AW42" si="22">AU38-AV38</f>
        <v>0</v>
      </c>
      <c r="AY38" s="5"/>
      <c r="AZ38" s="5"/>
      <c r="BA38" s="5"/>
      <c r="BB38" s="5"/>
      <c r="BC38" s="7"/>
      <c r="BD38" s="5"/>
      <c r="BE38" s="8"/>
      <c r="BF38" s="9"/>
      <c r="BG38" s="8">
        <f t="shared" ref="BG38:BG42" si="23">BE38-BF38</f>
        <v>0</v>
      </c>
    </row>
    <row r="39" spans="1:59" s="4" customFormat="1" ht="17.100000000000001" customHeight="1" x14ac:dyDescent="0.3">
      <c r="A39" s="5">
        <v>250041</v>
      </c>
      <c r="B39" s="5">
        <v>304</v>
      </c>
      <c r="C39" s="6">
        <v>0.9</v>
      </c>
      <c r="D39" s="6" t="s">
        <v>27</v>
      </c>
      <c r="E39" s="7" t="s">
        <v>156</v>
      </c>
      <c r="F39" s="5">
        <v>304</v>
      </c>
      <c r="G39" s="8">
        <v>1000</v>
      </c>
      <c r="H39" s="9">
        <v>1100</v>
      </c>
      <c r="I39" s="8">
        <f t="shared" si="18"/>
        <v>-100</v>
      </c>
      <c r="K39" s="5"/>
      <c r="L39" s="5"/>
      <c r="M39" s="6"/>
      <c r="N39" s="6"/>
      <c r="O39" s="7"/>
      <c r="P39" s="5"/>
      <c r="Q39" s="8"/>
      <c r="R39" s="9"/>
      <c r="S39" s="8">
        <f t="shared" si="19"/>
        <v>0</v>
      </c>
      <c r="U39" s="5"/>
      <c r="V39" s="5"/>
      <c r="W39" s="6"/>
      <c r="X39" s="6"/>
      <c r="Y39" s="7"/>
      <c r="Z39" s="5"/>
      <c r="AA39" s="8"/>
      <c r="AB39" s="9"/>
      <c r="AC39" s="8">
        <f t="shared" si="20"/>
        <v>0</v>
      </c>
      <c r="AE39" s="11"/>
      <c r="AF39" s="5"/>
      <c r="AG39" s="6"/>
      <c r="AH39" s="6"/>
      <c r="AI39" s="7"/>
      <c r="AJ39" s="5"/>
      <c r="AK39" s="8"/>
      <c r="AL39" s="9"/>
      <c r="AM39" s="8">
        <f t="shared" si="21"/>
        <v>0</v>
      </c>
      <c r="AO39" s="11"/>
      <c r="AP39" s="11"/>
      <c r="AQ39" s="12"/>
      <c r="AR39" s="12"/>
      <c r="AS39" s="13"/>
      <c r="AT39" s="11"/>
      <c r="AU39" s="14"/>
      <c r="AV39" s="9"/>
      <c r="AW39" s="8">
        <f t="shared" si="22"/>
        <v>0</v>
      </c>
      <c r="AY39" s="5"/>
      <c r="AZ39" s="5"/>
      <c r="BA39" s="5"/>
      <c r="BB39" s="5"/>
      <c r="BC39" s="7"/>
      <c r="BD39" s="5"/>
      <c r="BE39" s="8"/>
      <c r="BF39" s="9"/>
      <c r="BG39" s="8">
        <f t="shared" si="23"/>
        <v>0</v>
      </c>
    </row>
    <row r="40" spans="1:59" s="4" customFormat="1" ht="17.100000000000001" customHeight="1" x14ac:dyDescent="0.3">
      <c r="A40" s="5"/>
      <c r="B40" s="5"/>
      <c r="C40" s="6"/>
      <c r="D40" s="6"/>
      <c r="E40" s="7"/>
      <c r="F40" s="5"/>
      <c r="G40" s="8"/>
      <c r="H40" s="9"/>
      <c r="I40" s="8">
        <f t="shared" si="18"/>
        <v>0</v>
      </c>
      <c r="K40" s="5"/>
      <c r="L40" s="5"/>
      <c r="M40" s="6"/>
      <c r="N40" s="6"/>
      <c r="O40" s="7"/>
      <c r="P40" s="5"/>
      <c r="Q40" s="8"/>
      <c r="R40" s="9"/>
      <c r="S40" s="8">
        <f t="shared" si="19"/>
        <v>0</v>
      </c>
      <c r="U40" s="5"/>
      <c r="V40" s="5"/>
      <c r="W40" s="6"/>
      <c r="X40" s="6"/>
      <c r="Y40" s="7"/>
      <c r="Z40" s="5"/>
      <c r="AA40" s="8"/>
      <c r="AB40" s="9"/>
      <c r="AC40" s="8">
        <f t="shared" si="20"/>
        <v>0</v>
      </c>
      <c r="AE40" s="5"/>
      <c r="AF40" s="5"/>
      <c r="AG40" s="5"/>
      <c r="AH40" s="5"/>
      <c r="AI40" s="7"/>
      <c r="AJ40" s="5"/>
      <c r="AK40" s="8"/>
      <c r="AL40" s="9"/>
      <c r="AM40" s="8">
        <f t="shared" si="21"/>
        <v>0</v>
      </c>
      <c r="AO40" s="11"/>
      <c r="AP40" s="5"/>
      <c r="AQ40" s="6"/>
      <c r="AR40" s="6"/>
      <c r="AS40" s="7"/>
      <c r="AT40" s="5"/>
      <c r="AU40" s="8"/>
      <c r="AV40" s="9"/>
      <c r="AW40" s="8">
        <f t="shared" si="22"/>
        <v>0</v>
      </c>
      <c r="AY40" s="5"/>
      <c r="AZ40" s="5"/>
      <c r="BA40" s="5"/>
      <c r="BB40" s="5"/>
      <c r="BC40" s="7"/>
      <c r="BD40" s="5"/>
      <c r="BE40" s="8"/>
      <c r="BF40" s="9"/>
      <c r="BG40" s="8">
        <f t="shared" si="23"/>
        <v>0</v>
      </c>
    </row>
    <row r="41" spans="1:59" s="4" customFormat="1" ht="17.100000000000001" customHeight="1" x14ac:dyDescent="0.3">
      <c r="A41" s="5"/>
      <c r="B41" s="5"/>
      <c r="C41" s="6"/>
      <c r="D41" s="6"/>
      <c r="E41" s="7"/>
      <c r="F41" s="5"/>
      <c r="G41" s="8"/>
      <c r="H41" s="9"/>
      <c r="I41" s="8">
        <f t="shared" si="18"/>
        <v>0</v>
      </c>
      <c r="K41" s="5"/>
      <c r="L41" s="5"/>
      <c r="M41" s="6"/>
      <c r="N41" s="6"/>
      <c r="O41" s="7"/>
      <c r="P41" s="5"/>
      <c r="Q41" s="8"/>
      <c r="R41" s="9"/>
      <c r="S41" s="8">
        <f t="shared" si="19"/>
        <v>0</v>
      </c>
      <c r="U41" s="5"/>
      <c r="V41" s="5"/>
      <c r="W41" s="6"/>
      <c r="X41" s="6"/>
      <c r="Y41" s="7"/>
      <c r="Z41" s="5"/>
      <c r="AA41" s="8"/>
      <c r="AB41" s="9"/>
      <c r="AC41" s="8">
        <f t="shared" si="20"/>
        <v>0</v>
      </c>
      <c r="AE41" s="5"/>
      <c r="AF41" s="5"/>
      <c r="AG41" s="5"/>
      <c r="AH41" s="5"/>
      <c r="AI41" s="7"/>
      <c r="AJ41" s="5"/>
      <c r="AK41" s="8"/>
      <c r="AL41" s="9"/>
      <c r="AM41" s="8">
        <f t="shared" si="21"/>
        <v>0</v>
      </c>
      <c r="AO41" s="5"/>
      <c r="AP41" s="5"/>
      <c r="AQ41" s="5"/>
      <c r="AR41" s="5"/>
      <c r="AS41" s="7"/>
      <c r="AT41" s="5"/>
      <c r="AU41" s="8"/>
      <c r="AV41" s="9"/>
      <c r="AW41" s="8">
        <f t="shared" si="22"/>
        <v>0</v>
      </c>
      <c r="AY41" s="5"/>
      <c r="AZ41" s="5"/>
      <c r="BA41" s="5"/>
      <c r="BB41" s="5"/>
      <c r="BC41" s="7"/>
      <c r="BD41" s="5"/>
      <c r="BE41" s="8"/>
      <c r="BF41" s="9"/>
      <c r="BG41" s="8">
        <f t="shared" si="23"/>
        <v>0</v>
      </c>
    </row>
    <row r="42" spans="1:59" s="4" customFormat="1" ht="17.100000000000001" customHeight="1" x14ac:dyDescent="0.3">
      <c r="A42" s="5"/>
      <c r="B42" s="5"/>
      <c r="C42" s="6"/>
      <c r="D42" s="6"/>
      <c r="E42" s="7"/>
      <c r="F42" s="5"/>
      <c r="G42" s="8"/>
      <c r="H42" s="9"/>
      <c r="I42" s="8">
        <f t="shared" si="18"/>
        <v>0</v>
      </c>
      <c r="K42" s="5"/>
      <c r="L42" s="5"/>
      <c r="M42" s="6"/>
      <c r="N42" s="6"/>
      <c r="O42" s="7"/>
      <c r="P42" s="5"/>
      <c r="Q42" s="8"/>
      <c r="R42" s="9"/>
      <c r="S42" s="8">
        <f t="shared" si="19"/>
        <v>0</v>
      </c>
      <c r="U42" s="5"/>
      <c r="V42" s="5"/>
      <c r="W42" s="5"/>
      <c r="X42" s="5"/>
      <c r="Y42" s="7"/>
      <c r="Z42" s="5"/>
      <c r="AA42" s="8"/>
      <c r="AB42" s="9"/>
      <c r="AC42" s="8">
        <f t="shared" si="20"/>
        <v>0</v>
      </c>
      <c r="AE42" s="5"/>
      <c r="AF42" s="5"/>
      <c r="AG42" s="5"/>
      <c r="AH42" s="5"/>
      <c r="AI42" s="7"/>
      <c r="AJ42" s="5"/>
      <c r="AK42" s="8"/>
      <c r="AL42" s="9"/>
      <c r="AM42" s="8">
        <f t="shared" si="21"/>
        <v>0</v>
      </c>
      <c r="AO42" s="5"/>
      <c r="AP42" s="5"/>
      <c r="AQ42" s="5"/>
      <c r="AR42" s="5"/>
      <c r="AS42" s="7"/>
      <c r="AT42" s="5"/>
      <c r="AU42" s="8"/>
      <c r="AV42" s="9"/>
      <c r="AW42" s="8">
        <f t="shared" si="22"/>
        <v>0</v>
      </c>
      <c r="AY42" s="5"/>
      <c r="AZ42" s="5"/>
      <c r="BA42" s="5"/>
      <c r="BB42" s="5"/>
      <c r="BC42" s="7"/>
      <c r="BD42" s="5"/>
      <c r="BE42" s="8"/>
      <c r="BF42" s="9"/>
      <c r="BG42" s="8">
        <f t="shared" si="23"/>
        <v>0</v>
      </c>
    </row>
    <row r="43" spans="1:59" s="4" customFormat="1" ht="17.100000000000001" customHeight="1" x14ac:dyDescent="0.3">
      <c r="A43" s="5"/>
      <c r="B43" s="5"/>
      <c r="C43" s="5"/>
      <c r="D43" s="5"/>
      <c r="E43" s="7"/>
      <c r="F43" s="5"/>
      <c r="G43" s="8">
        <f>SUM(G37:G42)</f>
        <v>3800</v>
      </c>
      <c r="H43" s="9">
        <f>SUM(H37:H42)</f>
        <v>3900</v>
      </c>
      <c r="I43" s="8">
        <f>SUM(I37:I42)</f>
        <v>-100</v>
      </c>
      <c r="K43" s="5"/>
      <c r="L43" s="5"/>
      <c r="M43" s="5"/>
      <c r="N43" s="5"/>
      <c r="O43" s="7"/>
      <c r="P43" s="5"/>
      <c r="Q43" s="8">
        <f>SUM(Q37:Q42)</f>
        <v>2300</v>
      </c>
      <c r="R43" s="9">
        <f>SUM(R37:R42)</f>
        <v>2250</v>
      </c>
      <c r="S43" s="8">
        <f>SUM(S37:S42)</f>
        <v>50</v>
      </c>
      <c r="U43" s="5"/>
      <c r="V43" s="5"/>
      <c r="W43" s="5"/>
      <c r="X43" s="5"/>
      <c r="Y43" s="7"/>
      <c r="Z43" s="5"/>
      <c r="AA43" s="8">
        <f>SUM(AA37:AA42)</f>
        <v>2400</v>
      </c>
      <c r="AB43" s="9">
        <f>SUM(AB37:AB42)</f>
        <v>0</v>
      </c>
      <c r="AC43" s="8">
        <f>SUM(AC37:AC42)</f>
        <v>2400</v>
      </c>
      <c r="AE43" s="5"/>
      <c r="AF43" s="5"/>
      <c r="AG43" s="5"/>
      <c r="AH43" s="5"/>
      <c r="AI43" s="7"/>
      <c r="AJ43" s="5"/>
      <c r="AK43" s="8">
        <f>SUM(AK37:AK42)</f>
        <v>2050</v>
      </c>
      <c r="AL43" s="9">
        <f>SUM(AL37:AL42)</f>
        <v>1800</v>
      </c>
      <c r="AM43" s="8">
        <f>SUM(AM37:AM42)</f>
        <v>250</v>
      </c>
      <c r="AO43" s="5"/>
      <c r="AP43" s="5"/>
      <c r="AQ43" s="5"/>
      <c r="AR43" s="5"/>
      <c r="AS43" s="7"/>
      <c r="AT43" s="5"/>
      <c r="AU43" s="8">
        <f>SUM(AU37:AU42)</f>
        <v>2050</v>
      </c>
      <c r="AV43" s="9">
        <f>SUM(AV37:AV42)</f>
        <v>0</v>
      </c>
      <c r="AW43" s="8">
        <f>SUM(AW37:AW42)</f>
        <v>2050</v>
      </c>
      <c r="AY43" s="5"/>
      <c r="AZ43" s="5"/>
      <c r="BA43" s="5"/>
      <c r="BB43" s="5"/>
      <c r="BC43" s="7"/>
      <c r="BD43" s="5"/>
      <c r="BE43" s="8">
        <f>SUM(BE37:BE42)</f>
        <v>900</v>
      </c>
      <c r="BF43" s="9">
        <f>SUM(BF37:BF42)</f>
        <v>0</v>
      </c>
      <c r="BG43" s="8">
        <f>SUM(BG37:BG42)</f>
        <v>900</v>
      </c>
    </row>
    <row r="45" spans="1:59" ht="13.05" customHeight="1" x14ac:dyDescent="0.3">
      <c r="A45" s="91" t="s">
        <v>0</v>
      </c>
      <c r="B45" s="91"/>
      <c r="C45" s="91"/>
      <c r="D45" s="91"/>
      <c r="E45" s="91"/>
      <c r="F45" s="91"/>
      <c r="G45" s="91"/>
      <c r="H45" s="91"/>
      <c r="I45" s="91"/>
      <c r="K45" s="91" t="s">
        <v>1</v>
      </c>
      <c r="L45" s="91"/>
      <c r="M45" s="91"/>
      <c r="N45" s="91"/>
      <c r="O45" s="91"/>
      <c r="P45" s="91"/>
      <c r="Q45" s="91"/>
      <c r="R45" s="91"/>
      <c r="S45" s="91"/>
      <c r="U45" s="91" t="s">
        <v>2</v>
      </c>
      <c r="V45" s="91"/>
      <c r="W45" s="91"/>
      <c r="X45" s="91"/>
      <c r="Y45" s="91"/>
      <c r="Z45" s="91"/>
      <c r="AA45" s="91"/>
      <c r="AB45" s="91"/>
      <c r="AC45" s="91"/>
      <c r="AE45" s="91" t="s">
        <v>3</v>
      </c>
      <c r="AF45" s="91"/>
      <c r="AG45" s="91"/>
      <c r="AH45" s="91"/>
      <c r="AI45" s="91"/>
      <c r="AJ45" s="91"/>
      <c r="AK45" s="91"/>
      <c r="AL45" s="91"/>
      <c r="AM45" s="91"/>
      <c r="AO45" s="91" t="s">
        <v>4</v>
      </c>
      <c r="AP45" s="91"/>
      <c r="AQ45" s="91"/>
      <c r="AR45" s="91"/>
      <c r="AS45" s="91"/>
      <c r="AT45" s="91"/>
      <c r="AU45" s="91"/>
      <c r="AV45" s="91"/>
      <c r="AW45" s="91"/>
      <c r="AY45" s="91" t="s">
        <v>5</v>
      </c>
      <c r="AZ45" s="91"/>
      <c r="BA45" s="91"/>
      <c r="BB45" s="91"/>
      <c r="BC45" s="91"/>
      <c r="BD45" s="91"/>
      <c r="BE45" s="91"/>
      <c r="BF45" s="91"/>
      <c r="BG45" s="91"/>
    </row>
    <row r="46" spans="1:59" ht="13.05" customHeight="1" x14ac:dyDescent="0.3">
      <c r="A46" s="91" t="s">
        <v>16</v>
      </c>
      <c r="B46" s="91"/>
      <c r="C46" s="91"/>
      <c r="D46" s="91"/>
      <c r="E46" s="91"/>
      <c r="F46" s="91"/>
      <c r="G46" s="91"/>
      <c r="H46" s="91"/>
      <c r="I46" s="91"/>
      <c r="K46" s="91" t="s">
        <v>21</v>
      </c>
      <c r="L46" s="91"/>
      <c r="M46" s="91"/>
      <c r="N46" s="91"/>
      <c r="O46" s="91"/>
      <c r="P46" s="91"/>
      <c r="Q46" s="91"/>
      <c r="R46" s="91"/>
      <c r="S46" s="91"/>
      <c r="U46" s="91" t="s">
        <v>21</v>
      </c>
      <c r="V46" s="91"/>
      <c r="W46" s="91"/>
      <c r="X46" s="91"/>
      <c r="Y46" s="91"/>
      <c r="Z46" s="91"/>
      <c r="AA46" s="91"/>
      <c r="AB46" s="91"/>
      <c r="AC46" s="91"/>
      <c r="AE46" s="91" t="s">
        <v>21</v>
      </c>
      <c r="AF46" s="91"/>
      <c r="AG46" s="91"/>
      <c r="AH46" s="91"/>
      <c r="AI46" s="91"/>
      <c r="AJ46" s="91"/>
      <c r="AK46" s="91"/>
      <c r="AL46" s="91"/>
      <c r="AM46" s="91"/>
      <c r="AO46" s="91" t="s">
        <v>21</v>
      </c>
      <c r="AP46" s="91"/>
      <c r="AQ46" s="91"/>
      <c r="AR46" s="91"/>
      <c r="AS46" s="91"/>
      <c r="AT46" s="91"/>
      <c r="AU46" s="91"/>
      <c r="AV46" s="91"/>
      <c r="AW46" s="91"/>
      <c r="AY46" s="91" t="s">
        <v>21</v>
      </c>
      <c r="AZ46" s="91"/>
      <c r="BA46" s="91"/>
      <c r="BB46" s="91"/>
      <c r="BC46" s="91"/>
      <c r="BD46" s="91"/>
      <c r="BE46" s="91"/>
      <c r="BF46" s="91"/>
      <c r="BG46" s="91"/>
    </row>
    <row r="47" spans="1:59" s="4" customFormat="1" ht="20.100000000000001" customHeight="1" x14ac:dyDescent="0.3">
      <c r="A47" s="2" t="s">
        <v>7</v>
      </c>
      <c r="B47" s="2" t="s">
        <v>8</v>
      </c>
      <c r="C47" s="3" t="s">
        <v>9</v>
      </c>
      <c r="D47" s="3" t="s">
        <v>24</v>
      </c>
      <c r="E47" s="2" t="s">
        <v>10</v>
      </c>
      <c r="F47" s="2" t="s">
        <v>11</v>
      </c>
      <c r="G47" s="2" t="s">
        <v>12</v>
      </c>
      <c r="H47" s="2" t="s">
        <v>13</v>
      </c>
      <c r="I47" s="2" t="s">
        <v>14</v>
      </c>
      <c r="K47" s="2" t="s">
        <v>7</v>
      </c>
      <c r="L47" s="2" t="s">
        <v>8</v>
      </c>
      <c r="M47" s="3" t="s">
        <v>9</v>
      </c>
      <c r="N47" s="3" t="s">
        <v>24</v>
      </c>
      <c r="O47" s="2" t="s">
        <v>10</v>
      </c>
      <c r="P47" s="2" t="s">
        <v>11</v>
      </c>
      <c r="Q47" s="2" t="s">
        <v>12</v>
      </c>
      <c r="R47" s="2" t="s">
        <v>13</v>
      </c>
      <c r="S47" s="2" t="s">
        <v>14</v>
      </c>
      <c r="U47" s="2" t="s">
        <v>7</v>
      </c>
      <c r="V47" s="2" t="s">
        <v>8</v>
      </c>
      <c r="W47" s="3" t="s">
        <v>9</v>
      </c>
      <c r="X47" s="3" t="s">
        <v>24</v>
      </c>
      <c r="Y47" s="2" t="s">
        <v>10</v>
      </c>
      <c r="Z47" s="2" t="s">
        <v>11</v>
      </c>
      <c r="AA47" s="2" t="s">
        <v>12</v>
      </c>
      <c r="AB47" s="2" t="s">
        <v>13</v>
      </c>
      <c r="AC47" s="2" t="s">
        <v>14</v>
      </c>
      <c r="AE47" s="2" t="s">
        <v>7</v>
      </c>
      <c r="AF47" s="2" t="s">
        <v>8</v>
      </c>
      <c r="AG47" s="3" t="s">
        <v>9</v>
      </c>
      <c r="AH47" s="3" t="s">
        <v>24</v>
      </c>
      <c r="AI47" s="2" t="s">
        <v>10</v>
      </c>
      <c r="AJ47" s="2" t="s">
        <v>11</v>
      </c>
      <c r="AK47" s="2" t="s">
        <v>12</v>
      </c>
      <c r="AL47" s="2" t="s">
        <v>13</v>
      </c>
      <c r="AM47" s="2" t="s">
        <v>14</v>
      </c>
      <c r="AO47" s="2" t="s">
        <v>7</v>
      </c>
      <c r="AP47" s="2" t="s">
        <v>8</v>
      </c>
      <c r="AQ47" s="3" t="s">
        <v>9</v>
      </c>
      <c r="AR47" s="3" t="s">
        <v>24</v>
      </c>
      <c r="AS47" s="2" t="s">
        <v>10</v>
      </c>
      <c r="AT47" s="2" t="s">
        <v>11</v>
      </c>
      <c r="AU47" s="2" t="s">
        <v>12</v>
      </c>
      <c r="AV47" s="2" t="s">
        <v>13</v>
      </c>
      <c r="AW47" s="2" t="s">
        <v>14</v>
      </c>
      <c r="AY47" s="2" t="s">
        <v>7</v>
      </c>
      <c r="AZ47" s="2" t="s">
        <v>8</v>
      </c>
      <c r="BA47" s="3" t="s">
        <v>9</v>
      </c>
      <c r="BB47" s="3" t="s">
        <v>24</v>
      </c>
      <c r="BC47" s="2" t="s">
        <v>10</v>
      </c>
      <c r="BD47" s="2" t="s">
        <v>11</v>
      </c>
      <c r="BE47" s="2" t="s">
        <v>12</v>
      </c>
      <c r="BF47" s="2" t="s">
        <v>13</v>
      </c>
      <c r="BG47" s="2" t="s">
        <v>14</v>
      </c>
    </row>
    <row r="48" spans="1:59" s="4" customFormat="1" ht="17.100000000000001" customHeight="1" x14ac:dyDescent="0.3">
      <c r="A48" s="5">
        <v>250039</v>
      </c>
      <c r="B48" s="5">
        <v>304</v>
      </c>
      <c r="C48" s="6">
        <v>0.7</v>
      </c>
      <c r="D48" s="6" t="s">
        <v>27</v>
      </c>
      <c r="E48" s="7" t="s">
        <v>179</v>
      </c>
      <c r="F48" s="5">
        <v>304</v>
      </c>
      <c r="G48" s="8">
        <v>2400</v>
      </c>
      <c r="H48" s="9">
        <v>2400</v>
      </c>
      <c r="I48" s="8">
        <f>G48-H48</f>
        <v>0</v>
      </c>
      <c r="K48" s="5">
        <v>250041</v>
      </c>
      <c r="L48" s="5">
        <v>304</v>
      </c>
      <c r="M48" s="6">
        <v>0.9</v>
      </c>
      <c r="N48" s="6" t="s">
        <v>27</v>
      </c>
      <c r="O48" s="7" t="s">
        <v>158</v>
      </c>
      <c r="P48" s="5">
        <v>304</v>
      </c>
      <c r="Q48" s="8">
        <v>1000</v>
      </c>
      <c r="R48" s="9">
        <v>1000</v>
      </c>
      <c r="S48" s="8">
        <f>Q48-R48</f>
        <v>0</v>
      </c>
      <c r="U48" s="5">
        <v>250041</v>
      </c>
      <c r="V48" s="5">
        <v>304</v>
      </c>
      <c r="W48" s="6">
        <v>0.9</v>
      </c>
      <c r="X48" s="6" t="s">
        <v>27</v>
      </c>
      <c r="Y48" s="7" t="s">
        <v>157</v>
      </c>
      <c r="Z48" s="5">
        <v>304</v>
      </c>
      <c r="AA48" s="8">
        <v>1000</v>
      </c>
      <c r="AB48" s="9">
        <v>1000</v>
      </c>
      <c r="AC48" s="8">
        <f>AA48-AB48</f>
        <v>0</v>
      </c>
      <c r="AE48" s="5">
        <v>250040</v>
      </c>
      <c r="AF48" s="5">
        <v>304</v>
      </c>
      <c r="AG48" s="6">
        <v>0.7</v>
      </c>
      <c r="AH48" s="6" t="s">
        <v>27</v>
      </c>
      <c r="AI48" s="7" t="s">
        <v>227</v>
      </c>
      <c r="AJ48" s="5">
        <v>304</v>
      </c>
      <c r="AK48" s="8">
        <v>1000</v>
      </c>
      <c r="AL48" s="9">
        <v>1000</v>
      </c>
      <c r="AM48" s="8">
        <f>AK48-AL48</f>
        <v>0</v>
      </c>
      <c r="AO48" s="11">
        <v>250825</v>
      </c>
      <c r="AP48" s="5">
        <v>430</v>
      </c>
      <c r="AQ48" s="6">
        <v>0.8</v>
      </c>
      <c r="AR48" s="6" t="s">
        <v>27</v>
      </c>
      <c r="AS48" s="7" t="s">
        <v>46</v>
      </c>
      <c r="AT48" s="5">
        <v>430</v>
      </c>
      <c r="AU48" s="8">
        <v>2050</v>
      </c>
      <c r="AV48" s="9">
        <f>500+1550</f>
        <v>2050</v>
      </c>
      <c r="AW48" s="8">
        <f>AU48-AV48</f>
        <v>0</v>
      </c>
      <c r="AY48" s="11">
        <v>250825</v>
      </c>
      <c r="AZ48" s="5">
        <v>430</v>
      </c>
      <c r="BA48" s="6">
        <v>0.8</v>
      </c>
      <c r="BB48" s="6" t="s">
        <v>27</v>
      </c>
      <c r="BC48" s="7" t="s">
        <v>46</v>
      </c>
      <c r="BD48" s="5">
        <v>430</v>
      </c>
      <c r="BE48" s="8">
        <v>900</v>
      </c>
      <c r="BF48" s="9">
        <v>900</v>
      </c>
      <c r="BG48" s="8">
        <f>BE48-BF48</f>
        <v>0</v>
      </c>
    </row>
    <row r="49" spans="1:59" s="4" customFormat="1" ht="17.100000000000001" customHeight="1" x14ac:dyDescent="0.3">
      <c r="A49" s="5"/>
      <c r="B49" s="5"/>
      <c r="C49" s="6"/>
      <c r="D49" s="6"/>
      <c r="E49" s="7"/>
      <c r="F49" s="5"/>
      <c r="G49" s="8"/>
      <c r="H49" s="9"/>
      <c r="I49" s="8">
        <f t="shared" ref="I49:I53" si="24">G49-H49</f>
        <v>0</v>
      </c>
      <c r="K49" s="5">
        <v>250041</v>
      </c>
      <c r="L49" s="5">
        <v>304</v>
      </c>
      <c r="M49" s="6">
        <v>0.9</v>
      </c>
      <c r="N49" s="6" t="s">
        <v>27</v>
      </c>
      <c r="O49" s="7" t="s">
        <v>156</v>
      </c>
      <c r="P49" s="5">
        <v>304</v>
      </c>
      <c r="Q49" s="8">
        <v>1000</v>
      </c>
      <c r="R49" s="9">
        <v>1000</v>
      </c>
      <c r="S49" s="8">
        <f t="shared" ref="S49:S53" si="25">Q49-R49</f>
        <v>0</v>
      </c>
      <c r="U49" s="5">
        <v>250040</v>
      </c>
      <c r="V49" s="5">
        <v>304</v>
      </c>
      <c r="W49" s="6">
        <v>0.7</v>
      </c>
      <c r="X49" s="6" t="s">
        <v>27</v>
      </c>
      <c r="Y49" s="7" t="s">
        <v>227</v>
      </c>
      <c r="Z49" s="5">
        <v>304</v>
      </c>
      <c r="AA49" s="8">
        <v>1400</v>
      </c>
      <c r="AB49" s="9">
        <v>1400</v>
      </c>
      <c r="AC49" s="8">
        <f t="shared" ref="AC49:AC53" si="26">AA49-AB49</f>
        <v>0</v>
      </c>
      <c r="AE49" s="11">
        <v>250825</v>
      </c>
      <c r="AF49" s="5">
        <v>430</v>
      </c>
      <c r="AG49" s="6">
        <v>0.8</v>
      </c>
      <c r="AH49" s="6" t="s">
        <v>27</v>
      </c>
      <c r="AI49" s="7" t="s">
        <v>46</v>
      </c>
      <c r="AJ49" s="5">
        <v>430</v>
      </c>
      <c r="AK49" s="8">
        <v>1050</v>
      </c>
      <c r="AL49" s="9">
        <v>1050</v>
      </c>
      <c r="AM49" s="8">
        <f t="shared" ref="AM49:AM53" si="27">AK49-AL49</f>
        <v>0</v>
      </c>
      <c r="AO49" s="5"/>
      <c r="AP49" s="5"/>
      <c r="AQ49" s="5"/>
      <c r="AR49" s="5"/>
      <c r="AS49" s="7"/>
      <c r="AT49" s="5"/>
      <c r="AU49" s="8"/>
      <c r="AV49" s="9"/>
      <c r="AW49" s="8">
        <f t="shared" ref="AW49:AW53" si="28">AU49-AV49</f>
        <v>0</v>
      </c>
      <c r="AY49" s="5"/>
      <c r="AZ49" s="5"/>
      <c r="BA49" s="5"/>
      <c r="BB49" s="5"/>
      <c r="BC49" s="7"/>
      <c r="BD49" s="5"/>
      <c r="BE49" s="8"/>
      <c r="BF49" s="9"/>
      <c r="BG49" s="8">
        <f t="shared" ref="BG49:BG53" si="29">BE49-BF49</f>
        <v>0</v>
      </c>
    </row>
    <row r="50" spans="1:59" s="4" customFormat="1" ht="17.100000000000001" customHeight="1" x14ac:dyDescent="0.3">
      <c r="A50" s="5"/>
      <c r="B50" s="5"/>
      <c r="C50" s="6"/>
      <c r="D50" s="6"/>
      <c r="E50" s="7"/>
      <c r="F50" s="5"/>
      <c r="G50" s="8"/>
      <c r="H50" s="9"/>
      <c r="I50" s="8">
        <f t="shared" si="24"/>
        <v>0</v>
      </c>
      <c r="K50" s="5"/>
      <c r="L50" s="5"/>
      <c r="M50" s="5"/>
      <c r="N50" s="5"/>
      <c r="O50" s="7"/>
      <c r="P50" s="5"/>
      <c r="Q50" s="8"/>
      <c r="R50" s="9"/>
      <c r="S50" s="8">
        <f t="shared" si="25"/>
        <v>0</v>
      </c>
      <c r="U50" s="5"/>
      <c r="V50" s="5"/>
      <c r="W50" s="5"/>
      <c r="X50" s="5"/>
      <c r="Y50" s="7"/>
      <c r="Z50" s="5"/>
      <c r="AA50" s="8"/>
      <c r="AB50" s="9"/>
      <c r="AC50" s="8">
        <f t="shared" si="26"/>
        <v>0</v>
      </c>
      <c r="AE50" s="5"/>
      <c r="AF50" s="5"/>
      <c r="AG50" s="5"/>
      <c r="AH50" s="5"/>
      <c r="AI50" s="7"/>
      <c r="AJ50" s="5"/>
      <c r="AK50" s="8"/>
      <c r="AL50" s="9"/>
      <c r="AM50" s="8">
        <f t="shared" si="27"/>
        <v>0</v>
      </c>
      <c r="AO50" s="5"/>
      <c r="AP50" s="5"/>
      <c r="AQ50" s="5"/>
      <c r="AR50" s="5"/>
      <c r="AS50" s="7"/>
      <c r="AT50" s="5"/>
      <c r="AU50" s="8"/>
      <c r="AV50" s="9"/>
      <c r="AW50" s="8">
        <f t="shared" si="28"/>
        <v>0</v>
      </c>
      <c r="AY50" s="5"/>
      <c r="AZ50" s="5"/>
      <c r="BA50" s="5"/>
      <c r="BB50" s="5"/>
      <c r="BC50" s="7"/>
      <c r="BD50" s="5"/>
      <c r="BE50" s="8"/>
      <c r="BF50" s="9"/>
      <c r="BG50" s="8">
        <f t="shared" si="29"/>
        <v>0</v>
      </c>
    </row>
    <row r="51" spans="1:59" s="4" customFormat="1" ht="17.100000000000001" customHeight="1" x14ac:dyDescent="0.3">
      <c r="A51" s="5"/>
      <c r="B51" s="5"/>
      <c r="C51" s="5"/>
      <c r="D51" s="5"/>
      <c r="E51" s="7"/>
      <c r="F51" s="5"/>
      <c r="G51" s="8"/>
      <c r="H51" s="9"/>
      <c r="I51" s="8">
        <f t="shared" si="24"/>
        <v>0</v>
      </c>
      <c r="K51" s="5"/>
      <c r="L51" s="5"/>
      <c r="M51" s="5"/>
      <c r="N51" s="5"/>
      <c r="O51" s="7"/>
      <c r="P51" s="5"/>
      <c r="Q51" s="8"/>
      <c r="R51" s="9"/>
      <c r="S51" s="8">
        <f t="shared" si="25"/>
        <v>0</v>
      </c>
      <c r="U51" s="5"/>
      <c r="V51" s="5"/>
      <c r="W51" s="5"/>
      <c r="X51" s="5"/>
      <c r="Y51" s="7"/>
      <c r="Z51" s="5"/>
      <c r="AA51" s="8"/>
      <c r="AB51" s="9"/>
      <c r="AC51" s="8">
        <f t="shared" si="26"/>
        <v>0</v>
      </c>
      <c r="AE51" s="5"/>
      <c r="AF51" s="5"/>
      <c r="AG51" s="5"/>
      <c r="AH51" s="5"/>
      <c r="AI51" s="7"/>
      <c r="AJ51" s="5"/>
      <c r="AK51" s="8"/>
      <c r="AL51" s="9"/>
      <c r="AM51" s="8">
        <f t="shared" si="27"/>
        <v>0</v>
      </c>
      <c r="AO51" s="5"/>
      <c r="AP51" s="5"/>
      <c r="AQ51" s="5"/>
      <c r="AR51" s="5"/>
      <c r="AS51" s="7"/>
      <c r="AT51" s="5"/>
      <c r="AU51" s="8"/>
      <c r="AV51" s="9"/>
      <c r="AW51" s="8">
        <f t="shared" si="28"/>
        <v>0</v>
      </c>
      <c r="AY51" s="5"/>
      <c r="AZ51" s="5"/>
      <c r="BA51" s="5"/>
      <c r="BB51" s="5"/>
      <c r="BC51" s="7"/>
      <c r="BD51" s="5"/>
      <c r="BE51" s="8"/>
      <c r="BF51" s="9"/>
      <c r="BG51" s="8">
        <f t="shared" si="29"/>
        <v>0</v>
      </c>
    </row>
    <row r="52" spans="1:59" s="4" customFormat="1" ht="17.100000000000001" customHeight="1" x14ac:dyDescent="0.3">
      <c r="A52" s="5"/>
      <c r="B52" s="5"/>
      <c r="C52" s="5"/>
      <c r="D52" s="5"/>
      <c r="E52" s="7"/>
      <c r="F52" s="5"/>
      <c r="G52" s="8"/>
      <c r="H52" s="9"/>
      <c r="I52" s="8">
        <f t="shared" si="24"/>
        <v>0</v>
      </c>
      <c r="K52" s="5"/>
      <c r="L52" s="5"/>
      <c r="M52" s="5"/>
      <c r="N52" s="5"/>
      <c r="O52" s="7"/>
      <c r="P52" s="5"/>
      <c r="Q52" s="8"/>
      <c r="R52" s="9"/>
      <c r="S52" s="8">
        <f t="shared" si="25"/>
        <v>0</v>
      </c>
      <c r="U52" s="5"/>
      <c r="V52" s="5"/>
      <c r="W52" s="5"/>
      <c r="X52" s="5"/>
      <c r="Y52" s="7"/>
      <c r="Z52" s="5"/>
      <c r="AA52" s="8"/>
      <c r="AB52" s="9"/>
      <c r="AC52" s="8">
        <f t="shared" si="26"/>
        <v>0</v>
      </c>
      <c r="AE52" s="5"/>
      <c r="AF52" s="5"/>
      <c r="AG52" s="5"/>
      <c r="AH52" s="5"/>
      <c r="AI52" s="7"/>
      <c r="AJ52" s="5"/>
      <c r="AK52" s="8"/>
      <c r="AL52" s="9"/>
      <c r="AM52" s="8">
        <f t="shared" si="27"/>
        <v>0</v>
      </c>
      <c r="AO52" s="5"/>
      <c r="AP52" s="5"/>
      <c r="AQ52" s="5"/>
      <c r="AR52" s="5"/>
      <c r="AS52" s="7"/>
      <c r="AT52" s="5"/>
      <c r="AU52" s="8"/>
      <c r="AV52" s="9"/>
      <c r="AW52" s="8">
        <f t="shared" si="28"/>
        <v>0</v>
      </c>
      <c r="AY52" s="5"/>
      <c r="AZ52" s="5"/>
      <c r="BA52" s="5"/>
      <c r="BB52" s="5"/>
      <c r="BC52" s="7"/>
      <c r="BD52" s="5"/>
      <c r="BE52" s="8"/>
      <c r="BF52" s="9"/>
      <c r="BG52" s="8">
        <f t="shared" si="29"/>
        <v>0</v>
      </c>
    </row>
    <row r="53" spans="1:59" s="4" customFormat="1" ht="17.100000000000001" customHeight="1" x14ac:dyDescent="0.3">
      <c r="A53" s="5"/>
      <c r="B53" s="5"/>
      <c r="C53" s="5"/>
      <c r="D53" s="5"/>
      <c r="E53" s="7"/>
      <c r="F53" s="5"/>
      <c r="G53" s="8"/>
      <c r="H53" s="9"/>
      <c r="I53" s="8">
        <f t="shared" si="24"/>
        <v>0</v>
      </c>
      <c r="K53" s="5"/>
      <c r="L53" s="5"/>
      <c r="M53" s="5"/>
      <c r="N53" s="5"/>
      <c r="O53" s="7"/>
      <c r="P53" s="5"/>
      <c r="Q53" s="8"/>
      <c r="R53" s="9"/>
      <c r="S53" s="8">
        <f t="shared" si="25"/>
        <v>0</v>
      </c>
      <c r="U53" s="5"/>
      <c r="V53" s="5"/>
      <c r="W53" s="5"/>
      <c r="X53" s="5"/>
      <c r="Y53" s="7"/>
      <c r="Z53" s="5"/>
      <c r="AA53" s="8"/>
      <c r="AB53" s="9"/>
      <c r="AC53" s="8">
        <f t="shared" si="26"/>
        <v>0</v>
      </c>
      <c r="AE53" s="5"/>
      <c r="AF53" s="5"/>
      <c r="AG53" s="5"/>
      <c r="AH53" s="5"/>
      <c r="AI53" s="7"/>
      <c r="AJ53" s="5"/>
      <c r="AK53" s="8"/>
      <c r="AL53" s="9"/>
      <c r="AM53" s="8">
        <f t="shared" si="27"/>
        <v>0</v>
      </c>
      <c r="AO53" s="5"/>
      <c r="AP53" s="5"/>
      <c r="AQ53" s="5"/>
      <c r="AR53" s="5"/>
      <c r="AS53" s="7"/>
      <c r="AT53" s="5"/>
      <c r="AU53" s="8"/>
      <c r="AV53" s="9"/>
      <c r="AW53" s="8">
        <f t="shared" si="28"/>
        <v>0</v>
      </c>
      <c r="AY53" s="5"/>
      <c r="AZ53" s="5"/>
      <c r="BA53" s="5"/>
      <c r="BB53" s="5"/>
      <c r="BC53" s="7"/>
      <c r="BD53" s="5"/>
      <c r="BE53" s="8"/>
      <c r="BF53" s="9"/>
      <c r="BG53" s="8">
        <f t="shared" si="29"/>
        <v>0</v>
      </c>
    </row>
    <row r="54" spans="1:59" s="4" customFormat="1" ht="17.100000000000001" customHeight="1" x14ac:dyDescent="0.3">
      <c r="A54" s="5"/>
      <c r="B54" s="5"/>
      <c r="C54" s="5"/>
      <c r="D54" s="5"/>
      <c r="E54" s="7"/>
      <c r="F54" s="5"/>
      <c r="G54" s="8">
        <f>SUM(G48:G53)</f>
        <v>2400</v>
      </c>
      <c r="H54" s="9">
        <f>SUM(H48:H53)</f>
        <v>2400</v>
      </c>
      <c r="I54" s="8">
        <f>SUM(I48:I53)</f>
        <v>0</v>
      </c>
      <c r="K54" s="5"/>
      <c r="L54" s="5"/>
      <c r="M54" s="5"/>
      <c r="N54" s="5"/>
      <c r="O54" s="7"/>
      <c r="P54" s="5"/>
      <c r="Q54" s="8">
        <f>SUM(Q48:Q53)</f>
        <v>2000</v>
      </c>
      <c r="R54" s="9">
        <f>SUM(R48:R53)</f>
        <v>2000</v>
      </c>
      <c r="S54" s="8">
        <f>SUM(S48:S53)</f>
        <v>0</v>
      </c>
      <c r="U54" s="5"/>
      <c r="V54" s="5"/>
      <c r="W54" s="5"/>
      <c r="X54" s="5"/>
      <c r="Y54" s="7"/>
      <c r="Z54" s="5"/>
      <c r="AA54" s="8">
        <f>SUM(AA48:AA53)</f>
        <v>2400</v>
      </c>
      <c r="AB54" s="9">
        <f>SUM(AB48:AB53)</f>
        <v>2400</v>
      </c>
      <c r="AC54" s="8">
        <f>SUM(AC48:AC53)</f>
        <v>0</v>
      </c>
      <c r="AE54" s="5"/>
      <c r="AF54" s="5"/>
      <c r="AG54" s="5"/>
      <c r="AH54" s="5"/>
      <c r="AI54" s="7"/>
      <c r="AJ54" s="5"/>
      <c r="AK54" s="8">
        <f>SUM(AK48:AK53)</f>
        <v>2050</v>
      </c>
      <c r="AL54" s="9">
        <f>SUM(AL48:AL53)</f>
        <v>2050</v>
      </c>
      <c r="AM54" s="8">
        <f>SUM(AM48:AM53)</f>
        <v>0</v>
      </c>
      <c r="AO54" s="5"/>
      <c r="AP54" s="5"/>
      <c r="AQ54" s="5"/>
      <c r="AR54" s="5"/>
      <c r="AS54" s="7"/>
      <c r="AT54" s="5"/>
      <c r="AU54" s="8">
        <f>SUM(AU48:AU53)</f>
        <v>2050</v>
      </c>
      <c r="AV54" s="9">
        <f>SUM(AV48:AV53)</f>
        <v>2050</v>
      </c>
      <c r="AW54" s="8">
        <f>SUM(AW48:AW53)</f>
        <v>0</v>
      </c>
      <c r="AY54" s="5"/>
      <c r="AZ54" s="5"/>
      <c r="BA54" s="5"/>
      <c r="BB54" s="5"/>
      <c r="BC54" s="7"/>
      <c r="BD54" s="5"/>
      <c r="BE54" s="8">
        <f>SUM(BE48:BE53)</f>
        <v>900</v>
      </c>
      <c r="BF54" s="9">
        <f>SUM(BF48:BF53)</f>
        <v>900</v>
      </c>
      <c r="BG54" s="8">
        <f>SUM(BG48:BG53)</f>
        <v>0</v>
      </c>
    </row>
    <row r="56" spans="1:59" ht="13.05" customHeight="1" x14ac:dyDescent="0.3">
      <c r="A56" s="91" t="s">
        <v>0</v>
      </c>
      <c r="B56" s="91"/>
      <c r="C56" s="91"/>
      <c r="D56" s="91"/>
      <c r="E56" s="91"/>
      <c r="F56" s="91"/>
      <c r="G56" s="91"/>
      <c r="H56" s="91"/>
      <c r="I56" s="91"/>
      <c r="K56" s="91" t="s">
        <v>1</v>
      </c>
      <c r="L56" s="91"/>
      <c r="M56" s="91"/>
      <c r="N56" s="91"/>
      <c r="O56" s="91"/>
      <c r="P56" s="91"/>
      <c r="Q56" s="91"/>
      <c r="R56" s="91"/>
      <c r="S56" s="91"/>
      <c r="U56" s="91" t="s">
        <v>2</v>
      </c>
      <c r="V56" s="91"/>
      <c r="W56" s="91"/>
      <c r="X56" s="91"/>
      <c r="Y56" s="91"/>
      <c r="Z56" s="91"/>
      <c r="AA56" s="91"/>
      <c r="AB56" s="91"/>
      <c r="AC56" s="91"/>
      <c r="AE56" s="91" t="s">
        <v>3</v>
      </c>
      <c r="AF56" s="91"/>
      <c r="AG56" s="91"/>
      <c r="AH56" s="91"/>
      <c r="AI56" s="91"/>
      <c r="AJ56" s="91"/>
      <c r="AK56" s="91"/>
      <c r="AL56" s="91"/>
      <c r="AM56" s="91"/>
      <c r="AO56" s="91" t="s">
        <v>4</v>
      </c>
      <c r="AP56" s="91"/>
      <c r="AQ56" s="91"/>
      <c r="AR56" s="91"/>
      <c r="AS56" s="91"/>
      <c r="AT56" s="91"/>
      <c r="AU56" s="91"/>
      <c r="AV56" s="91"/>
      <c r="AW56" s="91"/>
      <c r="AY56" s="91" t="s">
        <v>5</v>
      </c>
      <c r="AZ56" s="91"/>
      <c r="BA56" s="91"/>
      <c r="BB56" s="91"/>
      <c r="BC56" s="91"/>
      <c r="BD56" s="91"/>
      <c r="BE56" s="91"/>
      <c r="BF56" s="91"/>
      <c r="BG56" s="91"/>
    </row>
    <row r="57" spans="1:59" ht="13.05" customHeight="1" x14ac:dyDescent="0.3">
      <c r="A57" s="91" t="s">
        <v>18</v>
      </c>
      <c r="B57" s="91"/>
      <c r="C57" s="91"/>
      <c r="D57" s="91"/>
      <c r="E57" s="91"/>
      <c r="F57" s="91"/>
      <c r="G57" s="91"/>
      <c r="H57" s="91"/>
      <c r="I57" s="91"/>
      <c r="K57" s="91" t="s">
        <v>18</v>
      </c>
      <c r="L57" s="91"/>
      <c r="M57" s="91"/>
      <c r="N57" s="91"/>
      <c r="O57" s="91"/>
      <c r="P57" s="91"/>
      <c r="Q57" s="91"/>
      <c r="R57" s="91"/>
      <c r="S57" s="91"/>
      <c r="U57" s="91" t="s">
        <v>18</v>
      </c>
      <c r="V57" s="91"/>
      <c r="W57" s="91"/>
      <c r="X57" s="91"/>
      <c r="Y57" s="91"/>
      <c r="Z57" s="91"/>
      <c r="AA57" s="91"/>
      <c r="AB57" s="91"/>
      <c r="AC57" s="91"/>
      <c r="AE57" s="91" t="s">
        <v>18</v>
      </c>
      <c r="AF57" s="91"/>
      <c r="AG57" s="91"/>
      <c r="AH57" s="91"/>
      <c r="AI57" s="91"/>
      <c r="AJ57" s="91"/>
      <c r="AK57" s="91"/>
      <c r="AL57" s="91"/>
      <c r="AM57" s="91"/>
      <c r="AO57" s="91" t="s">
        <v>18</v>
      </c>
      <c r="AP57" s="91"/>
      <c r="AQ57" s="91"/>
      <c r="AR57" s="91"/>
      <c r="AS57" s="91"/>
      <c r="AT57" s="91"/>
      <c r="AU57" s="91"/>
      <c r="AV57" s="91"/>
      <c r="AW57" s="91"/>
      <c r="AY57" s="91" t="s">
        <v>18</v>
      </c>
      <c r="AZ57" s="91"/>
      <c r="BA57" s="91"/>
      <c r="BB57" s="91"/>
      <c r="BC57" s="91"/>
      <c r="BD57" s="91"/>
      <c r="BE57" s="91"/>
      <c r="BF57" s="91"/>
      <c r="BG57" s="91"/>
    </row>
    <row r="58" spans="1:59" s="4" customFormat="1" ht="20.100000000000001" customHeight="1" x14ac:dyDescent="0.3">
      <c r="A58" s="2" t="s">
        <v>7</v>
      </c>
      <c r="B58" s="2" t="s">
        <v>8</v>
      </c>
      <c r="C58" s="3" t="s">
        <v>9</v>
      </c>
      <c r="D58" s="3" t="s">
        <v>24</v>
      </c>
      <c r="E58" s="2" t="s">
        <v>10</v>
      </c>
      <c r="F58" s="2" t="s">
        <v>11</v>
      </c>
      <c r="G58" s="2" t="s">
        <v>12</v>
      </c>
      <c r="H58" s="2" t="s">
        <v>13</v>
      </c>
      <c r="I58" s="2" t="s">
        <v>14</v>
      </c>
      <c r="K58" s="2" t="s">
        <v>7</v>
      </c>
      <c r="L58" s="2" t="s">
        <v>8</v>
      </c>
      <c r="M58" s="3" t="s">
        <v>9</v>
      </c>
      <c r="N58" s="3" t="s">
        <v>24</v>
      </c>
      <c r="O58" s="2" t="s">
        <v>10</v>
      </c>
      <c r="P58" s="2" t="s">
        <v>11</v>
      </c>
      <c r="Q58" s="2" t="s">
        <v>12</v>
      </c>
      <c r="R58" s="2" t="s">
        <v>13</v>
      </c>
      <c r="S58" s="2" t="s">
        <v>14</v>
      </c>
      <c r="U58" s="2" t="s">
        <v>7</v>
      </c>
      <c r="V58" s="2" t="s">
        <v>8</v>
      </c>
      <c r="W58" s="3" t="s">
        <v>9</v>
      </c>
      <c r="X58" s="3" t="s">
        <v>24</v>
      </c>
      <c r="Y58" s="2" t="s">
        <v>10</v>
      </c>
      <c r="Z58" s="2" t="s">
        <v>11</v>
      </c>
      <c r="AA58" s="2" t="s">
        <v>12</v>
      </c>
      <c r="AB58" s="2" t="s">
        <v>13</v>
      </c>
      <c r="AC58" s="2" t="s">
        <v>14</v>
      </c>
      <c r="AE58" s="2" t="s">
        <v>7</v>
      </c>
      <c r="AF58" s="2" t="s">
        <v>8</v>
      </c>
      <c r="AG58" s="3" t="s">
        <v>9</v>
      </c>
      <c r="AH58" s="3" t="s">
        <v>24</v>
      </c>
      <c r="AI58" s="2" t="s">
        <v>10</v>
      </c>
      <c r="AJ58" s="2" t="s">
        <v>11</v>
      </c>
      <c r="AK58" s="2" t="s">
        <v>12</v>
      </c>
      <c r="AL58" s="2" t="s">
        <v>13</v>
      </c>
      <c r="AM58" s="2" t="s">
        <v>14</v>
      </c>
      <c r="AO58" s="2" t="s">
        <v>7</v>
      </c>
      <c r="AP58" s="2" t="s">
        <v>8</v>
      </c>
      <c r="AQ58" s="3" t="s">
        <v>9</v>
      </c>
      <c r="AR58" s="3" t="s">
        <v>24</v>
      </c>
      <c r="AS58" s="2" t="s">
        <v>10</v>
      </c>
      <c r="AT58" s="2" t="s">
        <v>11</v>
      </c>
      <c r="AU58" s="2" t="s">
        <v>12</v>
      </c>
      <c r="AV58" s="2" t="s">
        <v>13</v>
      </c>
      <c r="AW58" s="2" t="s">
        <v>14</v>
      </c>
      <c r="AY58" s="2" t="s">
        <v>7</v>
      </c>
      <c r="AZ58" s="2" t="s">
        <v>8</v>
      </c>
      <c r="BA58" s="3" t="s">
        <v>9</v>
      </c>
      <c r="BB58" s="3" t="s">
        <v>24</v>
      </c>
      <c r="BC58" s="2" t="s">
        <v>10</v>
      </c>
      <c r="BD58" s="2" t="s">
        <v>11</v>
      </c>
      <c r="BE58" s="2" t="s">
        <v>12</v>
      </c>
      <c r="BF58" s="2" t="s">
        <v>13</v>
      </c>
      <c r="BG58" s="2" t="s">
        <v>14</v>
      </c>
    </row>
    <row r="59" spans="1:59" s="4" customFormat="1" ht="17.100000000000001" customHeight="1" x14ac:dyDescent="0.3">
      <c r="A59" s="5">
        <v>250040</v>
      </c>
      <c r="B59" s="5">
        <v>304</v>
      </c>
      <c r="C59" s="6">
        <v>0.6</v>
      </c>
      <c r="D59" s="6" t="s">
        <v>27</v>
      </c>
      <c r="E59" s="7" t="s">
        <v>176</v>
      </c>
      <c r="F59" s="5">
        <v>304</v>
      </c>
      <c r="G59" s="8">
        <v>2400</v>
      </c>
      <c r="H59" s="9">
        <v>2400</v>
      </c>
      <c r="I59" s="8">
        <f>G59-H59</f>
        <v>0</v>
      </c>
      <c r="K59" s="11">
        <v>250040</v>
      </c>
      <c r="L59" s="5">
        <v>304</v>
      </c>
      <c r="M59" s="6">
        <v>0.6</v>
      </c>
      <c r="N59" s="6" t="s">
        <v>27</v>
      </c>
      <c r="O59" s="7" t="s">
        <v>176</v>
      </c>
      <c r="P59" s="5">
        <v>304</v>
      </c>
      <c r="Q59" s="8">
        <v>800</v>
      </c>
      <c r="R59" s="9">
        <v>800</v>
      </c>
      <c r="S59" s="8">
        <f>Q59-R59</f>
        <v>0</v>
      </c>
      <c r="U59" s="5">
        <v>250040</v>
      </c>
      <c r="V59" s="5">
        <v>304</v>
      </c>
      <c r="W59" s="6">
        <v>0.6</v>
      </c>
      <c r="X59" s="6" t="s">
        <v>27</v>
      </c>
      <c r="Y59" s="7" t="s">
        <v>174</v>
      </c>
      <c r="Z59" s="5">
        <v>304</v>
      </c>
      <c r="AA59" s="8">
        <v>2000</v>
      </c>
      <c r="AB59" s="9">
        <v>2000</v>
      </c>
      <c r="AC59" s="8">
        <f>AA59-AB59</f>
        <v>0</v>
      </c>
      <c r="AE59" s="5">
        <v>250040</v>
      </c>
      <c r="AF59" s="5">
        <v>304</v>
      </c>
      <c r="AG59" s="6">
        <v>0.6</v>
      </c>
      <c r="AH59" s="6" t="s">
        <v>27</v>
      </c>
      <c r="AI59" s="7" t="s">
        <v>175</v>
      </c>
      <c r="AJ59" s="5">
        <v>304</v>
      </c>
      <c r="AK59" s="8">
        <v>1000</v>
      </c>
      <c r="AL59" s="9">
        <v>1000</v>
      </c>
      <c r="AM59" s="8">
        <f>AK59-AL59</f>
        <v>0</v>
      </c>
      <c r="AO59" s="5">
        <v>250041</v>
      </c>
      <c r="AP59" s="5">
        <v>304</v>
      </c>
      <c r="AQ59" s="6">
        <v>0.7</v>
      </c>
      <c r="AR59" s="6"/>
      <c r="AS59" s="7" t="s">
        <v>166</v>
      </c>
      <c r="AT59" s="5">
        <v>304</v>
      </c>
      <c r="AU59" s="8">
        <v>1000</v>
      </c>
      <c r="AV59" s="9">
        <v>1000</v>
      </c>
      <c r="AW59" s="8">
        <f>AU59-AV59</f>
        <v>0</v>
      </c>
      <c r="AY59" s="11">
        <v>250825</v>
      </c>
      <c r="AZ59" s="5">
        <v>430</v>
      </c>
      <c r="BA59" s="6">
        <v>0.8</v>
      </c>
      <c r="BB59" s="6"/>
      <c r="BC59" s="7" t="s">
        <v>231</v>
      </c>
      <c r="BD59" s="5">
        <v>430</v>
      </c>
      <c r="BE59" s="8">
        <v>3000</v>
      </c>
      <c r="BF59" s="9">
        <v>3000</v>
      </c>
      <c r="BG59" s="8">
        <f>BE59-BF59</f>
        <v>0</v>
      </c>
    </row>
    <row r="60" spans="1:59" s="4" customFormat="1" ht="17.100000000000001" customHeight="1" x14ac:dyDescent="0.3">
      <c r="A60" s="11">
        <v>250040</v>
      </c>
      <c r="B60" s="5">
        <v>304</v>
      </c>
      <c r="C60" s="6">
        <v>0.6</v>
      </c>
      <c r="D60" s="6" t="s">
        <v>27</v>
      </c>
      <c r="E60" s="7" t="s">
        <v>176</v>
      </c>
      <c r="F60" s="5">
        <v>304</v>
      </c>
      <c r="G60" s="8">
        <v>600</v>
      </c>
      <c r="H60" s="9">
        <v>600</v>
      </c>
      <c r="I60" s="8">
        <f t="shared" ref="I60:I64" si="30">G60-H60</f>
        <v>0</v>
      </c>
      <c r="K60" s="5">
        <v>250040</v>
      </c>
      <c r="L60" s="5">
        <v>304</v>
      </c>
      <c r="M60" s="6">
        <v>0.6</v>
      </c>
      <c r="N60" s="6" t="s">
        <v>27</v>
      </c>
      <c r="O60" s="7" t="s">
        <v>173</v>
      </c>
      <c r="P60" s="5">
        <v>304</v>
      </c>
      <c r="Q60" s="8">
        <v>2000</v>
      </c>
      <c r="R60" s="9">
        <v>2400</v>
      </c>
      <c r="S60" s="8">
        <f t="shared" ref="S60:S64" si="31">Q60-R60</f>
        <v>-400</v>
      </c>
      <c r="U60" s="5">
        <v>250040</v>
      </c>
      <c r="V60" s="5">
        <v>304</v>
      </c>
      <c r="W60" s="6">
        <v>0.6</v>
      </c>
      <c r="X60" s="6" t="s">
        <v>27</v>
      </c>
      <c r="Y60" s="7" t="s">
        <v>175</v>
      </c>
      <c r="Z60" s="5">
        <v>304</v>
      </c>
      <c r="AA60" s="8">
        <v>1000</v>
      </c>
      <c r="AB60" s="9">
        <v>1000</v>
      </c>
      <c r="AC60" s="8">
        <f t="shared" ref="AC60:AC64" si="32">AA60-AB60</f>
        <v>0</v>
      </c>
      <c r="AE60" s="5">
        <v>250041</v>
      </c>
      <c r="AF60" s="5">
        <v>304</v>
      </c>
      <c r="AG60" s="6">
        <v>0.6</v>
      </c>
      <c r="AH60" s="6" t="s">
        <v>41</v>
      </c>
      <c r="AI60" s="7" t="s">
        <v>164</v>
      </c>
      <c r="AJ60" s="5">
        <v>304</v>
      </c>
      <c r="AK60" s="8">
        <v>1000</v>
      </c>
      <c r="AL60" s="9">
        <v>1000</v>
      </c>
      <c r="AM60" s="8">
        <f t="shared" ref="AM60:AM64" si="33">AK60-AL60</f>
        <v>0</v>
      </c>
      <c r="AO60" s="5">
        <v>250041</v>
      </c>
      <c r="AP60" s="5">
        <v>304</v>
      </c>
      <c r="AQ60" s="6">
        <v>0.7</v>
      </c>
      <c r="AR60" s="6"/>
      <c r="AS60" s="7" t="s">
        <v>167</v>
      </c>
      <c r="AT60" s="5">
        <v>304</v>
      </c>
      <c r="AU60" s="8">
        <v>1000</v>
      </c>
      <c r="AV60" s="9">
        <v>1000</v>
      </c>
      <c r="AW60" s="8">
        <f t="shared" ref="AW60:AW64" si="34">AU60-AV60</f>
        <v>0</v>
      </c>
      <c r="AY60" s="5"/>
      <c r="AZ60" s="5"/>
      <c r="BA60" s="5"/>
      <c r="BB60" s="5"/>
      <c r="BC60" s="7"/>
      <c r="BD60" s="5"/>
      <c r="BE60" s="8"/>
      <c r="BF60" s="9"/>
      <c r="BG60" s="8">
        <f t="shared" ref="BG60:BG64" si="35">BE60-BF60</f>
        <v>0</v>
      </c>
    </row>
    <row r="61" spans="1:59" s="4" customFormat="1" ht="17.100000000000001" customHeight="1" x14ac:dyDescent="0.3">
      <c r="A61" s="5"/>
      <c r="B61" s="5"/>
      <c r="C61" s="6"/>
      <c r="D61" s="6"/>
      <c r="E61" s="7"/>
      <c r="F61" s="5"/>
      <c r="G61" s="8"/>
      <c r="H61" s="9"/>
      <c r="I61" s="8">
        <f t="shared" si="30"/>
        <v>0</v>
      </c>
      <c r="K61" s="5"/>
      <c r="L61" s="5"/>
      <c r="M61" s="6"/>
      <c r="N61" s="6"/>
      <c r="O61" s="7"/>
      <c r="P61" s="5"/>
      <c r="Q61" s="8"/>
      <c r="R61" s="9"/>
      <c r="S61" s="8">
        <f t="shared" si="31"/>
        <v>0</v>
      </c>
      <c r="U61" s="5"/>
      <c r="V61" s="5"/>
      <c r="W61" s="5"/>
      <c r="X61" s="5"/>
      <c r="Y61" s="7"/>
      <c r="Z61" s="5"/>
      <c r="AA61" s="8"/>
      <c r="AB61" s="9"/>
      <c r="AC61" s="8">
        <f t="shared" si="32"/>
        <v>0</v>
      </c>
      <c r="AE61" s="5">
        <v>250041</v>
      </c>
      <c r="AF61" s="5">
        <v>304</v>
      </c>
      <c r="AG61" s="6">
        <v>0.6</v>
      </c>
      <c r="AH61" s="6" t="s">
        <v>41</v>
      </c>
      <c r="AI61" s="7" t="s">
        <v>165</v>
      </c>
      <c r="AJ61" s="5">
        <v>304</v>
      </c>
      <c r="AK61" s="8">
        <v>1000</v>
      </c>
      <c r="AL61" s="9">
        <v>1000</v>
      </c>
      <c r="AM61" s="8">
        <f t="shared" si="33"/>
        <v>0</v>
      </c>
      <c r="AO61" s="5">
        <v>250041</v>
      </c>
      <c r="AP61" s="5">
        <v>304</v>
      </c>
      <c r="AQ61" s="6">
        <v>0.7</v>
      </c>
      <c r="AR61" s="6"/>
      <c r="AS61" s="7" t="s">
        <v>168</v>
      </c>
      <c r="AT61" s="5">
        <v>304</v>
      </c>
      <c r="AU61" s="8">
        <v>1000</v>
      </c>
      <c r="AV61" s="9">
        <v>1000</v>
      </c>
      <c r="AW61" s="8">
        <f t="shared" si="34"/>
        <v>0</v>
      </c>
      <c r="AY61" s="5"/>
      <c r="AZ61" s="5"/>
      <c r="BA61" s="5"/>
      <c r="BB61" s="5"/>
      <c r="BC61" s="7"/>
      <c r="BD61" s="5"/>
      <c r="BE61" s="8"/>
      <c r="BF61" s="9"/>
      <c r="BG61" s="8">
        <f t="shared" si="35"/>
        <v>0</v>
      </c>
    </row>
    <row r="62" spans="1:59" s="4" customFormat="1" ht="17.100000000000001" customHeight="1" x14ac:dyDescent="0.3">
      <c r="A62" s="5"/>
      <c r="B62" s="5"/>
      <c r="C62" s="6"/>
      <c r="D62" s="6"/>
      <c r="E62" s="7"/>
      <c r="F62" s="5"/>
      <c r="G62" s="8"/>
      <c r="H62" s="9"/>
      <c r="I62" s="8">
        <f t="shared" si="30"/>
        <v>0</v>
      </c>
      <c r="K62" s="5"/>
      <c r="L62" s="5"/>
      <c r="M62" s="6"/>
      <c r="N62" s="6"/>
      <c r="O62" s="7"/>
      <c r="P62" s="5"/>
      <c r="Q62" s="8"/>
      <c r="R62" s="9"/>
      <c r="S62" s="8">
        <f t="shared" si="31"/>
        <v>0</v>
      </c>
      <c r="U62" s="5"/>
      <c r="V62" s="5"/>
      <c r="W62" s="5"/>
      <c r="X62" s="5"/>
      <c r="Y62" s="7"/>
      <c r="Z62" s="5"/>
      <c r="AA62" s="8"/>
      <c r="AB62" s="9"/>
      <c r="AC62" s="8">
        <f t="shared" si="32"/>
        <v>0</v>
      </c>
      <c r="AE62" s="5"/>
      <c r="AF62" s="5"/>
      <c r="AG62" s="6"/>
      <c r="AH62" s="6"/>
      <c r="AI62" s="7"/>
      <c r="AJ62" s="5"/>
      <c r="AK62" s="8"/>
      <c r="AL62" s="9"/>
      <c r="AM62" s="8">
        <f t="shared" si="33"/>
        <v>0</v>
      </c>
      <c r="AO62" s="5"/>
      <c r="AP62" s="5"/>
      <c r="AQ62" s="6"/>
      <c r="AR62" s="6"/>
      <c r="AS62" s="7"/>
      <c r="AT62" s="5"/>
      <c r="AU62" s="8"/>
      <c r="AV62" s="9"/>
      <c r="AW62" s="8">
        <f t="shared" si="34"/>
        <v>0</v>
      </c>
      <c r="AY62" s="5"/>
      <c r="AZ62" s="5"/>
      <c r="BA62" s="5"/>
      <c r="BB62" s="5"/>
      <c r="BC62" s="7"/>
      <c r="BD62" s="5"/>
      <c r="BE62" s="8"/>
      <c r="BF62" s="9"/>
      <c r="BG62" s="8">
        <f t="shared" si="35"/>
        <v>0</v>
      </c>
    </row>
    <row r="63" spans="1:59" s="4" customFormat="1" ht="17.100000000000001" customHeight="1" x14ac:dyDescent="0.3">
      <c r="A63" s="5"/>
      <c r="B63" s="5"/>
      <c r="C63" s="6"/>
      <c r="D63" s="6"/>
      <c r="E63" s="7"/>
      <c r="F63" s="5"/>
      <c r="G63" s="8"/>
      <c r="H63" s="9"/>
      <c r="I63" s="8">
        <f t="shared" si="30"/>
        <v>0</v>
      </c>
      <c r="K63" s="5"/>
      <c r="L63" s="5"/>
      <c r="M63" s="6"/>
      <c r="N63" s="6"/>
      <c r="O63" s="7"/>
      <c r="P63" s="5"/>
      <c r="Q63" s="8"/>
      <c r="R63" s="9"/>
      <c r="S63" s="8">
        <f t="shared" si="31"/>
        <v>0</v>
      </c>
      <c r="U63" s="5"/>
      <c r="V63" s="5"/>
      <c r="W63" s="5"/>
      <c r="X63" s="5"/>
      <c r="Y63" s="7"/>
      <c r="Z63" s="5"/>
      <c r="AA63" s="8"/>
      <c r="AB63" s="9"/>
      <c r="AC63" s="8">
        <f t="shared" si="32"/>
        <v>0</v>
      </c>
      <c r="AE63" s="5"/>
      <c r="AF63" s="5"/>
      <c r="AG63" s="6"/>
      <c r="AH63" s="6"/>
      <c r="AI63" s="7"/>
      <c r="AJ63" s="5"/>
      <c r="AK63" s="8"/>
      <c r="AL63" s="9"/>
      <c r="AM63" s="8">
        <f t="shared" si="33"/>
        <v>0</v>
      </c>
      <c r="AO63" s="5"/>
      <c r="AP63" s="5"/>
      <c r="AQ63" s="6"/>
      <c r="AR63" s="6"/>
      <c r="AS63" s="7"/>
      <c r="AT63" s="5"/>
      <c r="AU63" s="8"/>
      <c r="AV63" s="9"/>
      <c r="AW63" s="8">
        <f t="shared" si="34"/>
        <v>0</v>
      </c>
      <c r="AY63" s="5"/>
      <c r="AZ63" s="5"/>
      <c r="BA63" s="5">
        <v>0</v>
      </c>
      <c r="BB63" s="5"/>
      <c r="BC63" s="7"/>
      <c r="BD63" s="5"/>
      <c r="BE63" s="8"/>
      <c r="BF63" s="9"/>
      <c r="BG63" s="8">
        <f t="shared" si="35"/>
        <v>0</v>
      </c>
    </row>
    <row r="64" spans="1:59" s="4" customFormat="1" ht="17.100000000000001" customHeight="1" x14ac:dyDescent="0.3">
      <c r="A64" s="5"/>
      <c r="B64" s="5"/>
      <c r="C64" s="5"/>
      <c r="D64" s="5"/>
      <c r="E64" s="7"/>
      <c r="F64" s="5"/>
      <c r="G64" s="8"/>
      <c r="H64" s="9"/>
      <c r="I64" s="8">
        <f t="shared" si="30"/>
        <v>0</v>
      </c>
      <c r="K64" s="5"/>
      <c r="L64" s="5"/>
      <c r="M64" s="5"/>
      <c r="N64" s="5"/>
      <c r="O64" s="7"/>
      <c r="P64" s="5"/>
      <c r="Q64" s="8"/>
      <c r="R64" s="9"/>
      <c r="S64" s="8">
        <f t="shared" si="31"/>
        <v>0</v>
      </c>
      <c r="U64" s="5"/>
      <c r="V64" s="5"/>
      <c r="W64" s="5"/>
      <c r="X64" s="5"/>
      <c r="Y64" s="7"/>
      <c r="Z64" s="5"/>
      <c r="AA64" s="8"/>
      <c r="AB64" s="9"/>
      <c r="AC64" s="8">
        <f t="shared" si="32"/>
        <v>0</v>
      </c>
      <c r="AE64" s="5"/>
      <c r="AF64" s="5"/>
      <c r="AG64" s="5"/>
      <c r="AH64" s="5"/>
      <c r="AI64" s="7"/>
      <c r="AJ64" s="5"/>
      <c r="AK64" s="8"/>
      <c r="AL64" s="9"/>
      <c r="AM64" s="8">
        <f t="shared" si="33"/>
        <v>0</v>
      </c>
      <c r="AO64" s="5"/>
      <c r="AP64" s="5"/>
      <c r="AQ64" s="5"/>
      <c r="AR64" s="5"/>
      <c r="AS64" s="7"/>
      <c r="AT64" s="5"/>
      <c r="AU64" s="8"/>
      <c r="AV64" s="9"/>
      <c r="AW64" s="8">
        <f t="shared" si="34"/>
        <v>0</v>
      </c>
      <c r="AY64" s="5"/>
      <c r="AZ64" s="5"/>
      <c r="BA64" s="5"/>
      <c r="BB64" s="5"/>
      <c r="BC64" s="7"/>
      <c r="BD64" s="5"/>
      <c r="BE64" s="8"/>
      <c r="BF64" s="9"/>
      <c r="BG64" s="8">
        <f t="shared" si="35"/>
        <v>0</v>
      </c>
    </row>
    <row r="65" spans="1:59" s="4" customFormat="1" ht="17.100000000000001" customHeight="1" x14ac:dyDescent="0.3">
      <c r="A65" s="5"/>
      <c r="B65" s="5"/>
      <c r="C65" s="5"/>
      <c r="D65" s="5"/>
      <c r="E65" s="7"/>
      <c r="F65" s="5"/>
      <c r="G65" s="8">
        <f>SUM(G59:G64)</f>
        <v>3000</v>
      </c>
      <c r="H65" s="9">
        <f>SUM(H59:H64)</f>
        <v>3000</v>
      </c>
      <c r="I65" s="8">
        <f>SUM(I59:I64)</f>
        <v>0</v>
      </c>
      <c r="K65" s="5"/>
      <c r="L65" s="5"/>
      <c r="M65" s="5"/>
      <c r="N65" s="5"/>
      <c r="O65" s="7"/>
      <c r="P65" s="5"/>
      <c r="Q65" s="8">
        <f>SUM(Q59:Q64)</f>
        <v>2800</v>
      </c>
      <c r="R65" s="9">
        <f>SUM(R59:R64)</f>
        <v>3200</v>
      </c>
      <c r="S65" s="8">
        <f>SUM(S59:S64)</f>
        <v>-400</v>
      </c>
      <c r="U65" s="5"/>
      <c r="V65" s="5"/>
      <c r="W65" s="5"/>
      <c r="X65" s="5"/>
      <c r="Y65" s="7"/>
      <c r="Z65" s="5"/>
      <c r="AA65" s="8">
        <f>SUM(AA59:AA64)</f>
        <v>3000</v>
      </c>
      <c r="AB65" s="9">
        <f>SUM(AB59:AB64)</f>
        <v>3000</v>
      </c>
      <c r="AC65" s="8">
        <f>SUM(AC59:AC64)</f>
        <v>0</v>
      </c>
      <c r="AE65" s="5"/>
      <c r="AF65" s="5"/>
      <c r="AG65" s="5"/>
      <c r="AH65" s="5"/>
      <c r="AI65" s="7"/>
      <c r="AJ65" s="5"/>
      <c r="AK65" s="8">
        <f>SUM(AK59:AK64)</f>
        <v>3000</v>
      </c>
      <c r="AL65" s="9">
        <f>SUM(AL59:AL64)</f>
        <v>3000</v>
      </c>
      <c r="AM65" s="8">
        <f>SUM(AM59:AM64)</f>
        <v>0</v>
      </c>
      <c r="AO65" s="5"/>
      <c r="AP65" s="5"/>
      <c r="AQ65" s="5"/>
      <c r="AR65" s="5"/>
      <c r="AS65" s="7"/>
      <c r="AT65" s="5"/>
      <c r="AU65" s="8">
        <f>SUM(AU59:AU64)</f>
        <v>3000</v>
      </c>
      <c r="AV65" s="9">
        <f>SUM(AV59:AV64)</f>
        <v>3000</v>
      </c>
      <c r="AW65" s="8">
        <f>SUM(AW59:AW64)</f>
        <v>0</v>
      </c>
      <c r="AY65" s="5"/>
      <c r="AZ65" s="5"/>
      <c r="BA65" s="5"/>
      <c r="BB65" s="5"/>
      <c r="BC65" s="7"/>
      <c r="BD65" s="5"/>
      <c r="BE65" s="8">
        <f>SUM(BE59:BE64)</f>
        <v>3000</v>
      </c>
      <c r="BF65" s="9">
        <f>SUM(BF59:BF64)</f>
        <v>3000</v>
      </c>
      <c r="BG65" s="8">
        <f>SUM(BG59:BG64)</f>
        <v>0</v>
      </c>
    </row>
    <row r="67" spans="1:59" ht="13.05" customHeight="1" x14ac:dyDescent="0.3">
      <c r="A67" s="91" t="s">
        <v>0</v>
      </c>
      <c r="B67" s="91"/>
      <c r="C67" s="91"/>
      <c r="D67" s="91"/>
      <c r="E67" s="91"/>
      <c r="F67" s="91"/>
      <c r="G67" s="91"/>
      <c r="H67" s="91"/>
      <c r="I67" s="91"/>
      <c r="K67" s="91" t="s">
        <v>1</v>
      </c>
      <c r="L67" s="91"/>
      <c r="M67" s="91"/>
      <c r="N67" s="91"/>
      <c r="O67" s="91"/>
      <c r="P67" s="91"/>
      <c r="Q67" s="91"/>
      <c r="R67" s="91"/>
      <c r="S67" s="91"/>
      <c r="U67" s="91" t="s">
        <v>2</v>
      </c>
      <c r="V67" s="91"/>
      <c r="W67" s="91"/>
      <c r="X67" s="91"/>
      <c r="Y67" s="91"/>
      <c r="Z67" s="91"/>
      <c r="AA67" s="91"/>
      <c r="AB67" s="91"/>
      <c r="AC67" s="91"/>
      <c r="AE67" s="91" t="s">
        <v>3</v>
      </c>
      <c r="AF67" s="91"/>
      <c r="AG67" s="91"/>
      <c r="AH67" s="91"/>
      <c r="AI67" s="91"/>
      <c r="AJ67" s="91"/>
      <c r="AK67" s="91"/>
      <c r="AL67" s="91"/>
      <c r="AM67" s="91"/>
      <c r="AO67" s="91" t="s">
        <v>4</v>
      </c>
      <c r="AP67" s="91"/>
      <c r="AQ67" s="91"/>
      <c r="AR67" s="91"/>
      <c r="AS67" s="91"/>
      <c r="AT67" s="91"/>
      <c r="AU67" s="91"/>
      <c r="AV67" s="91"/>
      <c r="AW67" s="91"/>
      <c r="AY67" s="91" t="s">
        <v>5</v>
      </c>
      <c r="AZ67" s="91"/>
      <c r="BA67" s="91"/>
      <c r="BB67" s="91"/>
      <c r="BC67" s="91"/>
      <c r="BD67" s="91"/>
      <c r="BE67" s="91"/>
      <c r="BF67" s="91"/>
      <c r="BG67" s="91"/>
    </row>
    <row r="68" spans="1:59" ht="13.05" customHeight="1" x14ac:dyDescent="0.3">
      <c r="A68" s="91" t="s">
        <v>22</v>
      </c>
      <c r="B68" s="91"/>
      <c r="C68" s="91"/>
      <c r="D68" s="91"/>
      <c r="E68" s="91"/>
      <c r="F68" s="91"/>
      <c r="G68" s="91"/>
      <c r="H68" s="91"/>
      <c r="I68" s="91"/>
      <c r="K68" s="91" t="s">
        <v>22</v>
      </c>
      <c r="L68" s="91"/>
      <c r="M68" s="91"/>
      <c r="N68" s="91"/>
      <c r="O68" s="91"/>
      <c r="P68" s="91"/>
      <c r="Q68" s="91"/>
      <c r="R68" s="91"/>
      <c r="S68" s="91"/>
      <c r="U68" s="91" t="s">
        <v>22</v>
      </c>
      <c r="V68" s="91"/>
      <c r="W68" s="91"/>
      <c r="X68" s="91"/>
      <c r="Y68" s="91"/>
      <c r="Z68" s="91"/>
      <c r="AA68" s="91"/>
      <c r="AB68" s="91"/>
      <c r="AC68" s="91"/>
      <c r="AE68" s="91" t="s">
        <v>22</v>
      </c>
      <c r="AF68" s="91"/>
      <c r="AG68" s="91"/>
      <c r="AH68" s="91"/>
      <c r="AI68" s="91"/>
      <c r="AJ68" s="91"/>
      <c r="AK68" s="91"/>
      <c r="AL68" s="91"/>
      <c r="AM68" s="91"/>
      <c r="AO68" s="91" t="s">
        <v>22</v>
      </c>
      <c r="AP68" s="91"/>
      <c r="AQ68" s="91"/>
      <c r="AR68" s="91"/>
      <c r="AS68" s="91"/>
      <c r="AT68" s="91"/>
      <c r="AU68" s="91"/>
      <c r="AV68" s="91"/>
      <c r="AW68" s="91"/>
      <c r="AY68" s="91" t="s">
        <v>22</v>
      </c>
      <c r="AZ68" s="91"/>
      <c r="BA68" s="91"/>
      <c r="BB68" s="91"/>
      <c r="BC68" s="91"/>
      <c r="BD68" s="91"/>
      <c r="BE68" s="91"/>
      <c r="BF68" s="91"/>
      <c r="BG68" s="91"/>
    </row>
    <row r="69" spans="1:59" s="4" customFormat="1" ht="20.100000000000001" customHeight="1" x14ac:dyDescent="0.3">
      <c r="A69" s="2" t="s">
        <v>7</v>
      </c>
      <c r="B69" s="2" t="s">
        <v>8</v>
      </c>
      <c r="C69" s="3" t="s">
        <v>9</v>
      </c>
      <c r="D69" s="3" t="s">
        <v>24</v>
      </c>
      <c r="E69" s="2" t="s">
        <v>10</v>
      </c>
      <c r="F69" s="2" t="s">
        <v>11</v>
      </c>
      <c r="G69" s="2" t="s">
        <v>12</v>
      </c>
      <c r="H69" s="2" t="s">
        <v>13</v>
      </c>
      <c r="I69" s="2" t="s">
        <v>14</v>
      </c>
      <c r="K69" s="2" t="s">
        <v>7</v>
      </c>
      <c r="L69" s="2" t="s">
        <v>8</v>
      </c>
      <c r="M69" s="3" t="s">
        <v>9</v>
      </c>
      <c r="N69" s="3" t="s">
        <v>24</v>
      </c>
      <c r="O69" s="2" t="s">
        <v>10</v>
      </c>
      <c r="P69" s="2" t="s">
        <v>11</v>
      </c>
      <c r="Q69" s="2" t="s">
        <v>12</v>
      </c>
      <c r="R69" s="2" t="s">
        <v>13</v>
      </c>
      <c r="S69" s="2" t="s">
        <v>14</v>
      </c>
      <c r="U69" s="2" t="s">
        <v>7</v>
      </c>
      <c r="V69" s="2" t="s">
        <v>8</v>
      </c>
      <c r="W69" s="3" t="s">
        <v>9</v>
      </c>
      <c r="X69" s="3" t="s">
        <v>24</v>
      </c>
      <c r="Y69" s="2" t="s">
        <v>10</v>
      </c>
      <c r="Z69" s="2" t="s">
        <v>11</v>
      </c>
      <c r="AA69" s="2" t="s">
        <v>12</v>
      </c>
      <c r="AB69" s="2" t="s">
        <v>13</v>
      </c>
      <c r="AC69" s="2" t="s">
        <v>14</v>
      </c>
      <c r="AE69" s="2" t="s">
        <v>7</v>
      </c>
      <c r="AF69" s="2" t="s">
        <v>8</v>
      </c>
      <c r="AG69" s="3" t="s">
        <v>9</v>
      </c>
      <c r="AH69" s="3" t="s">
        <v>24</v>
      </c>
      <c r="AI69" s="2" t="s">
        <v>10</v>
      </c>
      <c r="AJ69" s="2" t="s">
        <v>11</v>
      </c>
      <c r="AK69" s="2" t="s">
        <v>12</v>
      </c>
      <c r="AL69" s="2" t="s">
        <v>13</v>
      </c>
      <c r="AM69" s="2" t="s">
        <v>14</v>
      </c>
      <c r="AO69" s="2" t="s">
        <v>7</v>
      </c>
      <c r="AP69" s="2" t="s">
        <v>8</v>
      </c>
      <c r="AQ69" s="3" t="s">
        <v>9</v>
      </c>
      <c r="AR69" s="3" t="s">
        <v>24</v>
      </c>
      <c r="AS69" s="2" t="s">
        <v>10</v>
      </c>
      <c r="AT69" s="2" t="s">
        <v>11</v>
      </c>
      <c r="AU69" s="2" t="s">
        <v>12</v>
      </c>
      <c r="AV69" s="2" t="s">
        <v>13</v>
      </c>
      <c r="AW69" s="2" t="s">
        <v>14</v>
      </c>
      <c r="AY69" s="2" t="s">
        <v>7</v>
      </c>
      <c r="AZ69" s="2" t="s">
        <v>8</v>
      </c>
      <c r="BA69" s="3" t="s">
        <v>9</v>
      </c>
      <c r="BB69" s="3" t="s">
        <v>24</v>
      </c>
      <c r="BC69" s="2" t="s">
        <v>10</v>
      </c>
      <c r="BD69" s="2" t="s">
        <v>11</v>
      </c>
      <c r="BE69" s="2" t="s">
        <v>12</v>
      </c>
      <c r="BF69" s="2" t="s">
        <v>13</v>
      </c>
      <c r="BG69" s="2" t="s">
        <v>14</v>
      </c>
    </row>
    <row r="70" spans="1:59" s="4" customFormat="1" ht="17.100000000000001" customHeight="1" x14ac:dyDescent="0.3">
      <c r="A70" s="5">
        <v>90725</v>
      </c>
      <c r="B70" s="5">
        <v>304</v>
      </c>
      <c r="C70" s="6">
        <v>0.9</v>
      </c>
      <c r="D70" s="6" t="s">
        <v>25</v>
      </c>
      <c r="E70" s="7" t="s">
        <v>229</v>
      </c>
      <c r="F70" s="5">
        <v>304</v>
      </c>
      <c r="G70" s="8">
        <v>3100</v>
      </c>
      <c r="H70" s="9">
        <f>200+400+400+400+400+375+400+400+125</f>
        <v>3100</v>
      </c>
      <c r="I70" s="8">
        <f>G70-H70</f>
        <v>0</v>
      </c>
      <c r="K70" s="5"/>
      <c r="L70" s="5"/>
      <c r="M70" s="6"/>
      <c r="N70" s="6"/>
      <c r="O70" s="7"/>
      <c r="P70" s="5"/>
      <c r="Q70" s="8"/>
      <c r="R70" s="9"/>
      <c r="S70" s="8">
        <f>Q70-R70</f>
        <v>0</v>
      </c>
      <c r="U70" s="5"/>
      <c r="V70" s="5"/>
      <c r="W70" s="6"/>
      <c r="X70" s="6"/>
      <c r="Y70" s="7"/>
      <c r="Z70" s="5"/>
      <c r="AA70" s="8"/>
      <c r="AB70" s="9"/>
      <c r="AC70" s="8">
        <f>AA70-AB70</f>
        <v>0</v>
      </c>
      <c r="AE70" s="5"/>
      <c r="AF70" s="5"/>
      <c r="AG70" s="6"/>
      <c r="AH70" s="6"/>
      <c r="AI70" s="7"/>
      <c r="AJ70" s="5"/>
      <c r="AK70" s="8"/>
      <c r="AL70" s="9"/>
      <c r="AM70" s="8">
        <f>AK70-AL70</f>
        <v>0</v>
      </c>
      <c r="AO70" s="5"/>
      <c r="AP70" s="5"/>
      <c r="AQ70" s="6"/>
      <c r="AR70" s="6"/>
      <c r="AS70" s="7"/>
      <c r="AT70" s="5"/>
      <c r="AU70" s="8"/>
      <c r="AV70" s="9"/>
      <c r="AW70" s="8">
        <f>AU70-AV70</f>
        <v>0</v>
      </c>
      <c r="AY70" s="5"/>
      <c r="AZ70" s="5"/>
      <c r="BA70" s="6"/>
      <c r="BB70" s="6"/>
      <c r="BC70" s="7"/>
      <c r="BD70" s="5"/>
      <c r="BE70" s="8"/>
      <c r="BF70" s="9"/>
      <c r="BG70" s="8">
        <f>BE70-BF70</f>
        <v>0</v>
      </c>
    </row>
    <row r="71" spans="1:59" s="4" customFormat="1" ht="17.100000000000001" customHeight="1" x14ac:dyDescent="0.3">
      <c r="A71" s="5"/>
      <c r="B71" s="5"/>
      <c r="C71" s="5"/>
      <c r="D71" s="5"/>
      <c r="E71" s="7"/>
      <c r="F71" s="5"/>
      <c r="G71" s="8"/>
      <c r="H71" s="9"/>
      <c r="I71" s="8">
        <f t="shared" ref="I71:I75" si="36">G71-H71</f>
        <v>0</v>
      </c>
      <c r="K71" s="5"/>
      <c r="L71" s="5"/>
      <c r="M71" s="6"/>
      <c r="N71" s="6"/>
      <c r="O71" s="7"/>
      <c r="P71" s="5"/>
      <c r="Q71" s="8"/>
      <c r="R71" s="9"/>
      <c r="S71" s="8">
        <f t="shared" ref="S71:S75" si="37">Q71-R71</f>
        <v>0</v>
      </c>
      <c r="U71" s="5"/>
      <c r="V71" s="5"/>
      <c r="W71" s="6"/>
      <c r="X71" s="6"/>
      <c r="Y71" s="7"/>
      <c r="Z71" s="5"/>
      <c r="AA71" s="8"/>
      <c r="AB71" s="9"/>
      <c r="AC71" s="8">
        <f t="shared" ref="AC71:AC75" si="38">AA71-AB71</f>
        <v>0</v>
      </c>
      <c r="AE71" s="5"/>
      <c r="AF71" s="5"/>
      <c r="AG71" s="6"/>
      <c r="AH71" s="6"/>
      <c r="AI71" s="7"/>
      <c r="AJ71" s="5"/>
      <c r="AK71" s="8"/>
      <c r="AL71" s="9"/>
      <c r="AM71" s="8">
        <f t="shared" ref="AM71:AM75" si="39">AK71-AL71</f>
        <v>0</v>
      </c>
      <c r="AO71" s="5"/>
      <c r="AP71" s="5"/>
      <c r="AQ71" s="6"/>
      <c r="AR71" s="6"/>
      <c r="AS71" s="7"/>
      <c r="AT71" s="5"/>
      <c r="AU71" s="8"/>
      <c r="AV71" s="9"/>
      <c r="AW71" s="8">
        <f t="shared" ref="AW71:AW75" si="40">AU71-AV71</f>
        <v>0</v>
      </c>
      <c r="AY71" s="5"/>
      <c r="AZ71" s="5"/>
      <c r="BA71" s="6"/>
      <c r="BB71" s="6"/>
      <c r="BC71" s="7"/>
      <c r="BD71" s="5"/>
      <c r="BE71" s="8"/>
      <c r="BF71" s="9"/>
      <c r="BG71" s="8">
        <f t="shared" ref="BG71:BG75" si="41">BE71-BF71</f>
        <v>0</v>
      </c>
    </row>
    <row r="72" spans="1:59" s="4" customFormat="1" ht="17.100000000000001" customHeight="1" x14ac:dyDescent="0.3">
      <c r="A72" s="5">
        <v>90725</v>
      </c>
      <c r="B72" s="5">
        <v>304</v>
      </c>
      <c r="C72" s="5">
        <v>0.6</v>
      </c>
      <c r="D72" s="5" t="s">
        <v>27</v>
      </c>
      <c r="E72" s="7" t="s">
        <v>33</v>
      </c>
      <c r="F72" s="5" t="s">
        <v>29</v>
      </c>
      <c r="G72" s="8">
        <v>3000</v>
      </c>
      <c r="H72" s="9"/>
      <c r="I72" s="8">
        <f t="shared" si="36"/>
        <v>3000</v>
      </c>
      <c r="K72" s="5"/>
      <c r="L72" s="5"/>
      <c r="M72" s="6"/>
      <c r="N72" s="6"/>
      <c r="O72" s="7"/>
      <c r="P72" s="5"/>
      <c r="Q72" s="8"/>
      <c r="R72" s="9"/>
      <c r="S72" s="8">
        <f t="shared" si="37"/>
        <v>0</v>
      </c>
      <c r="U72" s="5"/>
      <c r="V72" s="5"/>
      <c r="W72" s="6"/>
      <c r="X72" s="6"/>
      <c r="Y72" s="7"/>
      <c r="Z72" s="5"/>
      <c r="AA72" s="8"/>
      <c r="AB72" s="9"/>
      <c r="AC72" s="8">
        <f t="shared" si="38"/>
        <v>0</v>
      </c>
      <c r="AE72" s="5"/>
      <c r="AF72" s="5"/>
      <c r="AG72" s="6"/>
      <c r="AH72" s="6"/>
      <c r="AI72" s="7"/>
      <c r="AJ72" s="5"/>
      <c r="AK72" s="8"/>
      <c r="AL72" s="9"/>
      <c r="AM72" s="8">
        <f t="shared" si="39"/>
        <v>0</v>
      </c>
      <c r="AO72" s="5"/>
      <c r="AP72" s="5"/>
      <c r="AQ72" s="6"/>
      <c r="AR72" s="6"/>
      <c r="AS72" s="7"/>
      <c r="AT72" s="5"/>
      <c r="AU72" s="8"/>
      <c r="AV72" s="9"/>
      <c r="AW72" s="8">
        <f t="shared" si="40"/>
        <v>0</v>
      </c>
      <c r="AY72" s="5"/>
      <c r="AZ72" s="5"/>
      <c r="BA72" s="6"/>
      <c r="BB72" s="6"/>
      <c r="BC72" s="7"/>
      <c r="BD72" s="5"/>
      <c r="BE72" s="8"/>
      <c r="BF72" s="9"/>
      <c r="BG72" s="8">
        <f t="shared" si="41"/>
        <v>0</v>
      </c>
    </row>
    <row r="73" spans="1:59" s="4" customFormat="1" ht="17.100000000000001" customHeight="1" x14ac:dyDescent="0.3">
      <c r="A73" s="5">
        <v>90725</v>
      </c>
      <c r="B73" s="5">
        <v>304</v>
      </c>
      <c r="C73" s="5">
        <v>0.6</v>
      </c>
      <c r="D73" s="5" t="s">
        <v>34</v>
      </c>
      <c r="E73" s="7" t="s">
        <v>35</v>
      </c>
      <c r="F73" s="5" t="s">
        <v>29</v>
      </c>
      <c r="G73" s="8">
        <v>3000</v>
      </c>
      <c r="H73" s="9"/>
      <c r="I73" s="8">
        <f t="shared" si="36"/>
        <v>3000</v>
      </c>
      <c r="K73" s="5"/>
      <c r="L73" s="5"/>
      <c r="M73" s="6"/>
      <c r="N73" s="6"/>
      <c r="O73" s="7"/>
      <c r="P73" s="5"/>
      <c r="Q73" s="8"/>
      <c r="R73" s="9"/>
      <c r="S73" s="8">
        <f t="shared" si="37"/>
        <v>0</v>
      </c>
      <c r="U73" s="5"/>
      <c r="V73" s="5"/>
      <c r="W73" s="6"/>
      <c r="X73" s="6"/>
      <c r="Y73" s="7"/>
      <c r="Z73" s="5"/>
      <c r="AA73" s="8"/>
      <c r="AB73" s="9"/>
      <c r="AC73" s="8">
        <f t="shared" si="38"/>
        <v>0</v>
      </c>
      <c r="AE73" s="5"/>
      <c r="AF73" s="5"/>
      <c r="AG73" s="6"/>
      <c r="AH73" s="6"/>
      <c r="AI73" s="7"/>
      <c r="AJ73" s="5"/>
      <c r="AK73" s="8"/>
      <c r="AL73" s="9"/>
      <c r="AM73" s="8">
        <f t="shared" si="39"/>
        <v>0</v>
      </c>
      <c r="AO73" s="5"/>
      <c r="AP73" s="5"/>
      <c r="AQ73" s="6"/>
      <c r="AR73" s="6"/>
      <c r="AS73" s="7"/>
      <c r="AT73" s="5"/>
      <c r="AU73" s="8"/>
      <c r="AV73" s="9"/>
      <c r="AW73" s="8">
        <f t="shared" si="40"/>
        <v>0</v>
      </c>
      <c r="AY73" s="5"/>
      <c r="AZ73" s="5"/>
      <c r="BA73" s="6"/>
      <c r="BB73" s="6"/>
      <c r="BC73" s="7"/>
      <c r="BD73" s="5"/>
      <c r="BE73" s="8"/>
      <c r="BF73" s="9"/>
      <c r="BG73" s="8">
        <f t="shared" si="41"/>
        <v>0</v>
      </c>
    </row>
    <row r="74" spans="1:59" s="4" customFormat="1" ht="17.100000000000001" customHeight="1" x14ac:dyDescent="0.3">
      <c r="A74" s="5"/>
      <c r="B74" s="5"/>
      <c r="C74" s="5"/>
      <c r="D74" s="5"/>
      <c r="E74" s="7"/>
      <c r="F74" s="5"/>
      <c r="G74" s="8"/>
      <c r="H74" s="9"/>
      <c r="I74" s="8">
        <f t="shared" si="36"/>
        <v>0</v>
      </c>
      <c r="K74" s="5"/>
      <c r="L74" s="5"/>
      <c r="M74" s="6"/>
      <c r="N74" s="6"/>
      <c r="O74" s="7"/>
      <c r="P74" s="5"/>
      <c r="Q74" s="8"/>
      <c r="R74" s="9"/>
      <c r="S74" s="8">
        <f t="shared" si="37"/>
        <v>0</v>
      </c>
      <c r="U74" s="5"/>
      <c r="V74" s="5"/>
      <c r="W74" s="6"/>
      <c r="X74" s="6"/>
      <c r="Y74" s="7"/>
      <c r="Z74" s="5"/>
      <c r="AA74" s="8"/>
      <c r="AB74" s="9"/>
      <c r="AC74" s="8">
        <f t="shared" si="38"/>
        <v>0</v>
      </c>
      <c r="AE74" s="5"/>
      <c r="AF74" s="5"/>
      <c r="AG74" s="6"/>
      <c r="AH74" s="6"/>
      <c r="AI74" s="7"/>
      <c r="AJ74" s="5"/>
      <c r="AK74" s="8"/>
      <c r="AL74" s="9"/>
      <c r="AM74" s="8">
        <f t="shared" si="39"/>
        <v>0</v>
      </c>
      <c r="AO74" s="5"/>
      <c r="AP74" s="5"/>
      <c r="AQ74" s="6"/>
      <c r="AR74" s="6"/>
      <c r="AS74" s="7"/>
      <c r="AT74" s="5"/>
      <c r="AU74" s="8"/>
      <c r="AV74" s="9"/>
      <c r="AW74" s="8">
        <f t="shared" si="40"/>
        <v>0</v>
      </c>
      <c r="AY74" s="5"/>
      <c r="AZ74" s="5"/>
      <c r="BA74" s="6"/>
      <c r="BB74" s="6"/>
      <c r="BC74" s="7"/>
      <c r="BD74" s="5"/>
      <c r="BE74" s="8"/>
      <c r="BF74" s="9"/>
      <c r="BG74" s="8">
        <f t="shared" si="41"/>
        <v>0</v>
      </c>
    </row>
    <row r="75" spans="1:59" s="4" customFormat="1" ht="17.100000000000001" customHeight="1" x14ac:dyDescent="0.3">
      <c r="A75" s="5"/>
      <c r="B75" s="5"/>
      <c r="C75" s="5"/>
      <c r="D75" s="5"/>
      <c r="E75" s="7"/>
      <c r="F75" s="5"/>
      <c r="G75" s="8"/>
      <c r="H75" s="9"/>
      <c r="I75" s="8">
        <f t="shared" si="36"/>
        <v>0</v>
      </c>
      <c r="K75" s="5"/>
      <c r="L75" s="5"/>
      <c r="M75" s="6"/>
      <c r="N75" s="6"/>
      <c r="O75" s="7"/>
      <c r="P75" s="5"/>
      <c r="Q75" s="8"/>
      <c r="R75" s="9"/>
      <c r="S75" s="8">
        <f t="shared" si="37"/>
        <v>0</v>
      </c>
      <c r="U75" s="5"/>
      <c r="V75" s="5"/>
      <c r="W75" s="6"/>
      <c r="X75" s="6"/>
      <c r="Y75" s="7"/>
      <c r="Z75" s="5"/>
      <c r="AA75" s="8"/>
      <c r="AB75" s="9"/>
      <c r="AC75" s="8">
        <f t="shared" si="38"/>
        <v>0</v>
      </c>
      <c r="AE75" s="5"/>
      <c r="AF75" s="5"/>
      <c r="AG75" s="6"/>
      <c r="AH75" s="6"/>
      <c r="AI75" s="7"/>
      <c r="AJ75" s="5"/>
      <c r="AK75" s="8"/>
      <c r="AL75" s="9"/>
      <c r="AM75" s="8">
        <f t="shared" si="39"/>
        <v>0</v>
      </c>
      <c r="AO75" s="5"/>
      <c r="AP75" s="5"/>
      <c r="AQ75" s="6"/>
      <c r="AR75" s="6"/>
      <c r="AS75" s="7"/>
      <c r="AT75" s="5"/>
      <c r="AU75" s="8"/>
      <c r="AV75" s="9"/>
      <c r="AW75" s="8">
        <f t="shared" si="40"/>
        <v>0</v>
      </c>
      <c r="AY75" s="5"/>
      <c r="AZ75" s="5"/>
      <c r="BA75" s="6"/>
      <c r="BB75" s="6"/>
      <c r="BC75" s="7"/>
      <c r="BD75" s="5"/>
      <c r="BE75" s="8"/>
      <c r="BF75" s="9"/>
      <c r="BG75" s="8">
        <f t="shared" si="41"/>
        <v>0</v>
      </c>
    </row>
    <row r="76" spans="1:59" s="4" customFormat="1" ht="17.100000000000001" customHeight="1" x14ac:dyDescent="0.3">
      <c r="A76" s="5"/>
      <c r="B76" s="5"/>
      <c r="C76" s="5"/>
      <c r="D76" s="5"/>
      <c r="E76" s="7"/>
      <c r="F76" s="5"/>
      <c r="G76" s="8">
        <f>SUM(G70:G75)</f>
        <v>9100</v>
      </c>
      <c r="H76" s="9">
        <f>SUM(H70:H75)</f>
        <v>3100</v>
      </c>
      <c r="I76" s="8">
        <f>SUM(I70:I75)</f>
        <v>6000</v>
      </c>
      <c r="K76" s="5"/>
      <c r="L76" s="5"/>
      <c r="M76" s="5"/>
      <c r="N76" s="5"/>
      <c r="O76" s="7"/>
      <c r="P76" s="5"/>
      <c r="Q76" s="8"/>
      <c r="R76" s="9"/>
      <c r="S76" s="8">
        <f>SUM(S70:S75)</f>
        <v>0</v>
      </c>
      <c r="U76" s="5"/>
      <c r="V76" s="5"/>
      <c r="W76" s="5"/>
      <c r="X76" s="5"/>
      <c r="Y76" s="7"/>
      <c r="Z76" s="5"/>
      <c r="AA76" s="8">
        <f>SUM(AA70:AA75)</f>
        <v>0</v>
      </c>
      <c r="AB76" s="9">
        <f>SUM(AB70:AB75)</f>
        <v>0</v>
      </c>
      <c r="AC76" s="8">
        <f>SUM(AC70:AC75)</f>
        <v>0</v>
      </c>
      <c r="AE76" s="5"/>
      <c r="AF76" s="5"/>
      <c r="AG76" s="5"/>
      <c r="AH76" s="5"/>
      <c r="AI76" s="7"/>
      <c r="AJ76" s="5"/>
      <c r="AK76" s="8">
        <f>SUM(AK70:AK75)</f>
        <v>0</v>
      </c>
      <c r="AL76" s="9">
        <f>SUM(AL70:AL75)</f>
        <v>0</v>
      </c>
      <c r="AM76" s="8">
        <f>SUM(AM70:AM75)</f>
        <v>0</v>
      </c>
      <c r="AO76" s="5"/>
      <c r="AP76" s="5"/>
      <c r="AQ76" s="5"/>
      <c r="AR76" s="5"/>
      <c r="AS76" s="7"/>
      <c r="AT76" s="5"/>
      <c r="AU76" s="8">
        <f>SUM(AU70:AU75)</f>
        <v>0</v>
      </c>
      <c r="AV76" s="9">
        <f>SUM(AV70:AV75)</f>
        <v>0</v>
      </c>
      <c r="AW76" s="8">
        <f>SUM(AW70:AW75)</f>
        <v>0</v>
      </c>
      <c r="AY76" s="5"/>
      <c r="AZ76" s="5"/>
      <c r="BA76" s="5"/>
      <c r="BB76" s="5"/>
      <c r="BC76" s="7"/>
      <c r="BD76" s="5"/>
      <c r="BE76" s="8">
        <f>SUM(BE70:BE75)</f>
        <v>0</v>
      </c>
      <c r="BF76" s="9">
        <f>SUM(BF70:BF75)</f>
        <v>0</v>
      </c>
      <c r="BG76" s="8">
        <f>SUM(BG70:BG75)</f>
        <v>0</v>
      </c>
    </row>
    <row r="140" spans="116:116" x14ac:dyDescent="0.3">
      <c r="DL140" t="s">
        <v>274</v>
      </c>
    </row>
    <row r="1811" spans="116:116" x14ac:dyDescent="0.3">
      <c r="DL1811" t="s">
        <v>275</v>
      </c>
    </row>
  </sheetData>
  <mergeCells count="84">
    <mergeCell ref="AY68:BG68"/>
    <mergeCell ref="A67:I67"/>
    <mergeCell ref="K67:S67"/>
    <mergeCell ref="U67:AC67"/>
    <mergeCell ref="AE67:AM67"/>
    <mergeCell ref="AO67:AW67"/>
    <mergeCell ref="AY67:BG67"/>
    <mergeCell ref="A68:I68"/>
    <mergeCell ref="K68:S68"/>
    <mergeCell ref="U68:AC68"/>
    <mergeCell ref="AE68:AM68"/>
    <mergeCell ref="AO68:AW68"/>
    <mergeCell ref="AY57:BG57"/>
    <mergeCell ref="A56:I56"/>
    <mergeCell ref="K56:S56"/>
    <mergeCell ref="U56:AC56"/>
    <mergeCell ref="AE56:AM56"/>
    <mergeCell ref="AO56:AW56"/>
    <mergeCell ref="AY56:BG56"/>
    <mergeCell ref="A57:I57"/>
    <mergeCell ref="K57:S57"/>
    <mergeCell ref="U57:AC57"/>
    <mergeCell ref="AE57:AM57"/>
    <mergeCell ref="AO57:AW57"/>
    <mergeCell ref="AY46:BG46"/>
    <mergeCell ref="A45:I45"/>
    <mergeCell ref="K45:S45"/>
    <mergeCell ref="U45:AC45"/>
    <mergeCell ref="AE45:AM45"/>
    <mergeCell ref="AO45:AW45"/>
    <mergeCell ref="AY45:BG45"/>
    <mergeCell ref="A46:I46"/>
    <mergeCell ref="K46:S46"/>
    <mergeCell ref="U46:AC46"/>
    <mergeCell ref="AE46:AM46"/>
    <mergeCell ref="AO46:AW46"/>
    <mergeCell ref="AY35:BG35"/>
    <mergeCell ref="A34:I34"/>
    <mergeCell ref="K34:S34"/>
    <mergeCell ref="U34:AC34"/>
    <mergeCell ref="AE34:AM34"/>
    <mergeCell ref="AO34:AW34"/>
    <mergeCell ref="AY34:BG34"/>
    <mergeCell ref="A35:I35"/>
    <mergeCell ref="K35:S35"/>
    <mergeCell ref="U35:AC35"/>
    <mergeCell ref="AE35:AM35"/>
    <mergeCell ref="AO35:AW35"/>
    <mergeCell ref="AY24:BG24"/>
    <mergeCell ref="A23:I23"/>
    <mergeCell ref="K23:S23"/>
    <mergeCell ref="U23:AC23"/>
    <mergeCell ref="AE23:AM23"/>
    <mergeCell ref="AO23:AW23"/>
    <mergeCell ref="AY23:BG23"/>
    <mergeCell ref="A24:I24"/>
    <mergeCell ref="K24:S24"/>
    <mergeCell ref="U24:AC24"/>
    <mergeCell ref="AE24:AM24"/>
    <mergeCell ref="AO24:AW24"/>
    <mergeCell ref="AY13:BG13"/>
    <mergeCell ref="A12:I12"/>
    <mergeCell ref="K12:S12"/>
    <mergeCell ref="U12:AC12"/>
    <mergeCell ref="AE12:AM12"/>
    <mergeCell ref="AO12:AW12"/>
    <mergeCell ref="AY12:BG12"/>
    <mergeCell ref="A13:I13"/>
    <mergeCell ref="K13:S13"/>
    <mergeCell ref="U13:AC13"/>
    <mergeCell ref="AE13:AM13"/>
    <mergeCell ref="AO13:AW13"/>
    <mergeCell ref="AY2:BG2"/>
    <mergeCell ref="A1:I1"/>
    <mergeCell ref="K1:S1"/>
    <mergeCell ref="U1:AC1"/>
    <mergeCell ref="AE1:AM1"/>
    <mergeCell ref="AO1:AW1"/>
    <mergeCell ref="AY1:BG1"/>
    <mergeCell ref="A2:I2"/>
    <mergeCell ref="K2:S2"/>
    <mergeCell ref="U2:AC2"/>
    <mergeCell ref="AE2:AM2"/>
    <mergeCell ref="AO2:AW2"/>
  </mergeCells>
  <printOptions horizontalCentered="1" verticalCentered="1"/>
  <pageMargins left="0.19685039370078741" right="0.19685039370078741" top="0.19685039370078741" bottom="0.19685039370078741" header="0.39370078740157483" footer="0.39370078740157483"/>
  <pageSetup paperSize="9"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C40" zoomScale="70" zoomScaleNormal="70" workbookViewId="0">
      <selection activeCell="BA52" sqref="BA52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1" customWidth="1"/>
    <col min="29" max="32" width="8.21875" style="1" customWidth="1"/>
    <col min="33" max="33" width="1.77734375" customWidth="1"/>
    <col min="34" max="34" width="8.5546875" style="1" customWidth="1"/>
    <col min="35" max="35" width="7.5546875" style="1" customWidth="1"/>
    <col min="36" max="36" width="8.5546875" style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222</v>
      </c>
      <c r="AD2" s="84"/>
      <c r="AE2" s="87" t="s">
        <v>26</v>
      </c>
      <c r="AF2" s="88"/>
      <c r="BJ2" s="83" t="s">
        <v>324</v>
      </c>
      <c r="BK2" s="84"/>
      <c r="BL2" s="87" t="s">
        <v>325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24"/>
      <c r="AV8" s="24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24"/>
      <c r="BG8" s="24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24"/>
      <c r="O9" s="24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24"/>
      <c r="AV9" s="24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24"/>
      <c r="BG9" s="24"/>
      <c r="BH9" s="29"/>
      <c r="BI9" s="29"/>
      <c r="BJ9" s="24"/>
      <c r="BK9" s="26"/>
      <c r="BL9" s="27"/>
      <c r="BM9" s="26">
        <f t="shared" si="5"/>
        <v>0</v>
      </c>
    </row>
    <row r="10" spans="1:65" s="54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53"/>
      <c r="J10" s="46">
        <f t="shared" si="0"/>
        <v>0</v>
      </c>
      <c r="L10" s="44"/>
      <c r="M10" s="44"/>
      <c r="N10" s="44"/>
      <c r="O10" s="44"/>
      <c r="P10" s="32"/>
      <c r="Q10" s="29"/>
      <c r="R10" s="44"/>
      <c r="S10" s="46"/>
      <c r="T10" s="53"/>
      <c r="U10" s="4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53"/>
      <c r="AF10" s="46">
        <f t="shared" si="2"/>
        <v>0</v>
      </c>
      <c r="AH10" s="24"/>
      <c r="AI10" s="24"/>
      <c r="AJ10" s="31"/>
      <c r="AK10" s="31"/>
      <c r="AL10" s="29"/>
      <c r="AM10" s="29"/>
      <c r="AN10" s="24"/>
      <c r="AO10" s="26"/>
      <c r="AP10" s="53"/>
      <c r="AQ10" s="46">
        <f t="shared" si="3"/>
        <v>0</v>
      </c>
      <c r="AS10" s="44"/>
      <c r="AT10" s="44"/>
      <c r="AU10" s="44"/>
      <c r="AV10" s="44"/>
      <c r="AW10" s="32"/>
      <c r="AX10" s="29"/>
      <c r="AY10" s="44"/>
      <c r="AZ10" s="46"/>
      <c r="BA10" s="53"/>
      <c r="BB10" s="46">
        <f t="shared" si="4"/>
        <v>0</v>
      </c>
      <c r="BD10" s="44"/>
      <c r="BE10" s="44"/>
      <c r="BF10" s="44"/>
      <c r="BG10" s="44"/>
      <c r="BH10" s="32"/>
      <c r="BI10" s="32"/>
      <c r="BJ10" s="44"/>
      <c r="BK10" s="46"/>
      <c r="BL10" s="53"/>
      <c r="BM10" s="46">
        <f t="shared" si="5"/>
        <v>0</v>
      </c>
    </row>
    <row r="11" spans="1:65" s="54" customFormat="1" ht="20.100000000000001" customHeight="1" x14ac:dyDescent="0.3">
      <c r="A11" s="24"/>
      <c r="B11" s="24"/>
      <c r="C11" s="31"/>
      <c r="D11" s="31"/>
      <c r="E11" s="29"/>
      <c r="F11" s="29"/>
      <c r="G11" s="24"/>
      <c r="H11" s="26"/>
      <c r="I11" s="53"/>
      <c r="J11" s="46">
        <f t="shared" si="0"/>
        <v>0</v>
      </c>
      <c r="L11" s="44"/>
      <c r="M11" s="44"/>
      <c r="N11" s="44"/>
      <c r="O11" s="44"/>
      <c r="P11" s="32"/>
      <c r="Q11" s="29"/>
      <c r="R11" s="44"/>
      <c r="S11" s="46"/>
      <c r="T11" s="53"/>
      <c r="U11" s="46">
        <f t="shared" si="1"/>
        <v>0</v>
      </c>
      <c r="W11" s="44"/>
      <c r="X11" s="44"/>
      <c r="Y11" s="44"/>
      <c r="Z11" s="44"/>
      <c r="AA11" s="32"/>
      <c r="AB11" s="29"/>
      <c r="AC11" s="44"/>
      <c r="AD11" s="46"/>
      <c r="AE11" s="53"/>
      <c r="AF11" s="46">
        <f t="shared" si="2"/>
        <v>0</v>
      </c>
      <c r="AH11" s="24"/>
      <c r="AI11" s="24"/>
      <c r="AJ11" s="24"/>
      <c r="AK11" s="24"/>
      <c r="AL11" s="29"/>
      <c r="AM11" s="29"/>
      <c r="AN11" s="24"/>
      <c r="AO11" s="26"/>
      <c r="AP11" s="53"/>
      <c r="AQ11" s="46">
        <f t="shared" si="3"/>
        <v>0</v>
      </c>
      <c r="AS11" s="44"/>
      <c r="AT11" s="44"/>
      <c r="AU11" s="44"/>
      <c r="AV11" s="44"/>
      <c r="AW11" s="32"/>
      <c r="AX11" s="29"/>
      <c r="AY11" s="44"/>
      <c r="AZ11" s="46"/>
      <c r="BA11" s="53"/>
      <c r="BB11" s="46">
        <f t="shared" si="4"/>
        <v>0</v>
      </c>
      <c r="BD11" s="44"/>
      <c r="BE11" s="44"/>
      <c r="BF11" s="44"/>
      <c r="BG11" s="44"/>
      <c r="BH11" s="32"/>
      <c r="BI11" s="32"/>
      <c r="BJ11" s="44"/>
      <c r="BK11" s="46"/>
      <c r="BL11" s="53"/>
      <c r="BM11" s="46">
        <f t="shared" si="5"/>
        <v>0</v>
      </c>
    </row>
    <row r="12" spans="1:65" s="54" customFormat="1" ht="20.100000000000001" customHeight="1" x14ac:dyDescent="0.3">
      <c r="A12" s="24"/>
      <c r="B12" s="24"/>
      <c r="C12" s="31"/>
      <c r="D12" s="31"/>
      <c r="E12" s="29"/>
      <c r="F12" s="29"/>
      <c r="G12" s="24"/>
      <c r="H12" s="26"/>
      <c r="I12" s="53"/>
      <c r="J12" s="46">
        <f t="shared" si="0"/>
        <v>0</v>
      </c>
      <c r="L12" s="44"/>
      <c r="M12" s="44"/>
      <c r="N12" s="44"/>
      <c r="O12" s="44"/>
      <c r="P12" s="32"/>
      <c r="Q12" s="29"/>
      <c r="R12" s="44"/>
      <c r="S12" s="46"/>
      <c r="T12" s="53"/>
      <c r="U12" s="46">
        <f t="shared" si="1"/>
        <v>0</v>
      </c>
      <c r="W12" s="44"/>
      <c r="X12" s="44"/>
      <c r="Y12" s="44"/>
      <c r="Z12" s="44"/>
      <c r="AA12" s="32"/>
      <c r="AB12" s="29"/>
      <c r="AC12" s="44"/>
      <c r="AD12" s="46"/>
      <c r="AE12" s="53"/>
      <c r="AF12" s="46">
        <f t="shared" si="2"/>
        <v>0</v>
      </c>
      <c r="AH12" s="24"/>
      <c r="AI12" s="24"/>
      <c r="AJ12" s="24"/>
      <c r="AK12" s="24"/>
      <c r="AL12" s="29" t="s">
        <v>163</v>
      </c>
      <c r="AM12" s="29"/>
      <c r="AN12" s="24"/>
      <c r="AO12" s="26"/>
      <c r="AP12" s="53"/>
      <c r="AQ12" s="46">
        <f t="shared" si="3"/>
        <v>0</v>
      </c>
      <c r="AS12" s="44"/>
      <c r="AT12" s="44"/>
      <c r="AU12" s="44"/>
      <c r="AV12" s="44"/>
      <c r="AW12" s="32"/>
      <c r="AX12" s="29"/>
      <c r="AY12" s="44"/>
      <c r="AZ12" s="46"/>
      <c r="BA12" s="53"/>
      <c r="BB12" s="46">
        <f t="shared" si="4"/>
        <v>0</v>
      </c>
      <c r="BD12" s="44"/>
      <c r="BE12" s="44"/>
      <c r="BF12" s="44"/>
      <c r="BG12" s="44"/>
      <c r="BH12" s="32"/>
      <c r="BI12" s="32"/>
      <c r="BJ12" s="44"/>
      <c r="BK12" s="46"/>
      <c r="BL12" s="53"/>
      <c r="BM12" s="4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54" customFormat="1" ht="20.100000000000001" customHeight="1" x14ac:dyDescent="0.3">
      <c r="A18" s="24"/>
      <c r="B18" s="24"/>
      <c r="C18" s="31"/>
      <c r="D18" s="31"/>
      <c r="E18" s="29"/>
      <c r="F18" s="29"/>
      <c r="G18" s="24"/>
      <c r="H18" s="26"/>
      <c r="I18" s="53"/>
      <c r="J18" s="46">
        <f>H18-I18</f>
        <v>0</v>
      </c>
      <c r="L18" s="24">
        <v>250063</v>
      </c>
      <c r="M18" s="24">
        <v>430</v>
      </c>
      <c r="N18" s="31">
        <v>0.5</v>
      </c>
      <c r="O18" s="31" t="s">
        <v>70</v>
      </c>
      <c r="P18" s="29" t="s">
        <v>77</v>
      </c>
      <c r="Q18" s="29"/>
      <c r="R18" s="24">
        <v>430</v>
      </c>
      <c r="S18" s="26">
        <v>1000</v>
      </c>
      <c r="T18" s="53">
        <v>1000</v>
      </c>
      <c r="U18" s="46">
        <f>S18-T18</f>
        <v>0</v>
      </c>
      <c r="W18" s="24">
        <v>250063</v>
      </c>
      <c r="X18" s="24">
        <v>430</v>
      </c>
      <c r="Y18" s="31">
        <v>0.5</v>
      </c>
      <c r="Z18" s="31" t="s">
        <v>70</v>
      </c>
      <c r="AA18" s="29" t="s">
        <v>78</v>
      </c>
      <c r="AB18" s="29"/>
      <c r="AC18" s="24">
        <v>430</v>
      </c>
      <c r="AD18" s="26">
        <v>500</v>
      </c>
      <c r="AE18" s="53">
        <v>500</v>
      </c>
      <c r="AF18" s="46">
        <f>AD18-AE18</f>
        <v>0</v>
      </c>
      <c r="AH18" s="24">
        <v>250063</v>
      </c>
      <c r="AI18" s="24">
        <v>430</v>
      </c>
      <c r="AJ18" s="31">
        <v>0.5</v>
      </c>
      <c r="AK18" s="31" t="s">
        <v>70</v>
      </c>
      <c r="AL18" s="29" t="s">
        <v>79</v>
      </c>
      <c r="AM18" s="29"/>
      <c r="AN18" s="24">
        <v>430</v>
      </c>
      <c r="AO18" s="26">
        <v>1250</v>
      </c>
      <c r="AP18" s="53">
        <v>1250</v>
      </c>
      <c r="AQ18" s="46">
        <f>AO18-AP18</f>
        <v>0</v>
      </c>
      <c r="AS18" s="24">
        <v>250063</v>
      </c>
      <c r="AT18" s="24">
        <v>430</v>
      </c>
      <c r="AU18" s="31">
        <v>0.5</v>
      </c>
      <c r="AV18" s="31" t="s">
        <v>70</v>
      </c>
      <c r="AW18" s="29" t="s">
        <v>79</v>
      </c>
      <c r="AX18" s="29"/>
      <c r="AY18" s="24">
        <v>430</v>
      </c>
      <c r="AZ18" s="26">
        <v>1250</v>
      </c>
      <c r="BA18" s="53">
        <v>1250</v>
      </c>
      <c r="BB18" s="46">
        <f>AZ18-BA18</f>
        <v>0</v>
      </c>
      <c r="BD18" s="24">
        <v>250064</v>
      </c>
      <c r="BE18" s="24">
        <v>430</v>
      </c>
      <c r="BF18" s="31">
        <v>0.5</v>
      </c>
      <c r="BG18" s="31" t="s">
        <v>70</v>
      </c>
      <c r="BH18" s="29" t="s">
        <v>91</v>
      </c>
      <c r="BI18" s="29"/>
      <c r="BJ18" s="24">
        <v>430</v>
      </c>
      <c r="BK18" s="26">
        <v>1000</v>
      </c>
      <c r="BL18" s="53">
        <v>1000</v>
      </c>
      <c r="BM18" s="46">
        <f>BK18-BL18</f>
        <v>0</v>
      </c>
    </row>
    <row r="19" spans="1:65" s="54" customFormat="1" ht="20.100000000000001" customHeight="1" x14ac:dyDescent="0.3">
      <c r="A19" s="24"/>
      <c r="B19" s="24"/>
      <c r="C19" s="31"/>
      <c r="D19" s="31"/>
      <c r="E19" s="29"/>
      <c r="F19" s="29"/>
      <c r="G19" s="24"/>
      <c r="H19" s="26"/>
      <c r="I19" s="53"/>
      <c r="J19" s="46">
        <f t="shared" ref="J19:J23" si="6">H19-I19</f>
        <v>0</v>
      </c>
      <c r="L19" s="24">
        <v>250064</v>
      </c>
      <c r="M19" s="24">
        <v>430</v>
      </c>
      <c r="N19" s="31">
        <v>0.5</v>
      </c>
      <c r="O19" s="31" t="s">
        <v>70</v>
      </c>
      <c r="P19" s="29" t="s">
        <v>89</v>
      </c>
      <c r="Q19" s="29"/>
      <c r="R19" s="24">
        <v>430</v>
      </c>
      <c r="S19" s="26">
        <v>1000</v>
      </c>
      <c r="T19" s="53">
        <v>1000</v>
      </c>
      <c r="U19" s="46">
        <f t="shared" ref="U19:U23" si="7">S19-T19</f>
        <v>0</v>
      </c>
      <c r="W19" s="24">
        <v>250067</v>
      </c>
      <c r="X19" s="24">
        <v>430</v>
      </c>
      <c r="Y19" s="31">
        <v>0.5</v>
      </c>
      <c r="Z19" s="31" t="s">
        <v>70</v>
      </c>
      <c r="AA19" s="29" t="s">
        <v>71</v>
      </c>
      <c r="AB19" s="29"/>
      <c r="AC19" s="24">
        <v>430</v>
      </c>
      <c r="AD19" s="26">
        <v>1000</v>
      </c>
      <c r="AE19" s="53">
        <v>1000</v>
      </c>
      <c r="AF19" s="46">
        <f t="shared" ref="AF19:AF23" si="8">AD19-AE19</f>
        <v>0</v>
      </c>
      <c r="AH19" s="24">
        <v>250067</v>
      </c>
      <c r="AI19" s="24">
        <v>430</v>
      </c>
      <c r="AJ19" s="31">
        <v>0.5</v>
      </c>
      <c r="AK19" s="31" t="s">
        <v>70</v>
      </c>
      <c r="AL19" s="29" t="s">
        <v>72</v>
      </c>
      <c r="AM19" s="29"/>
      <c r="AN19" s="24">
        <v>430</v>
      </c>
      <c r="AO19" s="26">
        <v>1000</v>
      </c>
      <c r="AP19" s="53">
        <v>1000</v>
      </c>
      <c r="AQ19" s="46">
        <f t="shared" ref="AQ19:AQ23" si="9">AO19-AP19</f>
        <v>0</v>
      </c>
      <c r="AS19" s="24">
        <v>250067</v>
      </c>
      <c r="AT19" s="24">
        <v>430</v>
      </c>
      <c r="AU19" s="31">
        <v>0.5</v>
      </c>
      <c r="AV19" s="31" t="s">
        <v>70</v>
      </c>
      <c r="AW19" s="29" t="s">
        <v>72</v>
      </c>
      <c r="AX19" s="29"/>
      <c r="AY19" s="24">
        <v>430</v>
      </c>
      <c r="AZ19" s="26">
        <v>1000</v>
      </c>
      <c r="BA19" s="53">
        <f>250+750</f>
        <v>1000</v>
      </c>
      <c r="BB19" s="46">
        <f t="shared" ref="BB19:BB23" si="10">AZ19-BA19</f>
        <v>0</v>
      </c>
      <c r="BD19" s="24">
        <v>250063</v>
      </c>
      <c r="BE19" s="24">
        <v>430</v>
      </c>
      <c r="BF19" s="31">
        <v>0.5</v>
      </c>
      <c r="BG19" s="31" t="s">
        <v>70</v>
      </c>
      <c r="BH19" s="29" t="s">
        <v>80</v>
      </c>
      <c r="BI19" s="29"/>
      <c r="BJ19" s="24">
        <v>430</v>
      </c>
      <c r="BK19" s="26">
        <v>1250</v>
      </c>
      <c r="BL19" s="53">
        <v>1250</v>
      </c>
      <c r="BM19" s="46">
        <f t="shared" ref="BM19:BM23" si="11">BK19-BL19</f>
        <v>0</v>
      </c>
    </row>
    <row r="20" spans="1:65" s="54" customFormat="1" ht="20.100000000000001" customHeight="1" x14ac:dyDescent="0.3">
      <c r="A20" s="24"/>
      <c r="B20" s="24"/>
      <c r="C20" s="31"/>
      <c r="D20" s="31"/>
      <c r="E20" s="29"/>
      <c r="F20" s="29"/>
      <c r="G20" s="24"/>
      <c r="H20" s="26"/>
      <c r="I20" s="53"/>
      <c r="J20" s="46">
        <f t="shared" si="6"/>
        <v>0</v>
      </c>
      <c r="L20" s="24">
        <v>250063</v>
      </c>
      <c r="M20" s="24">
        <v>430</v>
      </c>
      <c r="N20" s="31">
        <v>0.5</v>
      </c>
      <c r="O20" s="31" t="s">
        <v>70</v>
      </c>
      <c r="P20" s="29" t="s">
        <v>78</v>
      </c>
      <c r="Q20" s="29"/>
      <c r="R20" s="24">
        <v>430</v>
      </c>
      <c r="S20" s="26">
        <v>500</v>
      </c>
      <c r="T20" s="53">
        <v>500</v>
      </c>
      <c r="U20" s="46">
        <f t="shared" si="7"/>
        <v>0</v>
      </c>
      <c r="W20" s="24">
        <v>250064</v>
      </c>
      <c r="X20" s="24">
        <v>430</v>
      </c>
      <c r="Y20" s="31">
        <v>0.5</v>
      </c>
      <c r="Z20" s="31" t="s">
        <v>70</v>
      </c>
      <c r="AA20" s="29" t="s">
        <v>90</v>
      </c>
      <c r="AB20" s="29"/>
      <c r="AC20" s="24">
        <v>430</v>
      </c>
      <c r="AD20" s="26">
        <v>1000</v>
      </c>
      <c r="AE20" s="53">
        <v>1000</v>
      </c>
      <c r="AF20" s="46">
        <f t="shared" si="8"/>
        <v>0</v>
      </c>
      <c r="AH20" s="24">
        <v>250064</v>
      </c>
      <c r="AI20" s="24">
        <v>430</v>
      </c>
      <c r="AJ20" s="31">
        <v>0.5</v>
      </c>
      <c r="AK20" s="31" t="s">
        <v>70</v>
      </c>
      <c r="AL20" s="29" t="s">
        <v>91</v>
      </c>
      <c r="AM20" s="29"/>
      <c r="AN20" s="24">
        <v>430</v>
      </c>
      <c r="AO20" s="26">
        <v>250</v>
      </c>
      <c r="AP20" s="53">
        <v>250</v>
      </c>
      <c r="AQ20" s="46">
        <f t="shared" si="9"/>
        <v>0</v>
      </c>
      <c r="AS20" s="24">
        <v>250064</v>
      </c>
      <c r="AT20" s="24">
        <v>430</v>
      </c>
      <c r="AU20" s="31">
        <v>0.5</v>
      </c>
      <c r="AV20" s="31" t="s">
        <v>70</v>
      </c>
      <c r="AW20" s="29" t="s">
        <v>91</v>
      </c>
      <c r="AX20" s="29"/>
      <c r="AY20" s="24">
        <v>430</v>
      </c>
      <c r="AZ20" s="26">
        <v>250</v>
      </c>
      <c r="BA20" s="53">
        <v>250</v>
      </c>
      <c r="BB20" s="46">
        <f t="shared" si="10"/>
        <v>0</v>
      </c>
      <c r="BD20" s="24">
        <v>250067</v>
      </c>
      <c r="BE20" s="24">
        <v>430</v>
      </c>
      <c r="BF20" s="31">
        <v>0.5</v>
      </c>
      <c r="BG20" s="31" t="s">
        <v>70</v>
      </c>
      <c r="BH20" s="29" t="s">
        <v>73</v>
      </c>
      <c r="BI20" s="29"/>
      <c r="BJ20" s="24">
        <v>430</v>
      </c>
      <c r="BK20" s="26">
        <v>250</v>
      </c>
      <c r="BL20" s="53">
        <v>250</v>
      </c>
      <c r="BM20" s="46">
        <f t="shared" si="11"/>
        <v>0</v>
      </c>
    </row>
    <row r="21" spans="1:65" s="54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53"/>
      <c r="J21" s="46">
        <f t="shared" si="6"/>
        <v>0</v>
      </c>
      <c r="L21" s="44"/>
      <c r="M21" s="44"/>
      <c r="N21" s="44"/>
      <c r="O21" s="44"/>
      <c r="P21" s="32"/>
      <c r="Q21" s="29"/>
      <c r="R21" s="44"/>
      <c r="S21" s="46"/>
      <c r="T21" s="53"/>
      <c r="U21" s="46">
        <f t="shared" si="7"/>
        <v>0</v>
      </c>
      <c r="W21" s="24"/>
      <c r="X21" s="24"/>
      <c r="Y21" s="31"/>
      <c r="Z21" s="31"/>
      <c r="AA21" s="29"/>
      <c r="AB21" s="29"/>
      <c r="AC21" s="24"/>
      <c r="AD21" s="26"/>
      <c r="AE21" s="53"/>
      <c r="AF21" s="46">
        <f t="shared" si="8"/>
        <v>0</v>
      </c>
      <c r="AH21" s="24"/>
      <c r="AI21" s="24"/>
      <c r="AJ21" s="31"/>
      <c r="AK21" s="31"/>
      <c r="AL21" s="29"/>
      <c r="AM21" s="29"/>
      <c r="AN21" s="24"/>
      <c r="AO21" s="26"/>
      <c r="AP21" s="53"/>
      <c r="AQ21" s="46">
        <f t="shared" si="9"/>
        <v>0</v>
      </c>
      <c r="AS21" s="44"/>
      <c r="AT21" s="44"/>
      <c r="AU21" s="44"/>
      <c r="AV21" s="44"/>
      <c r="AW21" s="32"/>
      <c r="AX21" s="29"/>
      <c r="AY21" s="44"/>
      <c r="AZ21" s="46"/>
      <c r="BA21" s="53"/>
      <c r="BB21" s="46">
        <f t="shared" si="10"/>
        <v>0</v>
      </c>
      <c r="BD21" s="24"/>
      <c r="BE21" s="24"/>
      <c r="BF21" s="31"/>
      <c r="BG21" s="31"/>
      <c r="BH21" s="29"/>
      <c r="BI21" s="29"/>
      <c r="BJ21" s="24"/>
      <c r="BK21" s="26"/>
      <c r="BL21" s="53"/>
      <c r="BM21" s="46">
        <f t="shared" si="11"/>
        <v>0</v>
      </c>
    </row>
    <row r="22" spans="1:65" s="54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53"/>
      <c r="J22" s="46">
        <f t="shared" si="6"/>
        <v>0</v>
      </c>
      <c r="L22" s="44"/>
      <c r="M22" s="44"/>
      <c r="N22" s="44"/>
      <c r="O22" s="44"/>
      <c r="P22" s="32"/>
      <c r="Q22" s="29"/>
      <c r="R22" s="44"/>
      <c r="S22" s="46"/>
      <c r="T22" s="53"/>
      <c r="U22" s="46">
        <f t="shared" si="7"/>
        <v>0</v>
      </c>
      <c r="W22" s="24"/>
      <c r="X22" s="24"/>
      <c r="Y22" s="31"/>
      <c r="Z22" s="31"/>
      <c r="AA22" s="29"/>
      <c r="AB22" s="29"/>
      <c r="AC22" s="24"/>
      <c r="AD22" s="26"/>
      <c r="AE22" s="53"/>
      <c r="AF22" s="46">
        <f t="shared" si="8"/>
        <v>0</v>
      </c>
      <c r="AH22" s="24"/>
      <c r="AI22" s="24"/>
      <c r="AJ22" s="24"/>
      <c r="AK22" s="24"/>
      <c r="AL22" s="29"/>
      <c r="AM22" s="29"/>
      <c r="AN22" s="24"/>
      <c r="AO22" s="26"/>
      <c r="AP22" s="53"/>
      <c r="AQ22" s="46">
        <f t="shared" si="9"/>
        <v>0</v>
      </c>
      <c r="AS22" s="44"/>
      <c r="AT22" s="44"/>
      <c r="AU22" s="44"/>
      <c r="AV22" s="44"/>
      <c r="AW22" s="32"/>
      <c r="AX22" s="29"/>
      <c r="AY22" s="44"/>
      <c r="AZ22" s="46"/>
      <c r="BA22" s="53"/>
      <c r="BB22" s="46">
        <f t="shared" si="10"/>
        <v>0</v>
      </c>
      <c r="BD22" s="44"/>
      <c r="BE22" s="44"/>
      <c r="BF22" s="44"/>
      <c r="BG22" s="44"/>
      <c r="BH22" s="32"/>
      <c r="BI22" s="32"/>
      <c r="BJ22" s="44"/>
      <c r="BK22" s="46"/>
      <c r="BL22" s="53"/>
      <c r="BM22" s="46">
        <f t="shared" si="11"/>
        <v>0</v>
      </c>
    </row>
    <row r="23" spans="1:65" s="54" customFormat="1" ht="20.100000000000001" customHeight="1" x14ac:dyDescent="0.3">
      <c r="A23" s="24"/>
      <c r="B23" s="24"/>
      <c r="C23" s="31"/>
      <c r="D23" s="31"/>
      <c r="E23" s="29"/>
      <c r="F23" s="29"/>
      <c r="G23" s="24"/>
      <c r="H23" s="26"/>
      <c r="I23" s="53"/>
      <c r="J23" s="46">
        <f t="shared" si="6"/>
        <v>0</v>
      </c>
      <c r="L23" s="44"/>
      <c r="M23" s="44"/>
      <c r="N23" s="44"/>
      <c r="O23" s="44"/>
      <c r="P23" s="32"/>
      <c r="Q23" s="29"/>
      <c r="R23" s="44"/>
      <c r="S23" s="46"/>
      <c r="T23" s="53"/>
      <c r="U23" s="46">
        <f t="shared" si="7"/>
        <v>0</v>
      </c>
      <c r="W23" s="24"/>
      <c r="X23" s="24"/>
      <c r="Y23" s="31"/>
      <c r="Z23" s="31"/>
      <c r="AA23" s="29"/>
      <c r="AB23" s="29"/>
      <c r="AC23" s="24"/>
      <c r="AD23" s="26"/>
      <c r="AE23" s="53"/>
      <c r="AF23" s="46">
        <f t="shared" si="8"/>
        <v>0</v>
      </c>
      <c r="AH23" s="24"/>
      <c r="AI23" s="24"/>
      <c r="AJ23" s="24"/>
      <c r="AK23" s="24"/>
      <c r="AL23" s="29"/>
      <c r="AM23" s="29"/>
      <c r="AN23" s="24"/>
      <c r="AO23" s="26"/>
      <c r="AP23" s="53"/>
      <c r="AQ23" s="46">
        <f t="shared" si="9"/>
        <v>0</v>
      </c>
      <c r="AS23" s="44"/>
      <c r="AT23" s="44"/>
      <c r="AU23" s="44"/>
      <c r="AV23" s="44"/>
      <c r="AW23" s="32"/>
      <c r="AX23" s="29"/>
      <c r="AY23" s="44"/>
      <c r="AZ23" s="46"/>
      <c r="BA23" s="53"/>
      <c r="BB23" s="46">
        <f t="shared" si="10"/>
        <v>0</v>
      </c>
      <c r="BD23" s="44"/>
      <c r="BE23" s="44"/>
      <c r="BF23" s="44"/>
      <c r="BG23" s="44"/>
      <c r="BH23" s="32"/>
      <c r="BI23" s="32"/>
      <c r="BJ23" s="44"/>
      <c r="BK23" s="46"/>
      <c r="BL23" s="53"/>
      <c r="BM23" s="4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0</v>
      </c>
      <c r="I24" s="27">
        <f>SUM(I18:I23)</f>
        <v>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2500</v>
      </c>
      <c r="T24" s="27">
        <f>SUM(T18:T23)</f>
        <v>2500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2500</v>
      </c>
      <c r="AE24" s="27">
        <f>SUM(AE18:AE23)</f>
        <v>2500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2500</v>
      </c>
      <c r="AP24" s="27">
        <f>SUM(AP18:AP23)</f>
        <v>2500</v>
      </c>
      <c r="AQ24" s="26">
        <f>SUM(AQ18:AQ23)</f>
        <v>0</v>
      </c>
      <c r="AS24" s="34"/>
      <c r="AT24" s="34"/>
      <c r="AU24" s="34"/>
      <c r="AV24" s="34"/>
      <c r="AW24" s="35"/>
      <c r="AX24" s="35"/>
      <c r="AY24" s="36"/>
      <c r="AZ24" s="26">
        <f>SUM(AZ18:AZ23)</f>
        <v>2500</v>
      </c>
      <c r="BA24" s="27">
        <f>SUM(BA18:BA23)</f>
        <v>2500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2500</v>
      </c>
      <c r="BL24" s="27">
        <f>SUM(BL18:BL23)</f>
        <v>2500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250064</v>
      </c>
      <c r="B29" s="24">
        <v>430</v>
      </c>
      <c r="C29" s="31">
        <v>0.5</v>
      </c>
      <c r="D29" s="31"/>
      <c r="E29" s="29" t="s">
        <v>104</v>
      </c>
      <c r="F29" s="29"/>
      <c r="G29" s="24"/>
      <c r="H29" s="26">
        <v>1000</v>
      </c>
      <c r="I29" s="27">
        <v>1000</v>
      </c>
      <c r="J29" s="26">
        <f>H29-I29</f>
        <v>0</v>
      </c>
      <c r="L29" s="24">
        <v>250062</v>
      </c>
      <c r="M29" s="24">
        <v>304</v>
      </c>
      <c r="N29" s="31">
        <v>0.6</v>
      </c>
      <c r="O29" s="31"/>
      <c r="P29" s="29" t="s">
        <v>124</v>
      </c>
      <c r="Q29" s="29"/>
      <c r="R29" s="24"/>
      <c r="S29" s="26">
        <v>300</v>
      </c>
      <c r="T29" s="27">
        <v>300</v>
      </c>
      <c r="U29" s="26">
        <f>S29-T29</f>
        <v>0</v>
      </c>
      <c r="W29" s="24">
        <v>250048</v>
      </c>
      <c r="X29" s="24">
        <v>304</v>
      </c>
      <c r="Y29" s="31">
        <v>0.7</v>
      </c>
      <c r="Z29" s="31"/>
      <c r="AA29" s="29" t="s">
        <v>137</v>
      </c>
      <c r="AB29" s="29"/>
      <c r="AC29" s="24"/>
      <c r="AD29" s="26">
        <v>570</v>
      </c>
      <c r="AE29" s="27">
        <v>570</v>
      </c>
      <c r="AF29" s="26">
        <f>AD29-AE29</f>
        <v>0</v>
      </c>
      <c r="AH29" s="24">
        <v>250062</v>
      </c>
      <c r="AI29" s="24">
        <v>304</v>
      </c>
      <c r="AJ29" s="31">
        <v>0.6</v>
      </c>
      <c r="AK29" s="31"/>
      <c r="AL29" s="29" t="s">
        <v>122</v>
      </c>
      <c r="AM29" s="29"/>
      <c r="AN29" s="24"/>
      <c r="AO29" s="26">
        <v>300</v>
      </c>
      <c r="AP29" s="27">
        <v>300</v>
      </c>
      <c r="AQ29" s="26">
        <f>AO29-AP29</f>
        <v>0</v>
      </c>
      <c r="AS29" s="24">
        <v>250072</v>
      </c>
      <c r="AT29" s="24">
        <v>304</v>
      </c>
      <c r="AU29" s="31">
        <v>0.6</v>
      </c>
      <c r="AV29" s="31"/>
      <c r="AW29" s="29" t="s">
        <v>58</v>
      </c>
      <c r="AX29" s="29"/>
      <c r="AY29" s="24"/>
      <c r="AZ29" s="26">
        <v>750</v>
      </c>
      <c r="BA29" s="27">
        <v>750</v>
      </c>
      <c r="BB29" s="26">
        <f>AZ29-BA29</f>
        <v>0</v>
      </c>
      <c r="BD29" s="24">
        <v>250071</v>
      </c>
      <c r="BE29" s="24">
        <v>304</v>
      </c>
      <c r="BF29" s="31">
        <v>0.6</v>
      </c>
      <c r="BG29" s="31"/>
      <c r="BH29" s="29" t="s">
        <v>58</v>
      </c>
      <c r="BI29" s="29"/>
      <c r="BJ29" s="24"/>
      <c r="BK29" s="26">
        <v>750</v>
      </c>
      <c r="BL29" s="27">
        <v>750</v>
      </c>
      <c r="BM29" s="26">
        <f>BK29-BL29</f>
        <v>0</v>
      </c>
    </row>
    <row r="30" spans="1:65" s="30" customFormat="1" ht="20.100000000000001" customHeight="1" x14ac:dyDescent="0.3">
      <c r="A30" s="24">
        <v>250064</v>
      </c>
      <c r="B30" s="24">
        <v>430</v>
      </c>
      <c r="C30" s="31">
        <v>0.5</v>
      </c>
      <c r="D30" s="31"/>
      <c r="E30" s="29" t="s">
        <v>101</v>
      </c>
      <c r="F30" s="29"/>
      <c r="G30" s="24"/>
      <c r="H30" s="26">
        <v>1000</v>
      </c>
      <c r="I30" s="27">
        <v>1000</v>
      </c>
      <c r="J30" s="26">
        <f t="shared" ref="J30:J34" si="12">H30-I30</f>
        <v>0</v>
      </c>
      <c r="L30" s="24">
        <v>250062</v>
      </c>
      <c r="M30" s="24">
        <v>304</v>
      </c>
      <c r="N30" s="31">
        <v>0.6</v>
      </c>
      <c r="O30" s="31"/>
      <c r="P30" s="29" t="s">
        <v>125</v>
      </c>
      <c r="Q30" s="29"/>
      <c r="R30" s="24"/>
      <c r="S30" s="26">
        <v>300</v>
      </c>
      <c r="T30" s="27">
        <v>300</v>
      </c>
      <c r="U30" s="26">
        <f t="shared" ref="U30:U34" si="13">S30-T30</f>
        <v>0</v>
      </c>
      <c r="W30" s="24">
        <v>250048</v>
      </c>
      <c r="X30" s="24">
        <v>304</v>
      </c>
      <c r="Y30" s="31">
        <v>0.7</v>
      </c>
      <c r="Z30" s="24"/>
      <c r="AA30" s="29" t="s">
        <v>138</v>
      </c>
      <c r="AB30" s="29"/>
      <c r="AC30" s="24"/>
      <c r="AD30" s="26">
        <v>570</v>
      </c>
      <c r="AE30" s="27">
        <v>570</v>
      </c>
      <c r="AF30" s="26">
        <f t="shared" ref="AF30:AF34" si="14">AD30-AE30</f>
        <v>0</v>
      </c>
      <c r="AH30" s="24">
        <v>250062</v>
      </c>
      <c r="AI30" s="24">
        <v>304</v>
      </c>
      <c r="AJ30" s="31">
        <v>0.6</v>
      </c>
      <c r="AK30" s="31"/>
      <c r="AL30" s="29" t="s">
        <v>123</v>
      </c>
      <c r="AM30" s="29"/>
      <c r="AN30" s="24"/>
      <c r="AO30" s="26">
        <v>300</v>
      </c>
      <c r="AP30" s="27">
        <v>300</v>
      </c>
      <c r="AQ30" s="26">
        <f t="shared" ref="AQ30:AQ34" si="15">AO30-AP30</f>
        <v>0</v>
      </c>
      <c r="AS30" s="24">
        <v>250072</v>
      </c>
      <c r="AT30" s="24">
        <v>304</v>
      </c>
      <c r="AU30" s="31">
        <v>0.6</v>
      </c>
      <c r="AV30" s="31"/>
      <c r="AW30" s="29" t="s">
        <v>59</v>
      </c>
      <c r="AX30" s="29"/>
      <c r="AY30" s="24"/>
      <c r="AZ30" s="26">
        <v>750</v>
      </c>
      <c r="BA30" s="27">
        <v>750</v>
      </c>
      <c r="BB30" s="26">
        <f t="shared" ref="BB30:BB34" si="16">AZ30-BA30</f>
        <v>0</v>
      </c>
      <c r="BD30" s="24">
        <v>250071</v>
      </c>
      <c r="BE30" s="24">
        <v>304</v>
      </c>
      <c r="BF30" s="31">
        <v>0.6</v>
      </c>
      <c r="BG30" s="31"/>
      <c r="BH30" s="29" t="s">
        <v>59</v>
      </c>
      <c r="BI30" s="29"/>
      <c r="BJ30" s="24"/>
      <c r="BK30" s="26">
        <v>750</v>
      </c>
      <c r="BL30" s="27">
        <v>750</v>
      </c>
      <c r="BM30" s="26">
        <f t="shared" ref="BM30:BM34" si="17">BK30-BL30</f>
        <v>0</v>
      </c>
    </row>
    <row r="31" spans="1:65" s="30" customFormat="1" ht="20.100000000000001" customHeight="1" x14ac:dyDescent="0.3">
      <c r="A31" s="24">
        <v>250064</v>
      </c>
      <c r="B31" s="24">
        <v>430</v>
      </c>
      <c r="C31" s="31">
        <v>0.5</v>
      </c>
      <c r="D31" s="31"/>
      <c r="E31" s="29" t="s">
        <v>102</v>
      </c>
      <c r="F31" s="29"/>
      <c r="G31" s="24"/>
      <c r="H31" s="26">
        <v>1250</v>
      </c>
      <c r="I31" s="27">
        <v>1250</v>
      </c>
      <c r="J31" s="26">
        <f t="shared" si="12"/>
        <v>0</v>
      </c>
      <c r="L31" s="24">
        <v>250062</v>
      </c>
      <c r="M31" s="24">
        <v>304</v>
      </c>
      <c r="N31" s="31">
        <v>0.6</v>
      </c>
      <c r="O31" s="31"/>
      <c r="P31" s="29" t="s">
        <v>126</v>
      </c>
      <c r="Q31" s="29"/>
      <c r="R31" s="24"/>
      <c r="S31" s="26">
        <v>300</v>
      </c>
      <c r="T31" s="27">
        <v>300</v>
      </c>
      <c r="U31" s="26">
        <f t="shared" si="13"/>
        <v>0</v>
      </c>
      <c r="W31" s="24">
        <v>250048</v>
      </c>
      <c r="X31" s="24">
        <v>304</v>
      </c>
      <c r="Y31" s="31">
        <v>0.7</v>
      </c>
      <c r="Z31" s="24"/>
      <c r="AA31" s="29" t="s">
        <v>139</v>
      </c>
      <c r="AB31" s="29"/>
      <c r="AC31" s="24"/>
      <c r="AD31" s="26">
        <v>570</v>
      </c>
      <c r="AE31" s="27">
        <v>570</v>
      </c>
      <c r="AF31" s="26">
        <f t="shared" si="14"/>
        <v>0</v>
      </c>
      <c r="AH31" s="24">
        <v>250073</v>
      </c>
      <c r="AI31" s="24">
        <v>304</v>
      </c>
      <c r="AJ31" s="31">
        <v>0.6</v>
      </c>
      <c r="AK31" s="31"/>
      <c r="AL31" s="29" t="s">
        <v>55</v>
      </c>
      <c r="AM31" s="29"/>
      <c r="AN31" s="24"/>
      <c r="AO31" s="26">
        <v>750</v>
      </c>
      <c r="AP31" s="27">
        <v>750</v>
      </c>
      <c r="AQ31" s="26">
        <f t="shared" si="15"/>
        <v>0</v>
      </c>
      <c r="AS31" s="24">
        <v>250072</v>
      </c>
      <c r="AT31" s="24">
        <v>304</v>
      </c>
      <c r="AU31" s="31">
        <v>0.6</v>
      </c>
      <c r="AV31" s="31"/>
      <c r="AW31" s="29" t="s">
        <v>60</v>
      </c>
      <c r="AX31" s="29"/>
      <c r="AY31" s="24"/>
      <c r="AZ31" s="26">
        <v>750</v>
      </c>
      <c r="BA31" s="27">
        <v>750</v>
      </c>
      <c r="BB31" s="26">
        <f t="shared" si="16"/>
        <v>0</v>
      </c>
      <c r="BD31" s="24">
        <v>250071</v>
      </c>
      <c r="BE31" s="24">
        <v>304</v>
      </c>
      <c r="BF31" s="31">
        <v>0.6</v>
      </c>
      <c r="BG31" s="31"/>
      <c r="BH31" s="29" t="s">
        <v>60</v>
      </c>
      <c r="BI31" s="29"/>
      <c r="BJ31" s="24"/>
      <c r="BK31" s="26">
        <v>750</v>
      </c>
      <c r="BL31" s="27">
        <v>750</v>
      </c>
      <c r="BM31" s="26">
        <f t="shared" si="17"/>
        <v>0</v>
      </c>
    </row>
    <row r="32" spans="1:65" s="30" customFormat="1" ht="20.100000000000001" customHeight="1" x14ac:dyDescent="0.3">
      <c r="A32" s="24">
        <v>250064</v>
      </c>
      <c r="B32" s="24">
        <v>430</v>
      </c>
      <c r="C32" s="31">
        <v>0.5</v>
      </c>
      <c r="D32" s="31"/>
      <c r="E32" s="29" t="s">
        <v>103</v>
      </c>
      <c r="F32" s="29"/>
      <c r="G32" s="24"/>
      <c r="H32" s="26">
        <v>1250</v>
      </c>
      <c r="I32" s="27">
        <v>1250</v>
      </c>
      <c r="J32" s="26">
        <f t="shared" si="12"/>
        <v>0</v>
      </c>
      <c r="L32" s="24">
        <v>250062</v>
      </c>
      <c r="M32" s="24">
        <v>304</v>
      </c>
      <c r="N32" s="31">
        <v>0.6</v>
      </c>
      <c r="O32" s="31"/>
      <c r="P32" s="29" t="s">
        <v>127</v>
      </c>
      <c r="Q32" s="29"/>
      <c r="R32" s="24"/>
      <c r="S32" s="26">
        <v>200</v>
      </c>
      <c r="T32" s="27">
        <v>200</v>
      </c>
      <c r="U32" s="26">
        <f t="shared" si="13"/>
        <v>0</v>
      </c>
      <c r="W32" s="24">
        <v>250048</v>
      </c>
      <c r="X32" s="24">
        <v>304</v>
      </c>
      <c r="Y32" s="31">
        <v>0.7</v>
      </c>
      <c r="Z32" s="24"/>
      <c r="AA32" s="29" t="s">
        <v>140</v>
      </c>
      <c r="AB32" s="29"/>
      <c r="AC32" s="24"/>
      <c r="AD32" s="26">
        <v>570</v>
      </c>
      <c r="AE32" s="27">
        <v>570</v>
      </c>
      <c r="AF32" s="26">
        <f t="shared" si="14"/>
        <v>0</v>
      </c>
      <c r="AH32" s="24">
        <v>250046</v>
      </c>
      <c r="AI32" s="24">
        <v>304</v>
      </c>
      <c r="AJ32" s="31">
        <v>0.7</v>
      </c>
      <c r="AK32" s="31"/>
      <c r="AL32" s="29" t="s">
        <v>146</v>
      </c>
      <c r="AM32" s="29"/>
      <c r="AN32" s="24"/>
      <c r="AO32" s="26">
        <v>950</v>
      </c>
      <c r="AP32" s="27">
        <v>950</v>
      </c>
      <c r="AQ32" s="26">
        <f t="shared" si="15"/>
        <v>0</v>
      </c>
      <c r="AS32" s="24">
        <v>250072</v>
      </c>
      <c r="AT32" s="24">
        <v>304</v>
      </c>
      <c r="AU32" s="31">
        <v>0.6</v>
      </c>
      <c r="AV32" s="31"/>
      <c r="AW32" s="29" t="s">
        <v>61</v>
      </c>
      <c r="AX32" s="29"/>
      <c r="AY32" s="24"/>
      <c r="AZ32" s="26">
        <v>750</v>
      </c>
      <c r="BA32" s="27">
        <v>750</v>
      </c>
      <c r="BB32" s="26">
        <f t="shared" si="16"/>
        <v>0</v>
      </c>
      <c r="BD32" s="24">
        <v>250071</v>
      </c>
      <c r="BE32" s="24">
        <v>304</v>
      </c>
      <c r="BF32" s="31">
        <v>0.6</v>
      </c>
      <c r="BG32" s="31"/>
      <c r="BH32" s="29" t="s">
        <v>61</v>
      </c>
      <c r="BI32" s="29"/>
      <c r="BJ32" s="24"/>
      <c r="BK32" s="26">
        <v>750</v>
      </c>
      <c r="BL32" s="27">
        <v>750</v>
      </c>
      <c r="BM32" s="26">
        <f t="shared" si="17"/>
        <v>0</v>
      </c>
    </row>
    <row r="33" spans="1:65" s="30" customFormat="1" ht="20.100000000000001" customHeight="1" x14ac:dyDescent="0.3">
      <c r="A33" s="24">
        <v>250064</v>
      </c>
      <c r="B33" s="24">
        <v>430</v>
      </c>
      <c r="C33" s="31">
        <v>0.5</v>
      </c>
      <c r="D33" s="31"/>
      <c r="E33" s="29" t="s">
        <v>105</v>
      </c>
      <c r="F33" s="29"/>
      <c r="G33" s="24"/>
      <c r="H33" s="26">
        <v>1250</v>
      </c>
      <c r="I33" s="27">
        <v>1250</v>
      </c>
      <c r="J33" s="26">
        <f t="shared" si="12"/>
        <v>0</v>
      </c>
      <c r="L33" s="24">
        <v>250062</v>
      </c>
      <c r="M33" s="24">
        <v>304</v>
      </c>
      <c r="N33" s="31">
        <v>0.6</v>
      </c>
      <c r="O33" s="31"/>
      <c r="P33" s="29" t="s">
        <v>128</v>
      </c>
      <c r="Q33" s="29"/>
      <c r="R33" s="24"/>
      <c r="S33" s="26">
        <v>150</v>
      </c>
      <c r="T33" s="27">
        <v>150</v>
      </c>
      <c r="U33" s="26">
        <f t="shared" si="13"/>
        <v>0</v>
      </c>
      <c r="W33" s="24">
        <v>250048</v>
      </c>
      <c r="X33" s="24">
        <v>304</v>
      </c>
      <c r="Y33" s="31">
        <v>0.7</v>
      </c>
      <c r="Z33" s="24"/>
      <c r="AA33" s="29" t="s">
        <v>141</v>
      </c>
      <c r="AB33" s="29"/>
      <c r="AC33" s="24"/>
      <c r="AD33" s="26">
        <v>570</v>
      </c>
      <c r="AE33" s="27">
        <v>570</v>
      </c>
      <c r="AF33" s="26">
        <f t="shared" si="14"/>
        <v>0</v>
      </c>
      <c r="AH33" s="24">
        <v>250046</v>
      </c>
      <c r="AI33" s="24">
        <v>304</v>
      </c>
      <c r="AJ33" s="31">
        <v>0.7</v>
      </c>
      <c r="AK33" s="24"/>
      <c r="AL33" s="29" t="s">
        <v>147</v>
      </c>
      <c r="AM33" s="29"/>
      <c r="AN33" s="24"/>
      <c r="AO33" s="26">
        <v>950</v>
      </c>
      <c r="AP33" s="27">
        <v>950</v>
      </c>
      <c r="AQ33" s="26">
        <f t="shared" si="15"/>
        <v>0</v>
      </c>
      <c r="AS33" s="24">
        <v>250046</v>
      </c>
      <c r="AT33" s="24">
        <v>304</v>
      </c>
      <c r="AU33" s="31">
        <v>0.7</v>
      </c>
      <c r="AV33" s="24"/>
      <c r="AW33" s="29" t="s">
        <v>149</v>
      </c>
      <c r="AX33" s="29"/>
      <c r="AY33" s="24"/>
      <c r="AZ33" s="26">
        <v>950</v>
      </c>
      <c r="BA33" s="27">
        <v>950</v>
      </c>
      <c r="BB33" s="26">
        <f t="shared" si="16"/>
        <v>0</v>
      </c>
      <c r="BD33" s="24"/>
      <c r="BE33" s="24"/>
      <c r="BF33" s="24"/>
      <c r="BG33" s="24"/>
      <c r="BH33" s="29"/>
      <c r="BI33" s="29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>
        <v>250064</v>
      </c>
      <c r="B34" s="24">
        <v>430</v>
      </c>
      <c r="C34" s="31">
        <v>0.5</v>
      </c>
      <c r="D34" s="31"/>
      <c r="E34" s="29" t="s">
        <v>106</v>
      </c>
      <c r="F34" s="29"/>
      <c r="G34" s="24"/>
      <c r="H34" s="26">
        <v>1000</v>
      </c>
      <c r="I34" s="27">
        <v>1000</v>
      </c>
      <c r="J34" s="26">
        <f t="shared" si="12"/>
        <v>0</v>
      </c>
      <c r="L34" s="24"/>
      <c r="M34" s="24"/>
      <c r="N34" s="31"/>
      <c r="O34" s="24"/>
      <c r="P34" s="24"/>
      <c r="Q34" s="29"/>
      <c r="R34" s="24"/>
      <c r="S34" s="26"/>
      <c r="T34" s="27"/>
      <c r="U34" s="26">
        <f t="shared" si="13"/>
        <v>0</v>
      </c>
      <c r="W34" s="24">
        <v>250048</v>
      </c>
      <c r="X34" s="24">
        <v>304</v>
      </c>
      <c r="Y34" s="31">
        <v>0.7</v>
      </c>
      <c r="Z34" s="24"/>
      <c r="AA34" s="29" t="s">
        <v>137</v>
      </c>
      <c r="AB34" s="29"/>
      <c r="AC34" s="24"/>
      <c r="AD34" s="26">
        <v>570</v>
      </c>
      <c r="AE34" s="27">
        <v>570</v>
      </c>
      <c r="AF34" s="26">
        <f t="shared" si="14"/>
        <v>0</v>
      </c>
      <c r="AH34" s="24">
        <v>250046</v>
      </c>
      <c r="AI34" s="24">
        <v>304</v>
      </c>
      <c r="AJ34" s="31">
        <v>0.7</v>
      </c>
      <c r="AK34" s="24"/>
      <c r="AL34" s="29" t="s">
        <v>148</v>
      </c>
      <c r="AM34" s="29"/>
      <c r="AN34" s="24"/>
      <c r="AO34" s="26">
        <v>950</v>
      </c>
      <c r="AP34" s="27">
        <v>950</v>
      </c>
      <c r="AQ34" s="26">
        <f t="shared" si="15"/>
        <v>0</v>
      </c>
      <c r="AS34" s="24"/>
      <c r="AT34" s="24"/>
      <c r="AU34" s="24"/>
      <c r="AV34" s="24"/>
      <c r="AW34" s="29"/>
      <c r="AX34" s="29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29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6750</v>
      </c>
      <c r="I35" s="27">
        <f>SUM(I29:I34)</f>
        <v>6750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1250</v>
      </c>
      <c r="T35" s="27">
        <f>SUM(T29:T34)</f>
        <v>1250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3420</v>
      </c>
      <c r="AE35" s="27">
        <f>SUM(AE29:AE34)</f>
        <v>3420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4200</v>
      </c>
      <c r="AP35" s="27">
        <f>SUM(AP29:AP34)</f>
        <v>4200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3950</v>
      </c>
      <c r="BA35" s="27">
        <f>SUM(BA29:BA34)</f>
        <v>3950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3000</v>
      </c>
      <c r="BL35" s="27">
        <f>SUM(BL29:BL34)</f>
        <v>3000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44"/>
      <c r="B40" s="44"/>
      <c r="C40" s="45"/>
      <c r="D40" s="45"/>
      <c r="E40" s="32"/>
      <c r="F40" s="32"/>
      <c r="G40" s="44"/>
      <c r="H40" s="46"/>
      <c r="I40" s="53"/>
      <c r="J40" s="26">
        <f>H40-I40</f>
        <v>0</v>
      </c>
      <c r="L40" s="44"/>
      <c r="M40" s="44"/>
      <c r="N40" s="45"/>
      <c r="O40" s="45"/>
      <c r="P40" s="32"/>
      <c r="Q40" s="32"/>
      <c r="R40" s="44"/>
      <c r="S40" s="46"/>
      <c r="T40" s="27"/>
      <c r="U40" s="26">
        <f>S40-T40</f>
        <v>0</v>
      </c>
      <c r="W40" s="44">
        <v>250825</v>
      </c>
      <c r="X40" s="44">
        <v>430</v>
      </c>
      <c r="Y40" s="45">
        <v>0.8</v>
      </c>
      <c r="Z40" s="45" t="s">
        <v>27</v>
      </c>
      <c r="AA40" s="32" t="s">
        <v>45</v>
      </c>
      <c r="AB40" s="32"/>
      <c r="AC40" s="44">
        <v>430</v>
      </c>
      <c r="AD40" s="46">
        <v>1000</v>
      </c>
      <c r="AE40" s="27"/>
      <c r="AF40" s="26">
        <f>AD40-AE40</f>
        <v>1000</v>
      </c>
      <c r="AH40" s="24">
        <v>250075</v>
      </c>
      <c r="AI40" s="24">
        <v>304</v>
      </c>
      <c r="AJ40" s="31">
        <v>0.9</v>
      </c>
      <c r="AK40" s="24" t="s">
        <v>27</v>
      </c>
      <c r="AL40" s="29" t="s">
        <v>347</v>
      </c>
      <c r="AM40" s="32"/>
      <c r="AN40" s="24" t="s">
        <v>29</v>
      </c>
      <c r="AO40" s="26">
        <v>804</v>
      </c>
      <c r="AP40" s="27">
        <v>804</v>
      </c>
      <c r="AQ40" s="26">
        <f>AO40-AP40</f>
        <v>0</v>
      </c>
      <c r="AS40" s="44">
        <v>250074</v>
      </c>
      <c r="AT40" s="44">
        <v>304</v>
      </c>
      <c r="AU40" s="45">
        <v>0.7</v>
      </c>
      <c r="AV40" s="45" t="s">
        <v>27</v>
      </c>
      <c r="AW40" s="32" t="s">
        <v>49</v>
      </c>
      <c r="AX40" s="32"/>
      <c r="AY40" s="44">
        <v>430</v>
      </c>
      <c r="AZ40" s="46">
        <v>708</v>
      </c>
      <c r="BA40" s="27"/>
      <c r="BB40" s="26">
        <f>AZ40-BA40</f>
        <v>708</v>
      </c>
      <c r="BD40" s="24">
        <v>290825</v>
      </c>
      <c r="BE40" s="24">
        <v>430</v>
      </c>
      <c r="BF40" s="31">
        <v>0.8</v>
      </c>
      <c r="BG40" s="24" t="s">
        <v>27</v>
      </c>
      <c r="BH40" s="29" t="s">
        <v>31</v>
      </c>
      <c r="BI40" s="29"/>
      <c r="BJ40" s="24" t="s">
        <v>29</v>
      </c>
      <c r="BK40" s="26">
        <v>4400</v>
      </c>
      <c r="BL40" s="27">
        <v>4400</v>
      </c>
      <c r="BM40" s="26">
        <f>BK40-BL40</f>
        <v>0</v>
      </c>
    </row>
    <row r="41" spans="1:65" s="30" customFormat="1" ht="20.100000000000001" customHeight="1" x14ac:dyDescent="0.3">
      <c r="A41" s="44"/>
      <c r="B41" s="44"/>
      <c r="C41" s="45"/>
      <c r="D41" s="45"/>
      <c r="E41" s="32"/>
      <c r="F41" s="32"/>
      <c r="G41" s="44"/>
      <c r="H41" s="46"/>
      <c r="I41" s="53"/>
      <c r="J41" s="26">
        <f t="shared" ref="J41:J45" si="18">H41-I41</f>
        <v>0</v>
      </c>
      <c r="L41" s="44"/>
      <c r="M41" s="44"/>
      <c r="N41" s="45"/>
      <c r="O41" s="45"/>
      <c r="P41" s="32"/>
      <c r="Q41" s="32"/>
      <c r="R41" s="44"/>
      <c r="S41" s="46"/>
      <c r="T41" s="27"/>
      <c r="U41" s="26">
        <f t="shared" ref="U41:U45" si="19">S41-T41</f>
        <v>0</v>
      </c>
      <c r="W41" s="24">
        <v>250075</v>
      </c>
      <c r="X41" s="24">
        <v>304</v>
      </c>
      <c r="Y41" s="31">
        <v>0.9</v>
      </c>
      <c r="Z41" s="24" t="s">
        <v>27</v>
      </c>
      <c r="AA41" s="29" t="s">
        <v>348</v>
      </c>
      <c r="AB41" s="32"/>
      <c r="AC41" s="24" t="s">
        <v>29</v>
      </c>
      <c r="AD41" s="26">
        <v>804</v>
      </c>
      <c r="AE41" s="27">
        <v>860</v>
      </c>
      <c r="AF41" s="26">
        <f t="shared" ref="AF41:AF45" si="20">AD41-AE41</f>
        <v>-56</v>
      </c>
      <c r="AH41" s="44">
        <v>250074</v>
      </c>
      <c r="AI41" s="44">
        <v>304</v>
      </c>
      <c r="AJ41" s="45">
        <v>0.7</v>
      </c>
      <c r="AK41" s="45" t="s">
        <v>27</v>
      </c>
      <c r="AL41" s="32" t="s">
        <v>47</v>
      </c>
      <c r="AM41" s="32"/>
      <c r="AN41" s="44">
        <v>430</v>
      </c>
      <c r="AO41" s="46">
        <v>708</v>
      </c>
      <c r="AP41" s="27"/>
      <c r="AQ41" s="26">
        <f t="shared" ref="AQ41:AQ45" si="21">AO41-AP41</f>
        <v>708</v>
      </c>
      <c r="AS41" s="24">
        <v>250048</v>
      </c>
      <c r="AT41" s="24">
        <v>304</v>
      </c>
      <c r="AU41" s="31">
        <v>0.7</v>
      </c>
      <c r="AV41" s="31" t="s">
        <v>27</v>
      </c>
      <c r="AW41" s="29" t="s">
        <v>136</v>
      </c>
      <c r="AX41" s="32"/>
      <c r="AY41" s="24">
        <v>304</v>
      </c>
      <c r="AZ41" s="26">
        <v>570</v>
      </c>
      <c r="BA41" s="27"/>
      <c r="BB41" s="26">
        <f t="shared" ref="BB41:BB45" si="22">AZ41-BA41</f>
        <v>570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44"/>
      <c r="B42" s="44"/>
      <c r="C42" s="45"/>
      <c r="D42" s="45"/>
      <c r="E42" s="32"/>
      <c r="F42" s="32"/>
      <c r="G42" s="44"/>
      <c r="H42" s="46"/>
      <c r="I42" s="53"/>
      <c r="J42" s="26">
        <f t="shared" si="18"/>
        <v>0</v>
      </c>
      <c r="L42" s="44"/>
      <c r="M42" s="44"/>
      <c r="N42" s="45"/>
      <c r="O42" s="45"/>
      <c r="P42" s="32"/>
      <c r="Q42" s="32"/>
      <c r="R42" s="44"/>
      <c r="S42" s="46"/>
      <c r="T42" s="27"/>
      <c r="U42" s="26">
        <f t="shared" si="19"/>
        <v>0</v>
      </c>
      <c r="W42" s="24"/>
      <c r="X42" s="24"/>
      <c r="Y42" s="24"/>
      <c r="Z42" s="24"/>
      <c r="AA42" s="29"/>
      <c r="AB42" s="32"/>
      <c r="AC42" s="24"/>
      <c r="AD42" s="26"/>
      <c r="AE42" s="27"/>
      <c r="AF42" s="26">
        <f t="shared" si="20"/>
        <v>0</v>
      </c>
      <c r="AH42" s="44">
        <v>250074</v>
      </c>
      <c r="AI42" s="44">
        <v>304</v>
      </c>
      <c r="AJ42" s="45">
        <v>0.7</v>
      </c>
      <c r="AK42" s="45" t="s">
        <v>27</v>
      </c>
      <c r="AL42" s="32" t="s">
        <v>48</v>
      </c>
      <c r="AM42" s="32"/>
      <c r="AN42" s="44">
        <v>430</v>
      </c>
      <c r="AO42" s="46">
        <v>708</v>
      </c>
      <c r="AP42" s="27"/>
      <c r="AQ42" s="26">
        <f t="shared" si="21"/>
        <v>708</v>
      </c>
      <c r="AS42" s="44"/>
      <c r="AT42" s="44"/>
      <c r="AU42" s="45"/>
      <c r="AV42" s="45"/>
      <c r="AW42" s="32"/>
      <c r="AX42" s="32"/>
      <c r="AY42" s="44"/>
      <c r="AZ42" s="46"/>
      <c r="BA42" s="27"/>
      <c r="BB42" s="26">
        <f t="shared" si="22"/>
        <v>0</v>
      </c>
      <c r="BD42" s="24"/>
      <c r="BE42" s="24"/>
      <c r="BF42" s="24"/>
      <c r="BG42" s="24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44"/>
      <c r="B43" s="44"/>
      <c r="C43" s="45"/>
      <c r="D43" s="45"/>
      <c r="E43" s="32"/>
      <c r="F43" s="32"/>
      <c r="G43" s="44"/>
      <c r="H43" s="46"/>
      <c r="I43" s="53"/>
      <c r="J43" s="26">
        <f t="shared" si="18"/>
        <v>0</v>
      </c>
      <c r="L43" s="44"/>
      <c r="M43" s="44"/>
      <c r="N43" s="45"/>
      <c r="O43" s="45"/>
      <c r="P43" s="32"/>
      <c r="Q43" s="32"/>
      <c r="R43" s="44"/>
      <c r="S43" s="46"/>
      <c r="T43" s="27"/>
      <c r="U43" s="26">
        <f t="shared" si="19"/>
        <v>0</v>
      </c>
      <c r="W43" s="24"/>
      <c r="X43" s="24"/>
      <c r="Y43" s="24"/>
      <c r="Z43" s="24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24"/>
      <c r="AK43" s="24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24"/>
      <c r="BG43" s="24"/>
      <c r="BH43" s="29"/>
      <c r="BI43" s="29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44"/>
      <c r="B44" s="44"/>
      <c r="C44" s="45"/>
      <c r="D44" s="45"/>
      <c r="E44" s="32"/>
      <c r="F44" s="32"/>
      <c r="G44" s="44"/>
      <c r="H44" s="46"/>
      <c r="I44" s="53"/>
      <c r="J44" s="26">
        <f t="shared" si="18"/>
        <v>0</v>
      </c>
      <c r="L44" s="44"/>
      <c r="M44" s="44"/>
      <c r="N44" s="45"/>
      <c r="O44" s="45"/>
      <c r="P44" s="32"/>
      <c r="Q44" s="32"/>
      <c r="R44" s="44"/>
      <c r="S44" s="46"/>
      <c r="T44" s="27"/>
      <c r="U44" s="26">
        <f t="shared" si="19"/>
        <v>0</v>
      </c>
      <c r="W44" s="24"/>
      <c r="X44" s="24"/>
      <c r="Y44" s="24"/>
      <c r="Z44" s="24"/>
      <c r="AA44" s="29"/>
      <c r="AB44" s="32"/>
      <c r="AC44" s="24"/>
      <c r="AD44" s="26"/>
      <c r="AE44" s="27"/>
      <c r="AF44" s="26">
        <f t="shared" si="20"/>
        <v>0</v>
      </c>
      <c r="AH44" s="24"/>
      <c r="AI44" s="24"/>
      <c r="AJ44" s="24"/>
      <c r="AK44" s="24"/>
      <c r="AL44" s="29"/>
      <c r="AM44" s="32"/>
      <c r="AN44" s="24"/>
      <c r="AO44" s="26"/>
      <c r="AP44" s="27"/>
      <c r="AQ44" s="26">
        <f t="shared" si="21"/>
        <v>0</v>
      </c>
      <c r="AS44" s="24">
        <v>10925</v>
      </c>
      <c r="AT44" s="24">
        <v>430</v>
      </c>
      <c r="AU44" s="31">
        <v>0.8</v>
      </c>
      <c r="AV44" s="26">
        <v>430</v>
      </c>
      <c r="AW44" s="29" t="s">
        <v>282</v>
      </c>
      <c r="AX44" s="32"/>
      <c r="AY44" s="24">
        <v>430</v>
      </c>
      <c r="AZ44" s="26">
        <v>2900</v>
      </c>
      <c r="BA44" s="27"/>
      <c r="BB44" s="26">
        <f t="shared" si="22"/>
        <v>2900</v>
      </c>
      <c r="BD44" s="24"/>
      <c r="BE44" s="24"/>
      <c r="BF44" s="24"/>
      <c r="BG44" s="24"/>
      <c r="BH44" s="29"/>
      <c r="BI44" s="29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44"/>
      <c r="B45" s="24"/>
      <c r="C45" s="31"/>
      <c r="D45" s="31"/>
      <c r="E45" s="29"/>
      <c r="F45" s="29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29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29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29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29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29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1804</v>
      </c>
      <c r="AE46" s="27">
        <f>SUM(AE40:AE45)</f>
        <v>860</v>
      </c>
      <c r="AF46" s="26">
        <f>SUM(AF40:AF45)</f>
        <v>944</v>
      </c>
      <c r="AH46" s="34"/>
      <c r="AI46" s="34"/>
      <c r="AJ46" s="34"/>
      <c r="AK46" s="34"/>
      <c r="AL46" s="35"/>
      <c r="AM46" s="35"/>
      <c r="AN46" s="36"/>
      <c r="AO46" s="26">
        <f>SUM(AO40:AO45)</f>
        <v>2220</v>
      </c>
      <c r="AP46" s="27">
        <f>SUM(AP40:AP45)</f>
        <v>804</v>
      </c>
      <c r="AQ46" s="26">
        <f>SUM(AQ40:AQ45)</f>
        <v>1416</v>
      </c>
      <c r="AS46" s="34"/>
      <c r="AT46" s="34"/>
      <c r="AU46" s="34"/>
      <c r="AV46" s="34"/>
      <c r="AW46" s="35"/>
      <c r="AX46" s="35"/>
      <c r="AY46" s="36"/>
      <c r="AZ46" s="26">
        <f>SUM(AZ40:AZ45)</f>
        <v>4178</v>
      </c>
      <c r="BA46" s="27">
        <f>SUM(BA40:BA45)</f>
        <v>0</v>
      </c>
      <c r="BB46" s="26">
        <f>SUM(BB40:BB45)</f>
        <v>4178</v>
      </c>
      <c r="BD46" s="34"/>
      <c r="BE46" s="34"/>
      <c r="BF46" s="34"/>
      <c r="BG46" s="34"/>
      <c r="BH46" s="35"/>
      <c r="BI46" s="35"/>
      <c r="BJ46" s="36"/>
      <c r="BK46" s="26">
        <f>SUM(BK40:BK45)</f>
        <v>4400</v>
      </c>
      <c r="BL46" s="27">
        <f>SUM(BL40:BL45)</f>
        <v>4400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44">
        <v>250825</v>
      </c>
      <c r="B51" s="24">
        <v>430</v>
      </c>
      <c r="C51" s="31">
        <v>0.8</v>
      </c>
      <c r="D51" s="31" t="s">
        <v>27</v>
      </c>
      <c r="E51" s="29" t="s">
        <v>46</v>
      </c>
      <c r="F51" s="29"/>
      <c r="G51" s="24">
        <v>430</v>
      </c>
      <c r="H51" s="26">
        <v>1000</v>
      </c>
      <c r="I51" s="27">
        <v>1000</v>
      </c>
      <c r="J51" s="26">
        <f>H51-I51</f>
        <v>0</v>
      </c>
      <c r="L51" s="44">
        <v>250825</v>
      </c>
      <c r="M51" s="24">
        <v>430</v>
      </c>
      <c r="N51" s="31">
        <v>0.8</v>
      </c>
      <c r="O51" s="31" t="s">
        <v>27</v>
      </c>
      <c r="P51" s="29" t="s">
        <v>45</v>
      </c>
      <c r="Q51" s="29"/>
      <c r="R51" s="24">
        <v>430</v>
      </c>
      <c r="S51" s="26">
        <v>2000</v>
      </c>
      <c r="T51" s="27">
        <v>2000</v>
      </c>
      <c r="U51" s="26">
        <f>S51-T51</f>
        <v>0</v>
      </c>
      <c r="W51" s="44">
        <v>250825</v>
      </c>
      <c r="X51" s="24">
        <v>430</v>
      </c>
      <c r="Y51" s="31">
        <v>0.8</v>
      </c>
      <c r="Z51" s="31" t="s">
        <v>27</v>
      </c>
      <c r="AA51" s="29" t="s">
        <v>45</v>
      </c>
      <c r="AB51" s="29"/>
      <c r="AC51" s="24">
        <v>430</v>
      </c>
      <c r="AD51" s="26">
        <v>1950</v>
      </c>
      <c r="AE51" s="27"/>
      <c r="AF51" s="26">
        <f>AD51-AE51</f>
        <v>1950</v>
      </c>
      <c r="AH51" s="24">
        <v>250075</v>
      </c>
      <c r="AI51" s="24">
        <v>304</v>
      </c>
      <c r="AJ51" s="31">
        <v>0.9</v>
      </c>
      <c r="AK51" s="24" t="s">
        <v>27</v>
      </c>
      <c r="AL51" s="29" t="s">
        <v>348</v>
      </c>
      <c r="AM51" s="29"/>
      <c r="AN51" s="24" t="s">
        <v>29</v>
      </c>
      <c r="AO51" s="26">
        <v>804</v>
      </c>
      <c r="AP51" s="27">
        <v>750</v>
      </c>
      <c r="AQ51" s="26">
        <f>AO51-AP51</f>
        <v>54</v>
      </c>
      <c r="AS51" s="24">
        <v>250048</v>
      </c>
      <c r="AT51" s="24">
        <v>304</v>
      </c>
      <c r="AU51" s="31">
        <v>0.7</v>
      </c>
      <c r="AV51" s="31" t="s">
        <v>27</v>
      </c>
      <c r="AW51" s="29" t="s">
        <v>445</v>
      </c>
      <c r="AX51" s="29"/>
      <c r="AY51" s="24">
        <v>304</v>
      </c>
      <c r="AZ51" s="26">
        <v>570</v>
      </c>
      <c r="BA51" s="27">
        <v>570</v>
      </c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44">
        <v>250825</v>
      </c>
      <c r="B52" s="24">
        <v>430</v>
      </c>
      <c r="C52" s="31">
        <v>0.8</v>
      </c>
      <c r="D52" s="31" t="s">
        <v>27</v>
      </c>
      <c r="E52" s="29" t="s">
        <v>45</v>
      </c>
      <c r="F52" s="29"/>
      <c r="G52" s="24">
        <v>430</v>
      </c>
      <c r="H52" s="26">
        <v>1050</v>
      </c>
      <c r="I52" s="27">
        <v>1050</v>
      </c>
      <c r="J52" s="26">
        <f>H52-I52</f>
        <v>0</v>
      </c>
      <c r="L52" s="24"/>
      <c r="M52" s="24"/>
      <c r="N52" s="24"/>
      <c r="O52" s="24"/>
      <c r="P52" s="29"/>
      <c r="Q52" s="29"/>
      <c r="R52" s="24"/>
      <c r="S52" s="26"/>
      <c r="T52" s="27"/>
      <c r="U52" s="26">
        <f t="shared" ref="U52:U56" si="24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5">AD52-AE52</f>
        <v>0</v>
      </c>
      <c r="AH52" s="24">
        <v>250075</v>
      </c>
      <c r="AI52" s="24">
        <v>304</v>
      </c>
      <c r="AJ52" s="31">
        <v>0.9</v>
      </c>
      <c r="AK52" s="24" t="s">
        <v>27</v>
      </c>
      <c r="AL52" s="29" t="s">
        <v>347</v>
      </c>
      <c r="AM52" s="29"/>
      <c r="AN52" s="24" t="s">
        <v>29</v>
      </c>
      <c r="AO52" s="26">
        <v>804</v>
      </c>
      <c r="AP52" s="27">
        <v>860</v>
      </c>
      <c r="AQ52" s="26">
        <f t="shared" ref="AQ52:AQ56" si="26">AO52-AP52</f>
        <v>-56</v>
      </c>
      <c r="AS52" s="44"/>
      <c r="AT52" s="44"/>
      <c r="AU52" s="45"/>
      <c r="AV52" s="45"/>
      <c r="AW52" s="32"/>
      <c r="AX52" s="29"/>
      <c r="AY52" s="44"/>
      <c r="AZ52" s="46"/>
      <c r="BA52" s="27"/>
      <c r="BB52" s="26">
        <f t="shared" ref="BB52:BB56" si="27">AZ52-BA52</f>
        <v>0</v>
      </c>
      <c r="BD52" s="24"/>
      <c r="BE52" s="24"/>
      <c r="BF52" s="24"/>
      <c r="BG52" s="24"/>
      <c r="BH52" s="29"/>
      <c r="BI52" s="29"/>
      <c r="BJ52" s="24"/>
      <c r="BK52" s="26"/>
      <c r="BL52" s="27"/>
      <c r="BM52" s="26">
        <f t="shared" ref="BM52:BM56" si="28">BK52-BL52</f>
        <v>0</v>
      </c>
    </row>
    <row r="53" spans="1:65" s="30" customFormat="1" ht="20.100000000000001" customHeight="1" x14ac:dyDescent="0.3">
      <c r="A53" s="24"/>
      <c r="B53" s="24"/>
      <c r="C53" s="24"/>
      <c r="D53" s="24"/>
      <c r="E53" s="29"/>
      <c r="F53" s="29"/>
      <c r="G53" s="24"/>
      <c r="H53" s="26"/>
      <c r="I53" s="27"/>
      <c r="J53" s="26">
        <f>H53-I53</f>
        <v>0</v>
      </c>
      <c r="L53" s="24"/>
      <c r="M53" s="24"/>
      <c r="N53" s="24"/>
      <c r="O53" s="24"/>
      <c r="P53" s="29"/>
      <c r="Q53" s="29"/>
      <c r="R53" s="24"/>
      <c r="S53" s="26"/>
      <c r="T53" s="27"/>
      <c r="U53" s="26">
        <f t="shared" si="24"/>
        <v>0</v>
      </c>
      <c r="W53" s="24"/>
      <c r="X53" s="24"/>
      <c r="Y53" s="24"/>
      <c r="Z53" s="24"/>
      <c r="AA53" s="29"/>
      <c r="AB53" s="29"/>
      <c r="AC53" s="24"/>
      <c r="AD53" s="26"/>
      <c r="AE53" s="27"/>
      <c r="AF53" s="26">
        <f t="shared" si="25"/>
        <v>0</v>
      </c>
      <c r="AH53" s="44"/>
      <c r="AI53" s="44"/>
      <c r="AJ53" s="45"/>
      <c r="AK53" s="45"/>
      <c r="AL53" s="32"/>
      <c r="AM53" s="29"/>
      <c r="AN53" s="44"/>
      <c r="AO53" s="46"/>
      <c r="AP53" s="27"/>
      <c r="AQ53" s="26">
        <f t="shared" si="26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7"/>
        <v>0</v>
      </c>
      <c r="BD53" s="24"/>
      <c r="BE53" s="24"/>
      <c r="BF53" s="24"/>
      <c r="BG53" s="24"/>
      <c r="BH53" s="29"/>
      <c r="BI53" s="29"/>
      <c r="BJ53" s="24"/>
      <c r="BK53" s="26"/>
      <c r="BL53" s="27"/>
      <c r="BM53" s="26">
        <f t="shared" si="28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29"/>
      <c r="G54" s="24"/>
      <c r="H54" s="26"/>
      <c r="I54" s="27"/>
      <c r="J54" s="26">
        <f>H54-I54</f>
        <v>0</v>
      </c>
      <c r="L54" s="24"/>
      <c r="M54" s="24"/>
      <c r="N54" s="24"/>
      <c r="O54" s="24"/>
      <c r="P54" s="29"/>
      <c r="Q54" s="29"/>
      <c r="R54" s="24"/>
      <c r="S54" s="26"/>
      <c r="T54" s="27"/>
      <c r="U54" s="26">
        <f t="shared" si="24"/>
        <v>0</v>
      </c>
      <c r="W54" s="24"/>
      <c r="X54" s="24"/>
      <c r="Y54" s="24"/>
      <c r="Z54" s="24"/>
      <c r="AA54" s="29"/>
      <c r="AB54" s="29"/>
      <c r="AC54" s="24"/>
      <c r="AD54" s="26"/>
      <c r="AE54" s="27"/>
      <c r="AF54" s="26">
        <f t="shared" si="25"/>
        <v>0</v>
      </c>
      <c r="AH54" s="24"/>
      <c r="AI54" s="24"/>
      <c r="AJ54" s="24"/>
      <c r="AK54" s="24"/>
      <c r="AL54" s="29"/>
      <c r="AM54" s="29"/>
      <c r="AN54" s="24"/>
      <c r="AO54" s="26"/>
      <c r="AP54" s="27"/>
      <c r="AQ54" s="26">
        <f t="shared" si="26"/>
        <v>0</v>
      </c>
      <c r="AS54" s="24"/>
      <c r="AT54" s="24"/>
      <c r="AU54" s="24"/>
      <c r="AV54" s="24"/>
      <c r="AW54" s="29"/>
      <c r="AX54" s="29"/>
      <c r="AY54" s="24"/>
      <c r="AZ54" s="26"/>
      <c r="BA54" s="27"/>
      <c r="BB54" s="26">
        <f t="shared" si="27"/>
        <v>0</v>
      </c>
      <c r="BD54" s="24"/>
      <c r="BE54" s="24"/>
      <c r="BF54" s="24"/>
      <c r="BG54" s="24"/>
      <c r="BH54" s="29"/>
      <c r="BI54" s="29"/>
      <c r="BJ54" s="24"/>
      <c r="BK54" s="26"/>
      <c r="BL54" s="27"/>
      <c r="BM54" s="26">
        <f t="shared" si="28"/>
        <v>0</v>
      </c>
    </row>
    <row r="55" spans="1:65" s="30" customFormat="1" ht="20.100000000000001" customHeight="1" x14ac:dyDescent="0.3">
      <c r="A55" s="24"/>
      <c r="B55" s="24"/>
      <c r="C55" s="24"/>
      <c r="D55" s="24"/>
      <c r="E55" s="29"/>
      <c r="F55" s="29"/>
      <c r="G55" s="24"/>
      <c r="H55" s="26"/>
      <c r="I55" s="27"/>
      <c r="J55" s="26">
        <f t="shared" ref="J55:J56" si="29">H55-I55</f>
        <v>0</v>
      </c>
      <c r="L55" s="24"/>
      <c r="M55" s="24"/>
      <c r="N55" s="24"/>
      <c r="O55" s="24"/>
      <c r="P55" s="29"/>
      <c r="Q55" s="29"/>
      <c r="R55" s="24"/>
      <c r="S55" s="26"/>
      <c r="T55" s="27"/>
      <c r="U55" s="26">
        <f t="shared" si="24"/>
        <v>0</v>
      </c>
      <c r="W55" s="24"/>
      <c r="X55" s="24"/>
      <c r="Y55" s="24"/>
      <c r="Z55" s="24"/>
      <c r="AA55" s="29"/>
      <c r="AB55" s="29"/>
      <c r="AC55" s="24"/>
      <c r="AD55" s="26"/>
      <c r="AE55" s="27"/>
      <c r="AF55" s="26">
        <f t="shared" si="25"/>
        <v>0</v>
      </c>
      <c r="AH55" s="24"/>
      <c r="AI55" s="24"/>
      <c r="AJ55" s="24"/>
      <c r="AK55" s="24"/>
      <c r="AL55" s="29"/>
      <c r="AM55" s="29"/>
      <c r="AN55" s="24"/>
      <c r="AO55" s="26"/>
      <c r="AP55" s="27"/>
      <c r="AQ55" s="26">
        <f t="shared" si="26"/>
        <v>0</v>
      </c>
      <c r="AS55" s="24"/>
      <c r="AT55" s="24"/>
      <c r="AU55" s="24"/>
      <c r="AV55" s="24"/>
      <c r="AW55" s="29"/>
      <c r="AX55" s="29"/>
      <c r="AY55" s="24"/>
      <c r="AZ55" s="26"/>
      <c r="BA55" s="27"/>
      <c r="BB55" s="26">
        <f t="shared" si="27"/>
        <v>0</v>
      </c>
      <c r="BD55" s="24"/>
      <c r="BE55" s="24"/>
      <c r="BF55" s="24"/>
      <c r="BG55" s="24"/>
      <c r="BH55" s="29"/>
      <c r="BI55" s="29"/>
      <c r="BJ55" s="24"/>
      <c r="BK55" s="26"/>
      <c r="BL55" s="27"/>
      <c r="BM55" s="26">
        <f t="shared" si="28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29"/>
      <c r="G56" s="24"/>
      <c r="H56" s="26"/>
      <c r="I56" s="27"/>
      <c r="J56" s="26">
        <f t="shared" si="29"/>
        <v>0</v>
      </c>
      <c r="L56" s="24"/>
      <c r="M56" s="24"/>
      <c r="N56" s="24"/>
      <c r="O56" s="24"/>
      <c r="P56" s="29"/>
      <c r="Q56" s="29"/>
      <c r="R56" s="24"/>
      <c r="S56" s="26"/>
      <c r="T56" s="27"/>
      <c r="U56" s="26">
        <f t="shared" si="24"/>
        <v>0</v>
      </c>
      <c r="W56" s="24"/>
      <c r="X56" s="24"/>
      <c r="Y56" s="24"/>
      <c r="Z56" s="24"/>
      <c r="AA56" s="29"/>
      <c r="AB56" s="29"/>
      <c r="AC56" s="24"/>
      <c r="AD56" s="26"/>
      <c r="AE56" s="27"/>
      <c r="AF56" s="26">
        <f t="shared" si="25"/>
        <v>0</v>
      </c>
      <c r="AH56" s="24"/>
      <c r="AI56" s="24"/>
      <c r="AJ56" s="24"/>
      <c r="AK56" s="24"/>
      <c r="AL56" s="29"/>
      <c r="AM56" s="29"/>
      <c r="AN56" s="24"/>
      <c r="AO56" s="26"/>
      <c r="AP56" s="27"/>
      <c r="AQ56" s="26">
        <f t="shared" si="26"/>
        <v>0</v>
      </c>
      <c r="AS56" s="24"/>
      <c r="AT56" s="24"/>
      <c r="AU56" s="24"/>
      <c r="AV56" s="24"/>
      <c r="AW56" s="29"/>
      <c r="AX56" s="29"/>
      <c r="AY56" s="24"/>
      <c r="AZ56" s="26"/>
      <c r="BA56" s="27"/>
      <c r="BB56" s="26">
        <f t="shared" si="27"/>
        <v>0</v>
      </c>
      <c r="BD56" s="24"/>
      <c r="BE56" s="24"/>
      <c r="BF56" s="24"/>
      <c r="BG56" s="24"/>
      <c r="BH56" s="29"/>
      <c r="BI56" s="29"/>
      <c r="BJ56" s="24"/>
      <c r="BK56" s="26"/>
      <c r="BL56" s="27"/>
      <c r="BM56" s="26">
        <f t="shared" si="28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2050</v>
      </c>
      <c r="I57" s="27">
        <f>SUM(I51:I56)</f>
        <v>2050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2000</v>
      </c>
      <c r="T57" s="27">
        <f>SUM(T51:T56)</f>
        <v>2000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1950</v>
      </c>
      <c r="AE57" s="27">
        <f>SUM(AE51:AE56)</f>
        <v>0</v>
      </c>
      <c r="AF57" s="26">
        <f>SUM(AF51:AF56)</f>
        <v>1950</v>
      </c>
      <c r="AH57" s="34"/>
      <c r="AI57" s="34"/>
      <c r="AJ57" s="34"/>
      <c r="AK57" s="34"/>
      <c r="AL57" s="35"/>
      <c r="AM57" s="35"/>
      <c r="AN57" s="36"/>
      <c r="AO57" s="26">
        <f>SUM(AO51:AO56)</f>
        <v>1608</v>
      </c>
      <c r="AP57" s="27">
        <f>SUM(AP51:AP56)</f>
        <v>1610</v>
      </c>
      <c r="AQ57" s="26">
        <f>SUM(AQ51:AQ56)</f>
        <v>-2</v>
      </c>
      <c r="AS57" s="34"/>
      <c r="AT57" s="34"/>
      <c r="AU57" s="34"/>
      <c r="AV57" s="34"/>
      <c r="AW57" s="35"/>
      <c r="AX57" s="35"/>
      <c r="AY57" s="36"/>
      <c r="AZ57" s="26">
        <f>SUM(AZ51:AZ56)</f>
        <v>570</v>
      </c>
      <c r="BA57" s="27">
        <f>SUM(BA51:BA56)</f>
        <v>570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44">
        <v>250825</v>
      </c>
      <c r="B62" s="24">
        <v>430</v>
      </c>
      <c r="C62" s="31">
        <v>0.8</v>
      </c>
      <c r="D62" s="31"/>
      <c r="E62" s="29" t="s">
        <v>231</v>
      </c>
      <c r="F62" s="29"/>
      <c r="G62" s="24"/>
      <c r="H62" s="26">
        <v>2000</v>
      </c>
      <c r="I62" s="27">
        <v>2000</v>
      </c>
      <c r="J62" s="26">
        <f>H62-I62</f>
        <v>0</v>
      </c>
      <c r="L62" s="44"/>
      <c r="M62" s="24"/>
      <c r="N62" s="31"/>
      <c r="O62" s="31"/>
      <c r="P62" s="29"/>
      <c r="Q62" s="29"/>
      <c r="R62" s="24"/>
      <c r="S62" s="26"/>
      <c r="T62" s="27">
        <v>0</v>
      </c>
      <c r="U62" s="26">
        <f>S62-T62</f>
        <v>0</v>
      </c>
      <c r="W62" s="24">
        <v>250039</v>
      </c>
      <c r="X62" s="24">
        <v>304</v>
      </c>
      <c r="Y62" s="31">
        <v>0.7</v>
      </c>
      <c r="Z62" s="31" t="s">
        <v>27</v>
      </c>
      <c r="AA62" s="29" t="s">
        <v>173</v>
      </c>
      <c r="AB62" s="29"/>
      <c r="AC62" s="24">
        <v>304</v>
      </c>
      <c r="AD62" s="26">
        <v>2400</v>
      </c>
      <c r="AE62" s="27">
        <v>2400</v>
      </c>
      <c r="AF62" s="26">
        <f>AD62-AE62</f>
        <v>0</v>
      </c>
      <c r="AH62" s="24">
        <v>250039</v>
      </c>
      <c r="AI62" s="24">
        <v>304</v>
      </c>
      <c r="AJ62" s="31">
        <v>0.7</v>
      </c>
      <c r="AK62" s="31" t="s">
        <v>27</v>
      </c>
      <c r="AL62" s="29" t="s">
        <v>180</v>
      </c>
      <c r="AM62" s="29"/>
      <c r="AN62" s="24">
        <v>304</v>
      </c>
      <c r="AO62" s="26">
        <v>2400</v>
      </c>
      <c r="AP62" s="27">
        <v>2400</v>
      </c>
      <c r="AQ62" s="26">
        <f>AO62-AP62</f>
        <v>0</v>
      </c>
      <c r="AS62" s="24">
        <v>250039</v>
      </c>
      <c r="AT62" s="24">
        <v>304</v>
      </c>
      <c r="AU62" s="31">
        <v>0.7</v>
      </c>
      <c r="AV62" s="31" t="s">
        <v>27</v>
      </c>
      <c r="AW62" s="29" t="s">
        <v>174</v>
      </c>
      <c r="AX62" s="29"/>
      <c r="AY62" s="24">
        <v>304</v>
      </c>
      <c r="AZ62" s="26">
        <v>2400</v>
      </c>
      <c r="BA62" s="27">
        <v>2400</v>
      </c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4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24"/>
      <c r="O63" s="24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>
        <v>250039</v>
      </c>
      <c r="AI63" s="24">
        <v>304</v>
      </c>
      <c r="AJ63" s="31">
        <v>0.7</v>
      </c>
      <c r="AK63" s="31" t="s">
        <v>27</v>
      </c>
      <c r="AL63" s="29" t="s">
        <v>181</v>
      </c>
      <c r="AM63" s="29"/>
      <c r="AN63" s="24">
        <v>304</v>
      </c>
      <c r="AO63" s="26">
        <v>2400</v>
      </c>
      <c r="AP63" s="27">
        <v>2400</v>
      </c>
      <c r="AQ63" s="26">
        <f t="shared" ref="AQ63:AQ67" si="33">AO63-AP63</f>
        <v>0</v>
      </c>
      <c r="AS63" s="24">
        <v>250039</v>
      </c>
      <c r="AT63" s="24">
        <v>304</v>
      </c>
      <c r="AU63" s="31">
        <v>0.7</v>
      </c>
      <c r="AV63" s="31" t="s">
        <v>27</v>
      </c>
      <c r="AW63" s="29" t="s">
        <v>175</v>
      </c>
      <c r="AX63" s="29"/>
      <c r="AY63" s="24">
        <v>304</v>
      </c>
      <c r="AZ63" s="26">
        <v>2400</v>
      </c>
      <c r="BA63" s="27">
        <v>2400</v>
      </c>
      <c r="BB63" s="26">
        <f t="shared" ref="BB63:BB67" si="34">AZ63-BA63</f>
        <v>0</v>
      </c>
      <c r="BD63" s="24"/>
      <c r="BE63" s="24"/>
      <c r="BF63" s="24"/>
      <c r="BG63" s="24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24"/>
      <c r="D64" s="24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24"/>
      <c r="O64" s="24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24"/>
      <c r="AK64" s="24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24"/>
      <c r="AV64" s="24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24"/>
      <c r="BG64" s="24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24"/>
      <c r="D65" s="24"/>
      <c r="E65" s="29"/>
      <c r="F65" s="29"/>
      <c r="G65" s="24"/>
      <c r="H65" s="26"/>
      <c r="I65" s="27"/>
      <c r="J65" s="26">
        <f t="shared" si="30"/>
        <v>0</v>
      </c>
      <c r="L65" s="24"/>
      <c r="M65" s="24"/>
      <c r="N65" s="24"/>
      <c r="O65" s="24"/>
      <c r="P65" s="29"/>
      <c r="Q65" s="29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29"/>
      <c r="AC65" s="24"/>
      <c r="AD65" s="26"/>
      <c r="AE65" s="27"/>
      <c r="AF65" s="26">
        <f t="shared" si="32"/>
        <v>0</v>
      </c>
      <c r="AH65" s="24"/>
      <c r="AI65" s="24"/>
      <c r="AJ65" s="24"/>
      <c r="AK65" s="24"/>
      <c r="AL65" s="29"/>
      <c r="AM65" s="29"/>
      <c r="AN65" s="24"/>
      <c r="AO65" s="26"/>
      <c r="AP65" s="27"/>
      <c r="AQ65" s="26">
        <f t="shared" si="33"/>
        <v>0</v>
      </c>
      <c r="AS65" s="24"/>
      <c r="AT65" s="24"/>
      <c r="AU65" s="24"/>
      <c r="AV65" s="24"/>
      <c r="AW65" s="29"/>
      <c r="AX65" s="29"/>
      <c r="AY65" s="24"/>
      <c r="AZ65" s="26"/>
      <c r="BA65" s="27"/>
      <c r="BB65" s="26">
        <f t="shared" si="34"/>
        <v>0</v>
      </c>
      <c r="BD65" s="24"/>
      <c r="BE65" s="24"/>
      <c r="BF65" s="24"/>
      <c r="BG65" s="24"/>
      <c r="BH65" s="29"/>
      <c r="BI65" s="29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24"/>
      <c r="D66" s="24"/>
      <c r="E66" s="29" t="s">
        <v>280</v>
      </c>
      <c r="F66" s="29"/>
      <c r="G66" s="24"/>
      <c r="H66" s="26"/>
      <c r="I66" s="27"/>
      <c r="J66" s="26">
        <f t="shared" si="30"/>
        <v>0</v>
      </c>
      <c r="L66" s="24"/>
      <c r="M66" s="24"/>
      <c r="N66" s="24"/>
      <c r="O66" s="24"/>
      <c r="P66" s="29"/>
      <c r="Q66" s="29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29"/>
      <c r="AC66" s="24"/>
      <c r="AD66" s="26"/>
      <c r="AE66" s="27"/>
      <c r="AF66" s="26">
        <f t="shared" si="32"/>
        <v>0</v>
      </c>
      <c r="AH66" s="24"/>
      <c r="AI66" s="24"/>
      <c r="AJ66" s="24"/>
      <c r="AK66" s="24"/>
      <c r="AL66" s="29"/>
      <c r="AM66" s="29"/>
      <c r="AN66" s="24"/>
      <c r="AO66" s="26"/>
      <c r="AP66" s="27"/>
      <c r="AQ66" s="26">
        <f t="shared" si="33"/>
        <v>0</v>
      </c>
      <c r="AS66" s="24"/>
      <c r="AT66" s="24"/>
      <c r="AU66" s="24"/>
      <c r="AV66" s="24"/>
      <c r="AW66" s="29"/>
      <c r="AX66" s="29"/>
      <c r="AY66" s="24"/>
      <c r="AZ66" s="26"/>
      <c r="BA66" s="27"/>
      <c r="BB66" s="26">
        <f t="shared" si="34"/>
        <v>0</v>
      </c>
      <c r="BD66" s="24"/>
      <c r="BE66" s="24"/>
      <c r="BF66" s="24"/>
      <c r="BG66" s="24"/>
      <c r="BH66" s="29"/>
      <c r="BI66" s="29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 t="s">
        <v>281</v>
      </c>
      <c r="F67" s="29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29"/>
      <c r="R67" s="24"/>
      <c r="S67" s="26"/>
      <c r="T67" s="27"/>
      <c r="U67" s="26">
        <f t="shared" si="31"/>
        <v>0</v>
      </c>
      <c r="W67" s="24"/>
      <c r="X67" s="24"/>
      <c r="Y67" s="31"/>
      <c r="Z67" s="31"/>
      <c r="AA67" s="29"/>
      <c r="AB67" s="29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29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29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29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2000</v>
      </c>
      <c r="I68" s="27">
        <f>SUM(I62:I67)</f>
        <v>2000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2400</v>
      </c>
      <c r="AE68" s="27">
        <f>SUM(AE62:AE67)</f>
        <v>2400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4800</v>
      </c>
      <c r="AP68" s="27">
        <f>SUM(AP62:AP67)</f>
        <v>4800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4800</v>
      </c>
      <c r="BA68" s="27">
        <f>SUM(BA62:BA67)</f>
        <v>4800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>
        <v>150725</v>
      </c>
      <c r="AI73" s="24">
        <v>430</v>
      </c>
      <c r="AJ73" s="31">
        <v>0.5</v>
      </c>
      <c r="AK73" s="31" t="s">
        <v>27</v>
      </c>
      <c r="AL73" s="29" t="s">
        <v>238</v>
      </c>
      <c r="AM73" s="29"/>
      <c r="AN73" s="24"/>
      <c r="AO73" s="26">
        <v>1420</v>
      </c>
      <c r="AP73" s="27">
        <v>1420</v>
      </c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>
        <v>150725</v>
      </c>
      <c r="AI74" s="24">
        <v>430</v>
      </c>
      <c r="AJ74" s="31">
        <v>0.5</v>
      </c>
      <c r="AK74" s="31" t="s">
        <v>27</v>
      </c>
      <c r="AL74" s="29" t="s">
        <v>239</v>
      </c>
      <c r="AM74" s="29"/>
      <c r="AN74" s="24"/>
      <c r="AO74" s="26">
        <v>1420</v>
      </c>
      <c r="AP74" s="27">
        <v>1420</v>
      </c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24"/>
      <c r="BG74" s="24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>
        <v>150725</v>
      </c>
      <c r="AI75" s="24">
        <v>430</v>
      </c>
      <c r="AJ75" s="31">
        <v>0.5</v>
      </c>
      <c r="AK75" s="31" t="s">
        <v>27</v>
      </c>
      <c r="AL75" s="29" t="s">
        <v>240</v>
      </c>
      <c r="AM75" s="29"/>
      <c r="AN75" s="24"/>
      <c r="AO75" s="26">
        <v>1420</v>
      </c>
      <c r="AP75" s="27">
        <v>1420</v>
      </c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24"/>
      <c r="BG75" s="24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29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29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29"/>
      <c r="AC76" s="24"/>
      <c r="AD76" s="26"/>
      <c r="AE76" s="27"/>
      <c r="AF76" s="26">
        <f t="shared" si="38"/>
        <v>0</v>
      </c>
      <c r="AH76" s="24">
        <v>150725</v>
      </c>
      <c r="AI76" s="24">
        <v>430</v>
      </c>
      <c r="AJ76" s="31">
        <v>0.5</v>
      </c>
      <c r="AK76" s="31" t="s">
        <v>27</v>
      </c>
      <c r="AL76" s="29" t="s">
        <v>241</v>
      </c>
      <c r="AM76" s="29"/>
      <c r="AN76" s="24"/>
      <c r="AO76" s="26">
        <v>1420</v>
      </c>
      <c r="AP76" s="27">
        <v>1420</v>
      </c>
      <c r="AQ76" s="26">
        <f t="shared" si="39"/>
        <v>0</v>
      </c>
      <c r="AS76" s="24"/>
      <c r="AT76" s="24"/>
      <c r="AU76" s="31"/>
      <c r="AV76" s="31"/>
      <c r="AW76" s="29"/>
      <c r="AX76" s="29"/>
      <c r="AY76" s="24"/>
      <c r="AZ76" s="26"/>
      <c r="BA76" s="27"/>
      <c r="BB76" s="26">
        <f t="shared" si="40"/>
        <v>0</v>
      </c>
      <c r="BD76" s="24"/>
      <c r="BE76" s="24"/>
      <c r="BF76" s="24"/>
      <c r="BG76" s="24"/>
      <c r="BH76" s="29"/>
      <c r="BI76" s="29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29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29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29"/>
      <c r="AC77" s="24"/>
      <c r="AD77" s="26"/>
      <c r="AE77" s="27"/>
      <c r="AF77" s="26">
        <f t="shared" si="38"/>
        <v>0</v>
      </c>
      <c r="AH77" s="24">
        <v>150725</v>
      </c>
      <c r="AI77" s="24">
        <v>430</v>
      </c>
      <c r="AJ77" s="31">
        <v>0.5</v>
      </c>
      <c r="AK77" s="31" t="s">
        <v>27</v>
      </c>
      <c r="AL77" s="29" t="s">
        <v>242</v>
      </c>
      <c r="AM77" s="29"/>
      <c r="AN77" s="24"/>
      <c r="AO77" s="26">
        <v>1420</v>
      </c>
      <c r="AP77" s="27">
        <v>1420</v>
      </c>
      <c r="AQ77" s="26">
        <f t="shared" si="39"/>
        <v>0</v>
      </c>
      <c r="AS77" s="24"/>
      <c r="AT77" s="24"/>
      <c r="AU77" s="31"/>
      <c r="AV77" s="31"/>
      <c r="AW77" s="29"/>
      <c r="AX77" s="29"/>
      <c r="AY77" s="24"/>
      <c r="AZ77" s="26"/>
      <c r="BA77" s="27"/>
      <c r="BB77" s="26">
        <f t="shared" si="40"/>
        <v>0</v>
      </c>
      <c r="BD77" s="24"/>
      <c r="BE77" s="24"/>
      <c r="BF77" s="24"/>
      <c r="BG77" s="24"/>
      <c r="BH77" s="29"/>
      <c r="BI77" s="29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31"/>
      <c r="D78" s="31"/>
      <c r="E78" s="29"/>
      <c r="F78" s="29"/>
      <c r="G78" s="24"/>
      <c r="H78" s="26"/>
      <c r="I78" s="27"/>
      <c r="J78" s="26">
        <f t="shared" si="36"/>
        <v>0</v>
      </c>
      <c r="L78" s="24"/>
      <c r="M78" s="24"/>
      <c r="N78" s="31"/>
      <c r="O78" s="31"/>
      <c r="P78" s="29"/>
      <c r="Q78" s="29"/>
      <c r="R78" s="24"/>
      <c r="S78" s="26"/>
      <c r="T78" s="27"/>
      <c r="U78" s="26">
        <f t="shared" si="37"/>
        <v>0</v>
      </c>
      <c r="W78" s="24"/>
      <c r="X78" s="24"/>
      <c r="Y78" s="31"/>
      <c r="Z78" s="31"/>
      <c r="AA78" s="29"/>
      <c r="AB78" s="29"/>
      <c r="AC78" s="24"/>
      <c r="AD78" s="26"/>
      <c r="AE78" s="27"/>
      <c r="AF78" s="26">
        <f t="shared" si="38"/>
        <v>0</v>
      </c>
      <c r="AH78" s="24">
        <v>150725</v>
      </c>
      <c r="AI78" s="24">
        <v>430</v>
      </c>
      <c r="AJ78" s="31">
        <v>0.5</v>
      </c>
      <c r="AK78" s="31" t="s">
        <v>27</v>
      </c>
      <c r="AL78" s="29" t="s">
        <v>243</v>
      </c>
      <c r="AM78" s="29"/>
      <c r="AN78" s="24"/>
      <c r="AO78" s="26">
        <v>1420</v>
      </c>
      <c r="AP78" s="27">
        <v>1420</v>
      </c>
      <c r="AQ78" s="26">
        <f t="shared" si="39"/>
        <v>0</v>
      </c>
      <c r="AS78" s="24"/>
      <c r="AT78" s="24"/>
      <c r="AU78" s="31"/>
      <c r="AV78" s="31"/>
      <c r="AW78" s="29"/>
      <c r="AX78" s="29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29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8520</v>
      </c>
      <c r="AP79" s="27">
        <f>SUM(AP73:AP78)</f>
        <v>8520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BM79"/>
  <sheetViews>
    <sheetView topLeftCell="AV28" zoomScale="70" zoomScaleNormal="70" workbookViewId="0">
      <selection activeCell="BA63" sqref="BA63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55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55" customWidth="1"/>
    <col min="29" max="32" width="8.21875" style="1" customWidth="1"/>
    <col min="33" max="33" width="1.77734375" customWidth="1"/>
    <col min="34" max="34" width="8.5546875" style="1" customWidth="1"/>
    <col min="35" max="35" width="7.5546875" style="1" customWidth="1"/>
    <col min="36" max="36" width="9.21875" style="1" bestFit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1" spans="1:65" x14ac:dyDescent="0.3">
      <c r="W1" s="51"/>
      <c r="X1" s="51"/>
      <c r="Y1" s="51"/>
      <c r="AH1" s="92"/>
      <c r="AI1" s="92"/>
      <c r="AJ1" s="92"/>
    </row>
    <row r="2" spans="1:65" x14ac:dyDescent="0.3">
      <c r="W2" s="51"/>
      <c r="X2" s="51"/>
      <c r="Y2" s="51"/>
      <c r="AC2" s="83" t="s">
        <v>222</v>
      </c>
      <c r="AD2" s="84"/>
      <c r="AE2" s="87" t="s">
        <v>317</v>
      </c>
      <c r="AF2" s="88"/>
      <c r="AH2" s="92"/>
      <c r="AI2" s="92"/>
      <c r="AJ2" s="92"/>
      <c r="BJ2" s="83" t="s">
        <v>222</v>
      </c>
      <c r="BK2" s="84"/>
      <c r="BL2" s="87" t="s">
        <v>317</v>
      </c>
      <c r="BM2" s="88"/>
    </row>
    <row r="3" spans="1:65" x14ac:dyDescent="0.3">
      <c r="E3" s="22"/>
      <c r="F3" s="23"/>
      <c r="G3" s="22"/>
      <c r="P3" s="22"/>
      <c r="Q3" s="23"/>
      <c r="R3" s="22"/>
      <c r="W3" s="52"/>
      <c r="X3" s="52"/>
      <c r="Y3" s="52"/>
      <c r="AA3" s="22"/>
      <c r="AB3" s="23"/>
      <c r="AC3" s="85"/>
      <c r="AD3" s="86"/>
      <c r="AE3" s="89"/>
      <c r="AF3" s="90"/>
      <c r="AH3" s="93"/>
      <c r="AI3" s="93"/>
      <c r="AJ3" s="93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54" customFormat="1" ht="20.100000000000001" customHeight="1" x14ac:dyDescent="0.3">
      <c r="A7" s="44"/>
      <c r="B7" s="44"/>
      <c r="C7" s="45"/>
      <c r="D7" s="45"/>
      <c r="E7" s="32"/>
      <c r="F7" s="32"/>
      <c r="G7" s="44"/>
      <c r="H7" s="46"/>
      <c r="I7" s="53"/>
      <c r="J7" s="46">
        <f>H7-I7</f>
        <v>0</v>
      </c>
      <c r="L7" s="44">
        <v>250062</v>
      </c>
      <c r="M7" s="44">
        <v>304</v>
      </c>
      <c r="N7" s="45">
        <v>0.6</v>
      </c>
      <c r="O7" s="45" t="s">
        <v>25</v>
      </c>
      <c r="P7" s="32" t="s">
        <v>113</v>
      </c>
      <c r="Q7" s="32"/>
      <c r="R7" s="44">
        <v>430</v>
      </c>
      <c r="S7" s="46">
        <v>300</v>
      </c>
      <c r="T7" s="53">
        <v>300</v>
      </c>
      <c r="U7" s="46">
        <f>S7-T7</f>
        <v>0</v>
      </c>
      <c r="W7" s="44"/>
      <c r="X7" s="44"/>
      <c r="Y7" s="45"/>
      <c r="Z7" s="45"/>
      <c r="AA7" s="32"/>
      <c r="AB7" s="32"/>
      <c r="AC7" s="44"/>
      <c r="AD7" s="46"/>
      <c r="AE7" s="53"/>
      <c r="AF7" s="46">
        <f>AD7-AE7</f>
        <v>0</v>
      </c>
      <c r="AH7" s="44">
        <v>250062</v>
      </c>
      <c r="AI7" s="44">
        <v>304</v>
      </c>
      <c r="AJ7" s="45">
        <v>0.6</v>
      </c>
      <c r="AK7" s="45" t="s">
        <v>25</v>
      </c>
      <c r="AL7" s="32" t="s">
        <v>108</v>
      </c>
      <c r="AM7" s="32"/>
      <c r="AN7" s="44">
        <v>430</v>
      </c>
      <c r="AO7" s="46">
        <v>125</v>
      </c>
      <c r="AP7" s="53">
        <v>125</v>
      </c>
      <c r="AQ7" s="46">
        <f>AO7-AP7</f>
        <v>0</v>
      </c>
      <c r="AS7" s="44">
        <v>250062</v>
      </c>
      <c r="AT7" s="44">
        <v>304</v>
      </c>
      <c r="AU7" s="45">
        <v>0.6</v>
      </c>
      <c r="AV7" s="45" t="s">
        <v>25</v>
      </c>
      <c r="AW7" s="32" t="s">
        <v>107</v>
      </c>
      <c r="AX7" s="32"/>
      <c r="AY7" s="44">
        <v>430</v>
      </c>
      <c r="AZ7" s="46">
        <v>125</v>
      </c>
      <c r="BA7" s="53">
        <v>125</v>
      </c>
      <c r="BB7" s="46">
        <f>AZ7-BA7</f>
        <v>0</v>
      </c>
      <c r="BD7" s="44"/>
      <c r="BE7" s="44"/>
      <c r="BF7" s="45"/>
      <c r="BG7" s="45"/>
      <c r="BH7" s="32"/>
      <c r="BI7" s="32"/>
      <c r="BJ7" s="44"/>
      <c r="BK7" s="46"/>
      <c r="BL7" s="53"/>
      <c r="BM7" s="46">
        <f>BK7-BL7</f>
        <v>0</v>
      </c>
    </row>
    <row r="8" spans="1:65" s="54" customFormat="1" ht="20.100000000000001" customHeight="1" x14ac:dyDescent="0.3">
      <c r="A8" s="44"/>
      <c r="B8" s="44"/>
      <c r="C8" s="45"/>
      <c r="D8" s="45"/>
      <c r="E8" s="32"/>
      <c r="F8" s="32"/>
      <c r="G8" s="44"/>
      <c r="H8" s="46"/>
      <c r="I8" s="53"/>
      <c r="J8" s="46">
        <f t="shared" ref="J8:J12" si="0">H8-I8</f>
        <v>0</v>
      </c>
      <c r="L8" s="44">
        <v>250062</v>
      </c>
      <c r="M8" s="44">
        <v>304</v>
      </c>
      <c r="N8" s="45">
        <v>0.6</v>
      </c>
      <c r="O8" s="45" t="s">
        <v>25</v>
      </c>
      <c r="P8" s="32" t="s">
        <v>112</v>
      </c>
      <c r="Q8" s="32"/>
      <c r="R8" s="44">
        <v>430</v>
      </c>
      <c r="S8" s="46">
        <v>300</v>
      </c>
      <c r="T8" s="53">
        <v>300</v>
      </c>
      <c r="U8" s="46">
        <f t="shared" ref="U8:U12" si="1">S8-T8</f>
        <v>0</v>
      </c>
      <c r="W8" s="44"/>
      <c r="X8" s="44"/>
      <c r="Y8" s="45"/>
      <c r="Z8" s="45"/>
      <c r="AA8" s="32"/>
      <c r="AB8" s="32"/>
      <c r="AC8" s="44"/>
      <c r="AD8" s="46"/>
      <c r="AE8" s="53"/>
      <c r="AF8" s="46">
        <f t="shared" ref="AF8:AF12" si="2">AD8-AE8</f>
        <v>0</v>
      </c>
      <c r="AH8" s="44"/>
      <c r="AI8" s="44"/>
      <c r="AJ8" s="45"/>
      <c r="AK8" s="45"/>
      <c r="AL8" s="32"/>
      <c r="AM8" s="32"/>
      <c r="AN8" s="44"/>
      <c r="AO8" s="46"/>
      <c r="AP8" s="53"/>
      <c r="AQ8" s="46">
        <f t="shared" ref="AQ8:AQ12" si="3">AO8-AP8</f>
        <v>0</v>
      </c>
      <c r="AS8" s="44"/>
      <c r="AT8" s="44"/>
      <c r="AU8" s="45"/>
      <c r="AV8" s="45"/>
      <c r="AW8" s="32"/>
      <c r="AX8" s="32"/>
      <c r="AY8" s="44"/>
      <c r="AZ8" s="46"/>
      <c r="BA8" s="53"/>
      <c r="BB8" s="46">
        <f t="shared" ref="BB8:BB12" si="4">AZ8-BA8</f>
        <v>0</v>
      </c>
      <c r="BD8" s="44"/>
      <c r="BE8" s="44"/>
      <c r="BF8" s="45"/>
      <c r="BG8" s="45"/>
      <c r="BH8" s="32"/>
      <c r="BI8" s="32"/>
      <c r="BJ8" s="44"/>
      <c r="BK8" s="46"/>
      <c r="BL8" s="53"/>
      <c r="BM8" s="4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24"/>
      <c r="AK9" s="24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24"/>
      <c r="AV9" s="24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32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24"/>
      <c r="AK10" s="24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24"/>
      <c r="AV10" s="24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24"/>
      <c r="BG10" s="24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56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56"/>
      <c r="AC11" s="24"/>
      <c r="AD11" s="26"/>
      <c r="AE11" s="27"/>
      <c r="AF11" s="26">
        <f t="shared" si="2"/>
        <v>0</v>
      </c>
      <c r="AH11" s="24"/>
      <c r="AI11" s="24"/>
      <c r="AJ11" s="24"/>
      <c r="AK11" s="24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24"/>
      <c r="AV11" s="24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24"/>
      <c r="BG11" s="24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31"/>
      <c r="O12" s="31"/>
      <c r="P12" s="29"/>
      <c r="Q12" s="56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56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600</v>
      </c>
      <c r="T13" s="27">
        <f>SUM(T7:T12)</f>
        <v>600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125</v>
      </c>
      <c r="AP13" s="27">
        <f>SUM(AP7:AP12)</f>
        <v>125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125</v>
      </c>
      <c r="BA13" s="27">
        <f>SUM(BA7:BA12)</f>
        <v>125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57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57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20" customFormat="1" ht="20.100000000000001" customHeight="1" x14ac:dyDescent="0.3">
      <c r="A18" s="24">
        <v>250067</v>
      </c>
      <c r="B18" s="24">
        <v>430</v>
      </c>
      <c r="C18" s="31">
        <v>0.5</v>
      </c>
      <c r="D18" s="31" t="s">
        <v>70</v>
      </c>
      <c r="E18" s="29" t="s">
        <v>73</v>
      </c>
      <c r="F18" s="29"/>
      <c r="G18" s="24">
        <v>430</v>
      </c>
      <c r="H18" s="26">
        <v>750</v>
      </c>
      <c r="I18" s="53">
        <v>750</v>
      </c>
      <c r="J18" s="46">
        <f>H18-I18</f>
        <v>0</v>
      </c>
      <c r="K18" s="54"/>
      <c r="L18" s="24">
        <v>250063</v>
      </c>
      <c r="M18" s="24">
        <v>430</v>
      </c>
      <c r="N18" s="31">
        <v>0.5</v>
      </c>
      <c r="O18" s="31" t="s">
        <v>70</v>
      </c>
      <c r="P18" s="29" t="s">
        <v>81</v>
      </c>
      <c r="Q18" s="29"/>
      <c r="R18" s="24">
        <v>430</v>
      </c>
      <c r="S18" s="26">
        <v>750</v>
      </c>
      <c r="T18" s="53">
        <v>750</v>
      </c>
      <c r="U18" s="46">
        <f>S18-T18</f>
        <v>0</v>
      </c>
      <c r="V18" s="54"/>
      <c r="W18" s="44">
        <v>225065</v>
      </c>
      <c r="X18" s="44">
        <v>430</v>
      </c>
      <c r="Y18" s="45">
        <v>0.5</v>
      </c>
      <c r="Z18" s="45" t="s">
        <v>25</v>
      </c>
      <c r="AA18" s="32" t="s">
        <v>329</v>
      </c>
      <c r="AB18" s="32"/>
      <c r="AC18" s="44">
        <v>430</v>
      </c>
      <c r="AD18" s="46">
        <v>1500</v>
      </c>
      <c r="AE18" s="53">
        <v>1575</v>
      </c>
      <c r="AF18" s="46">
        <f>AD18-AE18</f>
        <v>-75</v>
      </c>
      <c r="AG18" s="54"/>
      <c r="AH18" s="44">
        <v>225065</v>
      </c>
      <c r="AI18" s="44">
        <v>430</v>
      </c>
      <c r="AJ18" s="45">
        <v>0.5</v>
      </c>
      <c r="AK18" s="45" t="s">
        <v>25</v>
      </c>
      <c r="AL18" s="32" t="s">
        <v>331</v>
      </c>
      <c r="AM18" s="32"/>
      <c r="AN18" s="44">
        <v>430</v>
      </c>
      <c r="AO18" s="46">
        <v>1500</v>
      </c>
      <c r="AP18" s="53">
        <v>1500</v>
      </c>
      <c r="AQ18" s="46">
        <f>AO18-AP18</f>
        <v>0</v>
      </c>
      <c r="AR18" s="54"/>
      <c r="AS18" s="44">
        <v>270825</v>
      </c>
      <c r="AT18" s="44">
        <v>430</v>
      </c>
      <c r="AU18" s="45">
        <v>0.5</v>
      </c>
      <c r="AV18" s="45" t="s">
        <v>25</v>
      </c>
      <c r="AW18" s="32" t="s">
        <v>326</v>
      </c>
      <c r="AX18" s="32"/>
      <c r="AY18" s="44">
        <v>430</v>
      </c>
      <c r="AZ18" s="46">
        <v>2000</v>
      </c>
      <c r="BA18" s="53">
        <v>2000</v>
      </c>
      <c r="BB18" s="46">
        <f>AZ18-BA18</f>
        <v>0</v>
      </c>
      <c r="BC18" s="54"/>
      <c r="BD18" s="44">
        <v>225066</v>
      </c>
      <c r="BE18" s="44">
        <v>430</v>
      </c>
      <c r="BF18" s="45">
        <v>0.5</v>
      </c>
      <c r="BG18" s="45" t="s">
        <v>25</v>
      </c>
      <c r="BH18" s="32" t="s">
        <v>334</v>
      </c>
      <c r="BI18" s="32"/>
      <c r="BJ18" s="44">
        <v>430</v>
      </c>
      <c r="BK18" s="46">
        <v>1500</v>
      </c>
      <c r="BL18" s="53">
        <v>1500</v>
      </c>
      <c r="BM18" s="46">
        <f>BK18-BL18</f>
        <v>0</v>
      </c>
    </row>
    <row r="19" spans="1:65" s="20" customFormat="1" ht="20.100000000000001" customHeight="1" x14ac:dyDescent="0.3">
      <c r="A19" s="24">
        <v>250064</v>
      </c>
      <c r="B19" s="24">
        <v>430</v>
      </c>
      <c r="C19" s="31">
        <v>0.5</v>
      </c>
      <c r="D19" s="31" t="s">
        <v>70</v>
      </c>
      <c r="E19" s="29" t="s">
        <v>92</v>
      </c>
      <c r="F19" s="29"/>
      <c r="G19" s="24">
        <v>430</v>
      </c>
      <c r="H19" s="26">
        <v>1250</v>
      </c>
      <c r="I19" s="53">
        <v>1250</v>
      </c>
      <c r="J19" s="46">
        <f t="shared" ref="J19:J23" si="6">H19-I19</f>
        <v>0</v>
      </c>
      <c r="K19" s="54"/>
      <c r="L19" s="24">
        <v>250064</v>
      </c>
      <c r="M19" s="24">
        <v>430</v>
      </c>
      <c r="N19" s="31">
        <v>0.5</v>
      </c>
      <c r="O19" s="31" t="s">
        <v>70</v>
      </c>
      <c r="P19" s="29" t="s">
        <v>93</v>
      </c>
      <c r="Q19" s="29"/>
      <c r="R19" s="24">
        <v>430</v>
      </c>
      <c r="S19" s="26">
        <v>1250</v>
      </c>
      <c r="T19" s="53">
        <v>1250</v>
      </c>
      <c r="U19" s="46">
        <f t="shared" ref="U19:U23" si="7">S19-T19</f>
        <v>0</v>
      </c>
      <c r="V19" s="54"/>
      <c r="W19" s="44">
        <v>225066</v>
      </c>
      <c r="X19" s="44">
        <v>430</v>
      </c>
      <c r="Y19" s="45">
        <v>0.5</v>
      </c>
      <c r="Z19" s="45" t="s">
        <v>25</v>
      </c>
      <c r="AA19" s="32" t="s">
        <v>330</v>
      </c>
      <c r="AB19" s="32"/>
      <c r="AC19" s="44">
        <v>430</v>
      </c>
      <c r="AD19" s="46">
        <v>1500</v>
      </c>
      <c r="AE19" s="53">
        <v>1575</v>
      </c>
      <c r="AF19" s="46">
        <f t="shared" ref="AF19:AF23" si="8">AD19-AE19</f>
        <v>-75</v>
      </c>
      <c r="AG19" s="54"/>
      <c r="AH19" s="44">
        <v>225066</v>
      </c>
      <c r="AI19" s="44">
        <v>430</v>
      </c>
      <c r="AJ19" s="45">
        <v>0.5</v>
      </c>
      <c r="AK19" s="45" t="s">
        <v>25</v>
      </c>
      <c r="AL19" s="32" t="s">
        <v>332</v>
      </c>
      <c r="AM19" s="32"/>
      <c r="AN19" s="44">
        <v>430</v>
      </c>
      <c r="AO19" s="46">
        <v>1500</v>
      </c>
      <c r="AP19" s="53">
        <v>1500</v>
      </c>
      <c r="AQ19" s="46">
        <f t="shared" ref="AQ19:AQ23" si="9">AO19-AP19</f>
        <v>0</v>
      </c>
      <c r="AR19" s="54"/>
      <c r="AS19" s="44">
        <v>225065</v>
      </c>
      <c r="AT19" s="44">
        <v>430</v>
      </c>
      <c r="AU19" s="45">
        <v>0.5</v>
      </c>
      <c r="AV19" s="32" t="s">
        <v>25</v>
      </c>
      <c r="AW19" s="32" t="s">
        <v>333</v>
      </c>
      <c r="AX19" s="32"/>
      <c r="AY19" s="46">
        <v>430</v>
      </c>
      <c r="AZ19" s="46">
        <v>1500</v>
      </c>
      <c r="BA19" s="53">
        <v>1300</v>
      </c>
      <c r="BB19" s="46">
        <f t="shared" ref="BB19:BB23" si="10">AZ19-BA19</f>
        <v>200</v>
      </c>
      <c r="BC19" s="54"/>
      <c r="BD19" s="44">
        <v>270825</v>
      </c>
      <c r="BE19" s="44">
        <v>430</v>
      </c>
      <c r="BF19" s="45">
        <v>0.5</v>
      </c>
      <c r="BG19" s="45" t="s">
        <v>25</v>
      </c>
      <c r="BH19" s="32" t="s">
        <v>327</v>
      </c>
      <c r="BI19" s="32"/>
      <c r="BJ19" s="44">
        <v>430</v>
      </c>
      <c r="BK19" s="46">
        <v>2000</v>
      </c>
      <c r="BL19" s="53">
        <v>2000</v>
      </c>
      <c r="BM19" s="46">
        <f t="shared" ref="BM19:BM23" si="11">BK19-BL19</f>
        <v>0</v>
      </c>
    </row>
    <row r="20" spans="1:65" s="4" customFormat="1" ht="20.100000000000001" customHeight="1" x14ac:dyDescent="0.3">
      <c r="A20" s="24">
        <v>250063</v>
      </c>
      <c r="B20" s="24">
        <v>430</v>
      </c>
      <c r="C20" s="31">
        <v>0.5</v>
      </c>
      <c r="D20" s="31" t="s">
        <v>70</v>
      </c>
      <c r="E20" s="29" t="s">
        <v>81</v>
      </c>
      <c r="F20" s="29"/>
      <c r="G20" s="24">
        <v>430</v>
      </c>
      <c r="H20" s="26">
        <v>500</v>
      </c>
      <c r="I20" s="53">
        <v>500</v>
      </c>
      <c r="J20" s="26">
        <f t="shared" si="6"/>
        <v>0</v>
      </c>
      <c r="K20" s="30"/>
      <c r="L20" s="24">
        <v>250063</v>
      </c>
      <c r="M20" s="24">
        <v>430</v>
      </c>
      <c r="N20" s="31">
        <v>0.5</v>
      </c>
      <c r="O20" s="31" t="s">
        <v>70</v>
      </c>
      <c r="P20" s="29" t="s">
        <v>82</v>
      </c>
      <c r="Q20" s="29"/>
      <c r="R20" s="24">
        <v>430</v>
      </c>
      <c r="S20" s="26">
        <v>1000</v>
      </c>
      <c r="T20" s="53">
        <v>1000</v>
      </c>
      <c r="U20" s="26">
        <f t="shared" si="7"/>
        <v>0</v>
      </c>
      <c r="V20" s="30"/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G20" s="30"/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R20" s="30"/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C20" s="30"/>
      <c r="BD20" s="44"/>
      <c r="BE20" s="44"/>
      <c r="BF20" s="45"/>
      <c r="BG20" s="45"/>
      <c r="BH20" s="32"/>
      <c r="BI20" s="32"/>
      <c r="BJ20" s="44"/>
      <c r="BK20" s="46"/>
      <c r="BL20" s="53"/>
      <c r="BM20" s="46">
        <f t="shared" si="11"/>
        <v>0</v>
      </c>
    </row>
    <row r="21" spans="1:65" s="4" customFormat="1" ht="20.100000000000001" customHeight="1" x14ac:dyDescent="0.3">
      <c r="A21" s="24"/>
      <c r="B21" s="24"/>
      <c r="C21" s="31"/>
      <c r="D21" s="31"/>
      <c r="E21" s="29"/>
      <c r="F21" s="32"/>
      <c r="G21" s="24"/>
      <c r="H21" s="26"/>
      <c r="I21" s="27"/>
      <c r="J21" s="26">
        <f t="shared" si="6"/>
        <v>0</v>
      </c>
      <c r="K21" s="30"/>
      <c r="L21" s="24">
        <v>250064</v>
      </c>
      <c r="M21" s="24">
        <v>430</v>
      </c>
      <c r="N21" s="31">
        <v>0.5</v>
      </c>
      <c r="O21" s="31" t="s">
        <v>70</v>
      </c>
      <c r="P21" s="29" t="s">
        <v>94</v>
      </c>
      <c r="Q21" s="29"/>
      <c r="R21" s="24">
        <v>430</v>
      </c>
      <c r="S21" s="26">
        <v>1000</v>
      </c>
      <c r="T21" s="53">
        <v>1000</v>
      </c>
      <c r="U21" s="26">
        <f t="shared" si="7"/>
        <v>0</v>
      </c>
      <c r="V21" s="30"/>
      <c r="W21" s="24"/>
      <c r="X21" s="24"/>
      <c r="Y21" s="31"/>
      <c r="Z21" s="31"/>
      <c r="AA21" s="29"/>
      <c r="AB21" s="32"/>
      <c r="AC21" s="24"/>
      <c r="AD21" s="26"/>
      <c r="AE21" s="27"/>
      <c r="AF21" s="26">
        <f t="shared" si="8"/>
        <v>0</v>
      </c>
      <c r="AG21" s="30"/>
      <c r="AH21" s="24"/>
      <c r="AI21" s="24"/>
      <c r="AJ21" s="31"/>
      <c r="AK21" s="31"/>
      <c r="AL21" s="29"/>
      <c r="AM21" s="32"/>
      <c r="AN21" s="24"/>
      <c r="AO21" s="26"/>
      <c r="AP21" s="27"/>
      <c r="AQ21" s="26">
        <f t="shared" si="9"/>
        <v>0</v>
      </c>
      <c r="AR21" s="30"/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C21" s="30"/>
      <c r="BD21" s="44"/>
      <c r="BE21" s="44"/>
      <c r="BF21" s="45"/>
      <c r="BG21" s="45"/>
      <c r="BH21" s="32"/>
      <c r="BI21" s="32"/>
      <c r="BJ21" s="44"/>
      <c r="BK21" s="46"/>
      <c r="BL21" s="53"/>
      <c r="BM21" s="46">
        <f t="shared" si="11"/>
        <v>0</v>
      </c>
    </row>
    <row r="22" spans="1:65" s="4" customFormat="1" ht="20.100000000000001" customHeight="1" x14ac:dyDescent="0.3">
      <c r="A22" s="24"/>
      <c r="B22" s="24"/>
      <c r="C22" s="31"/>
      <c r="D22" s="31"/>
      <c r="E22" s="29"/>
      <c r="F22" s="33"/>
      <c r="G22" s="24"/>
      <c r="H22" s="26"/>
      <c r="I22" s="27"/>
      <c r="J22" s="26">
        <f t="shared" si="6"/>
        <v>0</v>
      </c>
      <c r="K22" s="30"/>
      <c r="L22" s="24"/>
      <c r="M22" s="24"/>
      <c r="N22" s="31"/>
      <c r="O22" s="31"/>
      <c r="P22" s="29"/>
      <c r="Q22" s="56"/>
      <c r="R22" s="24"/>
      <c r="S22" s="26"/>
      <c r="T22" s="27"/>
      <c r="U22" s="26">
        <f t="shared" si="7"/>
        <v>0</v>
      </c>
      <c r="V22" s="30"/>
      <c r="W22" s="24"/>
      <c r="X22" s="24"/>
      <c r="Y22" s="31"/>
      <c r="Z22" s="31"/>
      <c r="AA22" s="29"/>
      <c r="AB22" s="56"/>
      <c r="AC22" s="24"/>
      <c r="AD22" s="26"/>
      <c r="AE22" s="27"/>
      <c r="AF22" s="26">
        <f t="shared" si="8"/>
        <v>0</v>
      </c>
      <c r="AG22" s="30"/>
      <c r="AH22" s="24"/>
      <c r="AI22" s="24"/>
      <c r="AJ22" s="31"/>
      <c r="AK22" s="31"/>
      <c r="AL22" s="29"/>
      <c r="AM22" s="33"/>
      <c r="AN22" s="24"/>
      <c r="AO22" s="26"/>
      <c r="AP22" s="27"/>
      <c r="AQ22" s="26">
        <f t="shared" si="9"/>
        <v>0</v>
      </c>
      <c r="AR22" s="30"/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C22" s="30"/>
      <c r="BD22" s="24"/>
      <c r="BE22" s="24"/>
      <c r="BF22" s="24"/>
      <c r="BG22" s="24"/>
      <c r="BH22" s="29"/>
      <c r="BI22" s="33"/>
      <c r="BJ22" s="24"/>
      <c r="BK22" s="26"/>
      <c r="BL22" s="27"/>
      <c r="BM22" s="26">
        <f t="shared" si="11"/>
        <v>0</v>
      </c>
    </row>
    <row r="23" spans="1:65" s="4" customFormat="1" ht="20.100000000000001" customHeight="1" x14ac:dyDescent="0.3">
      <c r="A23" s="24"/>
      <c r="B23" s="24"/>
      <c r="C23" s="31"/>
      <c r="D23" s="31"/>
      <c r="E23" s="29"/>
      <c r="F23" s="33"/>
      <c r="G23" s="24"/>
      <c r="H23" s="26"/>
      <c r="I23" s="27"/>
      <c r="J23" s="26">
        <f t="shared" si="6"/>
        <v>0</v>
      </c>
      <c r="K23" s="30"/>
      <c r="L23" s="24"/>
      <c r="M23" s="24"/>
      <c r="N23" s="31"/>
      <c r="O23" s="31"/>
      <c r="P23" s="29"/>
      <c r="Q23" s="56"/>
      <c r="R23" s="24"/>
      <c r="S23" s="26"/>
      <c r="T23" s="27"/>
      <c r="U23" s="26">
        <f t="shared" si="7"/>
        <v>0</v>
      </c>
      <c r="V23" s="30"/>
      <c r="W23" s="24"/>
      <c r="X23" s="24"/>
      <c r="Y23" s="31"/>
      <c r="Z23" s="31"/>
      <c r="AA23" s="29"/>
      <c r="AB23" s="56"/>
      <c r="AC23" s="24"/>
      <c r="AD23" s="26"/>
      <c r="AE23" s="27"/>
      <c r="AF23" s="26">
        <f t="shared" si="8"/>
        <v>0</v>
      </c>
      <c r="AG23" s="30"/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R23" s="30"/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C23" s="30"/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4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2500</v>
      </c>
      <c r="I24" s="27">
        <f>SUM(I18:I23)</f>
        <v>2500</v>
      </c>
      <c r="J24" s="26">
        <f>SUM(J18:J23)</f>
        <v>0</v>
      </c>
      <c r="K24" s="30"/>
      <c r="L24" s="34"/>
      <c r="M24" s="34"/>
      <c r="N24" s="34"/>
      <c r="O24" s="34"/>
      <c r="P24" s="35"/>
      <c r="Q24" s="35"/>
      <c r="R24" s="36"/>
      <c r="S24" s="26">
        <f>SUM(S18:S23)</f>
        <v>4000</v>
      </c>
      <c r="T24" s="27">
        <f>SUM(T18:T23)</f>
        <v>4000</v>
      </c>
      <c r="U24" s="26">
        <f>SUM(U18:U23)</f>
        <v>0</v>
      </c>
      <c r="V24" s="30"/>
      <c r="W24" s="34"/>
      <c r="X24" s="34"/>
      <c r="Y24" s="34"/>
      <c r="Z24" s="34"/>
      <c r="AA24" s="35"/>
      <c r="AB24" s="35"/>
      <c r="AC24" s="36"/>
      <c r="AD24" s="26">
        <f>SUM(AD18:AD23)</f>
        <v>3000</v>
      </c>
      <c r="AE24" s="27">
        <f>SUM(AE18:AE23)</f>
        <v>3150</v>
      </c>
      <c r="AF24" s="26">
        <f>SUM(AF18:AF23)</f>
        <v>-150</v>
      </c>
      <c r="AG24" s="30"/>
      <c r="AH24" s="34"/>
      <c r="AI24" s="34"/>
      <c r="AJ24" s="34"/>
      <c r="AK24" s="34"/>
      <c r="AL24" s="35"/>
      <c r="AM24" s="35"/>
      <c r="AN24" s="36"/>
      <c r="AO24" s="26">
        <f>SUM(AO18:AO23)</f>
        <v>3000</v>
      </c>
      <c r="AP24" s="27">
        <f>SUM(AP18:AP23)</f>
        <v>3000</v>
      </c>
      <c r="AQ24" s="26">
        <f>SUM(AQ18:AQ23)</f>
        <v>0</v>
      </c>
      <c r="AR24" s="30"/>
      <c r="AS24" s="34"/>
      <c r="AT24" s="34"/>
      <c r="AU24" s="34"/>
      <c r="AV24" s="34"/>
      <c r="AW24" s="35"/>
      <c r="AX24" s="35"/>
      <c r="AY24" s="36"/>
      <c r="AZ24" s="26">
        <f>SUM(AZ18:AZ23)</f>
        <v>3500</v>
      </c>
      <c r="BA24" s="27">
        <f>SUM(BA18:BA23)</f>
        <v>3300</v>
      </c>
      <c r="BB24" s="26">
        <f>SUM(BB18:BB23)</f>
        <v>200</v>
      </c>
      <c r="BC24" s="30"/>
      <c r="BD24" s="34"/>
      <c r="BE24" s="34"/>
      <c r="BF24" s="34"/>
      <c r="BG24" s="34"/>
      <c r="BH24" s="35"/>
      <c r="BI24" s="35"/>
      <c r="BJ24" s="36"/>
      <c r="BK24" s="26">
        <f>SUM(BK18:BK23)</f>
        <v>3500</v>
      </c>
      <c r="BL24" s="27">
        <f>SUM(BL18:BL23)</f>
        <v>3500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57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57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4" customFormat="1" ht="20.100000000000001" customHeight="1" x14ac:dyDescent="0.3">
      <c r="A29" s="24">
        <v>250073</v>
      </c>
      <c r="B29" s="24">
        <v>304</v>
      </c>
      <c r="C29" s="31">
        <v>0.6</v>
      </c>
      <c r="D29" s="31"/>
      <c r="E29" s="29" t="s">
        <v>54</v>
      </c>
      <c r="F29" s="29"/>
      <c r="G29" s="24"/>
      <c r="H29" s="26">
        <v>750</v>
      </c>
      <c r="I29" s="27">
        <v>750</v>
      </c>
      <c r="J29" s="26">
        <f>H29-I29</f>
        <v>0</v>
      </c>
      <c r="K29" s="30"/>
      <c r="L29" s="24"/>
      <c r="M29" s="24"/>
      <c r="N29" s="31"/>
      <c r="O29" s="31"/>
      <c r="P29" s="25"/>
      <c r="Q29" s="29"/>
      <c r="R29" s="24"/>
      <c r="S29" s="26"/>
      <c r="T29" s="27"/>
      <c r="U29" s="26">
        <f>S29-T29</f>
        <v>0</v>
      </c>
      <c r="V29" s="30"/>
      <c r="W29" s="24">
        <v>250062</v>
      </c>
      <c r="X29" s="24">
        <v>304</v>
      </c>
      <c r="Y29" s="31">
        <v>0.6</v>
      </c>
      <c r="Z29" s="31"/>
      <c r="AA29" s="29" t="s">
        <v>118</v>
      </c>
      <c r="AB29" s="29"/>
      <c r="AC29" s="24"/>
      <c r="AD29" s="26">
        <v>125</v>
      </c>
      <c r="AE29" s="27">
        <v>125</v>
      </c>
      <c r="AF29" s="26">
        <f>AD29-AE29</f>
        <v>0</v>
      </c>
      <c r="AG29" s="30"/>
      <c r="AH29" s="24">
        <v>250046</v>
      </c>
      <c r="AI29" s="24">
        <v>304</v>
      </c>
      <c r="AJ29" s="31">
        <v>0.6</v>
      </c>
      <c r="AK29" s="31"/>
      <c r="AL29" s="25" t="s">
        <v>301</v>
      </c>
      <c r="AM29" s="29"/>
      <c r="AN29" s="24"/>
      <c r="AO29" s="26">
        <v>650</v>
      </c>
      <c r="AP29" s="27">
        <v>650</v>
      </c>
      <c r="AQ29" s="26">
        <f>AO29-AP29</f>
        <v>0</v>
      </c>
      <c r="AR29" s="30"/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C29" s="30"/>
      <c r="BD29" s="24"/>
      <c r="BE29" s="24"/>
      <c r="BF29" s="31"/>
      <c r="BG29" s="31"/>
      <c r="BH29" s="25"/>
      <c r="BI29" s="29"/>
      <c r="BJ29" s="24"/>
      <c r="BK29" s="26"/>
      <c r="BL29" s="27"/>
      <c r="BM29" s="26">
        <f>BK29-BL29</f>
        <v>0</v>
      </c>
    </row>
    <row r="30" spans="1:65" s="4" customFormat="1" ht="20.100000000000001" customHeight="1" x14ac:dyDescent="0.3">
      <c r="A30" s="24">
        <v>250073</v>
      </c>
      <c r="B30" s="24">
        <v>304</v>
      </c>
      <c r="C30" s="31">
        <v>0.6</v>
      </c>
      <c r="D30" s="31"/>
      <c r="E30" s="29" t="s">
        <v>57</v>
      </c>
      <c r="F30" s="29"/>
      <c r="G30" s="24"/>
      <c r="H30" s="26">
        <v>750</v>
      </c>
      <c r="I30" s="27">
        <v>750</v>
      </c>
      <c r="J30" s="26">
        <f t="shared" ref="J30:J34" si="12">H30-I30</f>
        <v>0</v>
      </c>
      <c r="K30" s="30"/>
      <c r="L30" s="24"/>
      <c r="M30" s="24"/>
      <c r="N30" s="31"/>
      <c r="O30" s="24"/>
      <c r="P30" s="24"/>
      <c r="Q30" s="57"/>
      <c r="R30" s="24"/>
      <c r="S30" s="26"/>
      <c r="T30" s="27"/>
      <c r="U30" s="26">
        <f t="shared" ref="U30:U34" si="13">S30-T30</f>
        <v>0</v>
      </c>
      <c r="V30" s="30"/>
      <c r="W30" s="24">
        <v>250062</v>
      </c>
      <c r="X30" s="24">
        <v>304</v>
      </c>
      <c r="Y30" s="31">
        <v>0.6</v>
      </c>
      <c r="Z30" s="31"/>
      <c r="AA30" s="29" t="s">
        <v>119</v>
      </c>
      <c r="AB30" s="29"/>
      <c r="AC30" s="24"/>
      <c r="AD30" s="26">
        <v>125</v>
      </c>
      <c r="AE30" s="27">
        <v>125</v>
      </c>
      <c r="AF30" s="26">
        <f t="shared" ref="AF30:AF34" si="14">AD30-AE30</f>
        <v>0</v>
      </c>
      <c r="AG30" s="30"/>
      <c r="AH30" s="24">
        <v>250039</v>
      </c>
      <c r="AI30" s="24">
        <v>304</v>
      </c>
      <c r="AJ30" s="31">
        <v>0.6</v>
      </c>
      <c r="AK30" s="24"/>
      <c r="AL30" s="25" t="s">
        <v>302</v>
      </c>
      <c r="AM30" s="29"/>
      <c r="AN30" s="24"/>
      <c r="AO30" s="26">
        <v>650</v>
      </c>
      <c r="AP30" s="27">
        <v>650</v>
      </c>
      <c r="AQ30" s="26">
        <f t="shared" ref="AQ30:AQ34" si="15">AO30-AP30</f>
        <v>0</v>
      </c>
      <c r="AR30" s="30"/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C30" s="30"/>
      <c r="BD30" s="24"/>
      <c r="BE30" s="24"/>
      <c r="BF30" s="31"/>
      <c r="BG30" s="24"/>
      <c r="BH30" s="25"/>
      <c r="BI30" s="29"/>
      <c r="BJ30" s="24"/>
      <c r="BK30" s="26"/>
      <c r="BL30" s="27"/>
      <c r="BM30" s="26">
        <f t="shared" ref="BM30:BM34" si="17">BK30-BL30</f>
        <v>0</v>
      </c>
    </row>
    <row r="31" spans="1:65" s="4" customFormat="1" ht="20.100000000000001" customHeight="1" x14ac:dyDescent="0.3">
      <c r="A31" s="24">
        <v>250073</v>
      </c>
      <c r="B31" s="24">
        <v>304</v>
      </c>
      <c r="C31" s="31">
        <v>0.6</v>
      </c>
      <c r="D31" s="31"/>
      <c r="E31" s="29" t="s">
        <v>56</v>
      </c>
      <c r="F31" s="29"/>
      <c r="G31" s="24"/>
      <c r="H31" s="26">
        <v>750</v>
      </c>
      <c r="I31" s="27">
        <v>750</v>
      </c>
      <c r="J31" s="26">
        <f t="shared" si="12"/>
        <v>0</v>
      </c>
      <c r="K31" s="30"/>
      <c r="L31" s="24"/>
      <c r="M31" s="24"/>
      <c r="N31" s="31"/>
      <c r="O31" s="24"/>
      <c r="P31" s="24"/>
      <c r="Q31" s="29"/>
      <c r="R31" s="24"/>
      <c r="S31" s="26"/>
      <c r="T31" s="27"/>
      <c r="U31" s="26">
        <f t="shared" si="13"/>
        <v>0</v>
      </c>
      <c r="V31" s="30"/>
      <c r="W31" s="24">
        <v>250062</v>
      </c>
      <c r="X31" s="24">
        <v>304</v>
      </c>
      <c r="Y31" s="31">
        <v>0.6</v>
      </c>
      <c r="Z31" s="31"/>
      <c r="AA31" s="29" t="s">
        <v>120</v>
      </c>
      <c r="AB31" s="29"/>
      <c r="AC31" s="24"/>
      <c r="AD31" s="26">
        <v>300</v>
      </c>
      <c r="AE31" s="27">
        <v>300</v>
      </c>
      <c r="AF31" s="26">
        <f t="shared" si="14"/>
        <v>0</v>
      </c>
      <c r="AG31" s="30"/>
      <c r="AH31" s="24">
        <v>250039</v>
      </c>
      <c r="AI31" s="24">
        <v>304</v>
      </c>
      <c r="AJ31" s="31">
        <v>0.6</v>
      </c>
      <c r="AK31" s="24"/>
      <c r="AL31" s="25" t="s">
        <v>303</v>
      </c>
      <c r="AM31" s="29"/>
      <c r="AN31" s="24"/>
      <c r="AO31" s="26">
        <v>650</v>
      </c>
      <c r="AP31" s="27">
        <v>650</v>
      </c>
      <c r="AQ31" s="26">
        <f t="shared" si="15"/>
        <v>0</v>
      </c>
      <c r="AR31" s="30"/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C31" s="30"/>
      <c r="BD31" s="24"/>
      <c r="BE31" s="24"/>
      <c r="BF31" s="31"/>
      <c r="BG31" s="24"/>
      <c r="BH31" s="25"/>
      <c r="BI31" s="29"/>
      <c r="BJ31" s="24"/>
      <c r="BK31" s="26"/>
      <c r="BL31" s="27"/>
      <c r="BM31" s="26">
        <f t="shared" si="17"/>
        <v>0</v>
      </c>
    </row>
    <row r="32" spans="1:65" s="4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K32" s="30"/>
      <c r="L32" s="24"/>
      <c r="M32" s="24"/>
      <c r="N32" s="31"/>
      <c r="O32" s="24"/>
      <c r="P32" s="24"/>
      <c r="Q32" s="29"/>
      <c r="R32" s="24"/>
      <c r="S32" s="26"/>
      <c r="T32" s="27"/>
      <c r="U32" s="26">
        <f t="shared" si="13"/>
        <v>0</v>
      </c>
      <c r="V32" s="30"/>
      <c r="W32" s="24">
        <v>250062</v>
      </c>
      <c r="X32" s="24">
        <v>304</v>
      </c>
      <c r="Y32" s="31">
        <v>0.6</v>
      </c>
      <c r="Z32" s="31"/>
      <c r="AA32" s="29" t="s">
        <v>121</v>
      </c>
      <c r="AB32" s="29"/>
      <c r="AC32" s="24"/>
      <c r="AD32" s="26">
        <v>300</v>
      </c>
      <c r="AE32" s="27">
        <v>300</v>
      </c>
      <c r="AF32" s="26">
        <f t="shared" si="14"/>
        <v>0</v>
      </c>
      <c r="AG32" s="30"/>
      <c r="AH32" s="24">
        <v>250039</v>
      </c>
      <c r="AI32" s="24">
        <v>304</v>
      </c>
      <c r="AJ32" s="31">
        <v>0.6</v>
      </c>
      <c r="AK32" s="24"/>
      <c r="AL32" s="25" t="s">
        <v>304</v>
      </c>
      <c r="AM32" s="29"/>
      <c r="AN32" s="24"/>
      <c r="AO32" s="26">
        <v>650</v>
      </c>
      <c r="AP32" s="27">
        <v>650</v>
      </c>
      <c r="AQ32" s="26">
        <f t="shared" si="15"/>
        <v>0</v>
      </c>
      <c r="AR32" s="30"/>
      <c r="AS32" s="24"/>
      <c r="AT32" s="24"/>
      <c r="AU32" s="31"/>
      <c r="AV32" s="31"/>
      <c r="AW32" s="29"/>
      <c r="AX32" s="29"/>
      <c r="AY32" s="24"/>
      <c r="AZ32" s="26"/>
      <c r="BA32" s="27"/>
      <c r="BB32" s="26">
        <f t="shared" si="16"/>
        <v>0</v>
      </c>
      <c r="BC32" s="30"/>
      <c r="BD32" s="24"/>
      <c r="BE32" s="24"/>
      <c r="BF32" s="31"/>
      <c r="BG32" s="24"/>
      <c r="BH32" s="25"/>
      <c r="BI32" s="29"/>
      <c r="BJ32" s="24"/>
      <c r="BK32" s="26"/>
      <c r="BL32" s="27"/>
      <c r="BM32" s="26">
        <f t="shared" si="17"/>
        <v>0</v>
      </c>
    </row>
    <row r="33" spans="1:65" s="4" customFormat="1" ht="20.100000000000001" customHeight="1" x14ac:dyDescent="0.3">
      <c r="A33" s="24"/>
      <c r="B33" s="24"/>
      <c r="C33" s="31"/>
      <c r="D33" s="31"/>
      <c r="E33" s="29"/>
      <c r="F33" s="41"/>
      <c r="G33" s="24"/>
      <c r="H33" s="26"/>
      <c r="I33" s="27"/>
      <c r="J33" s="26">
        <f t="shared" si="12"/>
        <v>0</v>
      </c>
      <c r="K33" s="30"/>
      <c r="L33" s="24"/>
      <c r="M33" s="24"/>
      <c r="N33" s="31"/>
      <c r="O33" s="24"/>
      <c r="P33" s="24"/>
      <c r="Q33" s="57"/>
      <c r="R33" s="24"/>
      <c r="S33" s="26"/>
      <c r="T33" s="27"/>
      <c r="U33" s="26">
        <f t="shared" si="13"/>
        <v>0</v>
      </c>
      <c r="V33" s="30"/>
      <c r="W33" s="24"/>
      <c r="X33" s="24"/>
      <c r="Y33" s="31"/>
      <c r="Z33" s="24"/>
      <c r="AA33" s="29"/>
      <c r="AB33" s="57"/>
      <c r="AC33" s="24"/>
      <c r="AD33" s="26"/>
      <c r="AE33" s="27"/>
      <c r="AF33" s="26">
        <f t="shared" si="14"/>
        <v>0</v>
      </c>
      <c r="AG33" s="30"/>
      <c r="AH33" s="24">
        <v>250039</v>
      </c>
      <c r="AI33" s="24">
        <v>304</v>
      </c>
      <c r="AJ33" s="31">
        <v>0.6</v>
      </c>
      <c r="AK33" s="24"/>
      <c r="AL33" s="25" t="s">
        <v>305</v>
      </c>
      <c r="AM33" s="41"/>
      <c r="AN33" s="24"/>
      <c r="AO33" s="26">
        <v>650</v>
      </c>
      <c r="AP33" s="27">
        <v>650</v>
      </c>
      <c r="AQ33" s="26">
        <f t="shared" si="15"/>
        <v>0</v>
      </c>
      <c r="AR33" s="30"/>
      <c r="AS33" s="24"/>
      <c r="AT33" s="24"/>
      <c r="AU33" s="31"/>
      <c r="AV33" s="31"/>
      <c r="AW33" s="29"/>
      <c r="AX33" s="41"/>
      <c r="AY33" s="24"/>
      <c r="AZ33" s="26"/>
      <c r="BA33" s="27"/>
      <c r="BB33" s="26">
        <f t="shared" si="16"/>
        <v>0</v>
      </c>
      <c r="BC33" s="30"/>
      <c r="BD33" s="24"/>
      <c r="BE33" s="24"/>
      <c r="BF33" s="31"/>
      <c r="BG33" s="24"/>
      <c r="BH33" s="25"/>
      <c r="BI33" s="41"/>
      <c r="BJ33" s="24"/>
      <c r="BK33" s="26"/>
      <c r="BL33" s="27"/>
      <c r="BM33" s="26">
        <f t="shared" si="17"/>
        <v>0</v>
      </c>
    </row>
    <row r="34" spans="1:65" s="4" customFormat="1" ht="20.100000000000001" customHeight="1" x14ac:dyDescent="0.3">
      <c r="A34" s="24"/>
      <c r="B34" s="24"/>
      <c r="C34" s="31"/>
      <c r="D34" s="31"/>
      <c r="E34" s="29"/>
      <c r="F34" s="41"/>
      <c r="G34" s="24"/>
      <c r="H34" s="26"/>
      <c r="I34" s="27"/>
      <c r="J34" s="26">
        <f t="shared" si="12"/>
        <v>0</v>
      </c>
      <c r="K34" s="30"/>
      <c r="L34" s="24"/>
      <c r="M34" s="24"/>
      <c r="N34" s="31"/>
      <c r="O34" s="24"/>
      <c r="P34" s="24"/>
      <c r="Q34" s="57"/>
      <c r="R34" s="24"/>
      <c r="S34" s="26"/>
      <c r="T34" s="27"/>
      <c r="U34" s="26">
        <f t="shared" si="13"/>
        <v>0</v>
      </c>
      <c r="V34" s="30"/>
      <c r="W34" s="24"/>
      <c r="X34" s="24"/>
      <c r="Y34" s="31"/>
      <c r="Z34" s="24"/>
      <c r="AA34" s="29"/>
      <c r="AB34" s="57"/>
      <c r="AC34" s="24"/>
      <c r="AD34" s="26"/>
      <c r="AE34" s="27"/>
      <c r="AF34" s="26">
        <f t="shared" si="14"/>
        <v>0</v>
      </c>
      <c r="AG34" s="30"/>
      <c r="AH34" s="24">
        <v>250039</v>
      </c>
      <c r="AI34" s="24">
        <v>304</v>
      </c>
      <c r="AJ34" s="31">
        <v>0.6</v>
      </c>
      <c r="AK34" s="24"/>
      <c r="AL34" s="25" t="s">
        <v>301</v>
      </c>
      <c r="AM34" s="41"/>
      <c r="AN34" s="24"/>
      <c r="AO34" s="26">
        <v>650</v>
      </c>
      <c r="AP34" s="27">
        <v>650</v>
      </c>
      <c r="AQ34" s="26">
        <f t="shared" si="15"/>
        <v>0</v>
      </c>
      <c r="AR34" s="30"/>
      <c r="AS34" s="24"/>
      <c r="AT34" s="24"/>
      <c r="AU34" s="24"/>
      <c r="AV34" s="24"/>
      <c r="AW34" s="29"/>
      <c r="AX34" s="41"/>
      <c r="AY34" s="24"/>
      <c r="AZ34" s="26"/>
      <c r="BA34" s="27"/>
      <c r="BB34" s="26">
        <f t="shared" si="16"/>
        <v>0</v>
      </c>
      <c r="BC34" s="30"/>
      <c r="BD34" s="24"/>
      <c r="BE34" s="24"/>
      <c r="BF34" s="31"/>
      <c r="BG34" s="24"/>
      <c r="BH34" s="25"/>
      <c r="BI34" s="41"/>
      <c r="BJ34" s="24"/>
      <c r="BK34" s="26"/>
      <c r="BL34" s="27"/>
      <c r="BM34" s="26">
        <f t="shared" si="17"/>
        <v>0</v>
      </c>
    </row>
    <row r="35" spans="1:65" s="4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2250</v>
      </c>
      <c r="I35" s="27">
        <f>SUM(I29:I34)</f>
        <v>2250</v>
      </c>
      <c r="J35" s="26">
        <f>SUM(J29:J34)</f>
        <v>0</v>
      </c>
      <c r="K35" s="30"/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V35" s="30"/>
      <c r="W35" s="34"/>
      <c r="X35" s="34"/>
      <c r="Y35" s="34"/>
      <c r="Z35" s="34"/>
      <c r="AA35" s="35"/>
      <c r="AB35" s="35"/>
      <c r="AC35" s="36"/>
      <c r="AD35" s="26">
        <f>SUM(AD29:AD34)</f>
        <v>850</v>
      </c>
      <c r="AE35" s="27">
        <f>SUM(AE29:AE34)</f>
        <v>850</v>
      </c>
      <c r="AF35" s="26">
        <f>SUM(AF29:AF34)</f>
        <v>0</v>
      </c>
      <c r="AG35" s="30"/>
      <c r="AH35" s="34"/>
      <c r="AI35" s="34"/>
      <c r="AJ35" s="34"/>
      <c r="AK35" s="34"/>
      <c r="AL35" s="35"/>
      <c r="AM35" s="35"/>
      <c r="AN35" s="36"/>
      <c r="AO35" s="26">
        <f>SUM(AO29:AO34)</f>
        <v>3900</v>
      </c>
      <c r="AP35" s="27">
        <f>SUM(AP29:AP34)</f>
        <v>3900</v>
      </c>
      <c r="AQ35" s="26">
        <f>SUM(AQ29:AQ34)</f>
        <v>0</v>
      </c>
      <c r="AR35" s="30"/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C35" s="30"/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57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57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4" customFormat="1" ht="20.100000000000001" customHeight="1" x14ac:dyDescent="0.3">
      <c r="A40" s="24">
        <v>10925</v>
      </c>
      <c r="B40" s="24">
        <v>430</v>
      </c>
      <c r="C40" s="31">
        <v>0.8</v>
      </c>
      <c r="D40" s="26" t="s">
        <v>27</v>
      </c>
      <c r="E40" s="29" t="s">
        <v>282</v>
      </c>
      <c r="F40" s="32"/>
      <c r="G40" s="24">
        <v>430</v>
      </c>
      <c r="H40" s="26">
        <v>2000</v>
      </c>
      <c r="I40" s="27">
        <v>2000</v>
      </c>
      <c r="J40" s="26">
        <f>H40-I40</f>
        <v>0</v>
      </c>
      <c r="K40" s="30"/>
      <c r="L40" s="24">
        <v>10925</v>
      </c>
      <c r="M40" s="24">
        <v>430</v>
      </c>
      <c r="N40" s="31">
        <v>0.8</v>
      </c>
      <c r="O40" s="26" t="s">
        <v>27</v>
      </c>
      <c r="P40" s="29" t="s">
        <v>282</v>
      </c>
      <c r="Q40" s="32"/>
      <c r="R40" s="24">
        <v>430</v>
      </c>
      <c r="S40" s="26">
        <v>1300</v>
      </c>
      <c r="T40" s="27">
        <f>350+950</f>
        <v>1300</v>
      </c>
      <c r="U40" s="26">
        <f>S40-T40</f>
        <v>0</v>
      </c>
      <c r="V40" s="30"/>
      <c r="W40" s="24">
        <v>10925</v>
      </c>
      <c r="X40" s="24">
        <v>430</v>
      </c>
      <c r="Y40" s="31">
        <v>0.8</v>
      </c>
      <c r="Z40" s="31" t="s">
        <v>27</v>
      </c>
      <c r="AA40" s="29" t="s">
        <v>284</v>
      </c>
      <c r="AB40" s="32"/>
      <c r="AC40" s="24"/>
      <c r="AD40" s="26">
        <v>2000</v>
      </c>
      <c r="AE40" s="27">
        <v>2000</v>
      </c>
      <c r="AF40" s="26">
        <f>AD40-AE40</f>
        <v>0</v>
      </c>
      <c r="AG40" s="30"/>
      <c r="AH40" s="24">
        <v>10925</v>
      </c>
      <c r="AI40" s="24">
        <v>430</v>
      </c>
      <c r="AJ40" s="31">
        <v>0.8</v>
      </c>
      <c r="AK40" s="31" t="s">
        <v>27</v>
      </c>
      <c r="AL40" s="29" t="s">
        <v>284</v>
      </c>
      <c r="AM40" s="32"/>
      <c r="AN40" s="24"/>
      <c r="AO40" s="26">
        <v>600</v>
      </c>
      <c r="AP40" s="27">
        <v>600</v>
      </c>
      <c r="AQ40" s="26">
        <f>AO40-AP40</f>
        <v>0</v>
      </c>
      <c r="AR40" s="30"/>
      <c r="AS40" s="24">
        <v>10925</v>
      </c>
      <c r="AT40" s="24">
        <v>430</v>
      </c>
      <c r="AU40" s="31">
        <v>0.8</v>
      </c>
      <c r="AV40" s="31">
        <v>430</v>
      </c>
      <c r="AW40" s="29" t="s">
        <v>285</v>
      </c>
      <c r="AX40" s="29"/>
      <c r="AY40" s="24">
        <v>430</v>
      </c>
      <c r="AZ40" s="26">
        <v>1900</v>
      </c>
      <c r="BA40" s="27">
        <v>1900</v>
      </c>
      <c r="BB40" s="26">
        <f>AZ40-BA40</f>
        <v>0</v>
      </c>
      <c r="BC40" s="30"/>
      <c r="BD40" s="24">
        <v>210825</v>
      </c>
      <c r="BE40" s="24">
        <v>304</v>
      </c>
      <c r="BF40" s="31">
        <v>0.8</v>
      </c>
      <c r="BG40" s="31" t="s">
        <v>27</v>
      </c>
      <c r="BH40" s="29" t="s">
        <v>407</v>
      </c>
      <c r="BI40" s="32"/>
      <c r="BJ40" s="24"/>
      <c r="BK40" s="26">
        <v>1350</v>
      </c>
      <c r="BL40" s="27">
        <v>1350</v>
      </c>
      <c r="BM40" s="26">
        <f>BK40-BL40</f>
        <v>0</v>
      </c>
    </row>
    <row r="41" spans="1:65" s="4" customFormat="1" ht="20.100000000000001" customHeight="1" x14ac:dyDescent="0.3">
      <c r="A41" s="24"/>
      <c r="B41" s="24"/>
      <c r="C41" s="31"/>
      <c r="D41" s="26"/>
      <c r="E41" s="29"/>
      <c r="F41" s="32"/>
      <c r="G41" s="24"/>
      <c r="H41" s="26"/>
      <c r="I41" s="27"/>
      <c r="J41" s="26">
        <f t="shared" ref="J41:J45" si="18">H41-I41</f>
        <v>0</v>
      </c>
      <c r="K41" s="30"/>
      <c r="L41" s="24">
        <v>10925</v>
      </c>
      <c r="M41" s="24">
        <v>430</v>
      </c>
      <c r="N41" s="31">
        <v>0.8</v>
      </c>
      <c r="O41" s="31" t="s">
        <v>27</v>
      </c>
      <c r="P41" s="29" t="s">
        <v>284</v>
      </c>
      <c r="Q41" s="32"/>
      <c r="R41" s="24"/>
      <c r="S41" s="26">
        <v>700</v>
      </c>
      <c r="T41" s="27">
        <v>700</v>
      </c>
      <c r="U41" s="26">
        <f t="shared" ref="U41:U45" si="19">S41-T41</f>
        <v>0</v>
      </c>
      <c r="V41" s="30"/>
      <c r="W41" s="24"/>
      <c r="X41" s="24"/>
      <c r="Y41" s="31"/>
      <c r="Z41" s="31"/>
      <c r="AA41" s="29"/>
      <c r="AB41" s="32"/>
      <c r="AC41" s="24"/>
      <c r="AD41" s="26"/>
      <c r="AE41" s="27"/>
      <c r="AF41" s="26">
        <f t="shared" ref="AF41:AF45" si="20">AD41-AE41</f>
        <v>0</v>
      </c>
      <c r="AG41" s="30"/>
      <c r="AH41" s="24">
        <v>10925</v>
      </c>
      <c r="AI41" s="24">
        <v>430</v>
      </c>
      <c r="AJ41" s="31">
        <v>0.8</v>
      </c>
      <c r="AK41" s="31">
        <v>430</v>
      </c>
      <c r="AL41" s="29" t="s">
        <v>285</v>
      </c>
      <c r="AM41" s="29"/>
      <c r="AN41" s="24">
        <v>430</v>
      </c>
      <c r="AO41" s="26">
        <v>1400</v>
      </c>
      <c r="AP41" s="27">
        <v>1400</v>
      </c>
      <c r="AQ41" s="26">
        <f t="shared" ref="AQ41:AQ45" si="21">AO41-AP41</f>
        <v>0</v>
      </c>
      <c r="AR41" s="30"/>
      <c r="AS41" s="24"/>
      <c r="AT41" s="24"/>
      <c r="AU41" s="31"/>
      <c r="AV41" s="31"/>
      <c r="AW41" s="29"/>
      <c r="AX41" s="32"/>
      <c r="AY41" s="24"/>
      <c r="AZ41" s="26"/>
      <c r="BA41" s="27"/>
      <c r="BB41" s="26">
        <f t="shared" ref="BB41:BB45" si="22">AZ41-BA41</f>
        <v>0</v>
      </c>
      <c r="BC41" s="30"/>
      <c r="BD41" s="24"/>
      <c r="BE41" s="24"/>
      <c r="BF41" s="31"/>
      <c r="BG41" s="31"/>
      <c r="BH41" s="29"/>
      <c r="BI41" s="32"/>
      <c r="BJ41" s="24"/>
      <c r="BK41" s="26"/>
      <c r="BL41" s="27"/>
      <c r="BM41" s="26">
        <f t="shared" ref="BM41:BM45" si="23">BK41-BL41</f>
        <v>0</v>
      </c>
    </row>
    <row r="42" spans="1:65" s="4" customFormat="1" ht="20.100000000000001" customHeight="1" x14ac:dyDescent="0.3">
      <c r="A42" s="24"/>
      <c r="B42" s="24"/>
      <c r="C42" s="24"/>
      <c r="D42" s="24"/>
      <c r="E42" s="29"/>
      <c r="F42" s="29"/>
      <c r="G42" s="24"/>
      <c r="H42" s="26"/>
      <c r="I42" s="27"/>
      <c r="J42" s="26">
        <f t="shared" si="18"/>
        <v>0</v>
      </c>
      <c r="K42" s="30"/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V42" s="30"/>
      <c r="W42" s="24"/>
      <c r="X42" s="24"/>
      <c r="Y42" s="24"/>
      <c r="Z42" s="24"/>
      <c r="AA42" s="29"/>
      <c r="AB42" s="29"/>
      <c r="AC42" s="24"/>
      <c r="AD42" s="26"/>
      <c r="AE42" s="27"/>
      <c r="AF42" s="26">
        <f t="shared" si="20"/>
        <v>0</v>
      </c>
      <c r="AG42" s="30"/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R42" s="30"/>
      <c r="AS42" s="24"/>
      <c r="AT42" s="24"/>
      <c r="AU42" s="24"/>
      <c r="AV42" s="24"/>
      <c r="AW42" s="29"/>
      <c r="AX42" s="29"/>
      <c r="AY42" s="24"/>
      <c r="AZ42" s="26"/>
      <c r="BA42" s="27"/>
      <c r="BB42" s="26">
        <f t="shared" si="22"/>
        <v>0</v>
      </c>
      <c r="BC42" s="30"/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4" customFormat="1" ht="20.100000000000001" customHeight="1" x14ac:dyDescent="0.3">
      <c r="A43" s="24">
        <v>210825</v>
      </c>
      <c r="B43" s="24">
        <v>304</v>
      </c>
      <c r="C43" s="31">
        <v>0.8</v>
      </c>
      <c r="D43" s="31" t="s">
        <v>27</v>
      </c>
      <c r="E43" s="29" t="s">
        <v>36</v>
      </c>
      <c r="F43" s="29"/>
      <c r="G43" s="24" t="s">
        <v>29</v>
      </c>
      <c r="H43" s="26">
        <v>4000</v>
      </c>
      <c r="I43" s="27"/>
      <c r="J43" s="26">
        <f t="shared" si="18"/>
        <v>4000</v>
      </c>
      <c r="K43" s="30"/>
      <c r="L43" s="24"/>
      <c r="M43" s="24"/>
      <c r="N43" s="31"/>
      <c r="O43" s="31"/>
      <c r="P43" s="29"/>
      <c r="Q43" s="29"/>
      <c r="R43" s="24"/>
      <c r="S43" s="26"/>
      <c r="T43" s="27"/>
      <c r="U43" s="26">
        <f t="shared" si="19"/>
        <v>0</v>
      </c>
      <c r="V43" s="30"/>
      <c r="W43" s="24"/>
      <c r="X43" s="24"/>
      <c r="Y43" s="31"/>
      <c r="Z43" s="31"/>
      <c r="AA43" s="29"/>
      <c r="AB43" s="29"/>
      <c r="AC43" s="24"/>
      <c r="AD43" s="26"/>
      <c r="AE43" s="27"/>
      <c r="AF43" s="26">
        <f t="shared" si="20"/>
        <v>0</v>
      </c>
      <c r="AG43" s="30"/>
      <c r="AH43" s="24"/>
      <c r="AI43" s="24"/>
      <c r="AJ43" s="24"/>
      <c r="AK43" s="24"/>
      <c r="AL43" s="29"/>
      <c r="AM43" s="29"/>
      <c r="AN43" s="24"/>
      <c r="AO43" s="26"/>
      <c r="AP43" s="27"/>
      <c r="AQ43" s="26">
        <f t="shared" si="21"/>
        <v>0</v>
      </c>
      <c r="AR43" s="30"/>
      <c r="AS43" s="24"/>
      <c r="AT43" s="24"/>
      <c r="AU43" s="24"/>
      <c r="AV43" s="24"/>
      <c r="AW43" s="29"/>
      <c r="AX43" s="29"/>
      <c r="AY43" s="24"/>
      <c r="AZ43" s="26"/>
      <c r="BA43" s="27"/>
      <c r="BB43" s="26">
        <f t="shared" si="22"/>
        <v>0</v>
      </c>
      <c r="BC43" s="30"/>
      <c r="BD43" s="24"/>
      <c r="BE43" s="24"/>
      <c r="BF43" s="31"/>
      <c r="BG43" s="31"/>
      <c r="BH43" s="29"/>
      <c r="BI43" s="29"/>
      <c r="BJ43" s="24"/>
      <c r="BK43" s="26"/>
      <c r="BL43" s="27"/>
      <c r="BM43" s="26">
        <f t="shared" si="23"/>
        <v>0</v>
      </c>
    </row>
    <row r="44" spans="1:65" s="4" customFormat="1" ht="20.100000000000001" customHeight="1" x14ac:dyDescent="0.3">
      <c r="A44" s="24">
        <v>210825</v>
      </c>
      <c r="B44" s="24">
        <v>304</v>
      </c>
      <c r="C44" s="24">
        <v>0.5</v>
      </c>
      <c r="D44" s="24" t="s">
        <v>39</v>
      </c>
      <c r="E44" s="29" t="s">
        <v>40</v>
      </c>
      <c r="F44" s="41"/>
      <c r="G44" s="24" t="s">
        <v>29</v>
      </c>
      <c r="H44" s="26">
        <v>4000</v>
      </c>
      <c r="I44" s="27"/>
      <c r="J44" s="26">
        <f t="shared" si="18"/>
        <v>4000</v>
      </c>
      <c r="K44" s="30"/>
      <c r="L44" s="24"/>
      <c r="M44" s="24"/>
      <c r="N44" s="31"/>
      <c r="O44" s="31"/>
      <c r="P44" s="29"/>
      <c r="Q44" s="57"/>
      <c r="R44" s="24"/>
      <c r="S44" s="26"/>
      <c r="T44" s="27"/>
      <c r="U44" s="26">
        <f t="shared" si="19"/>
        <v>0</v>
      </c>
      <c r="V44" s="30"/>
      <c r="W44" s="24"/>
      <c r="X44" s="24"/>
      <c r="Y44" s="31"/>
      <c r="Z44" s="31"/>
      <c r="AA44" s="29"/>
      <c r="AB44" s="57"/>
      <c r="AC44" s="24"/>
      <c r="AD44" s="26"/>
      <c r="AE44" s="27"/>
      <c r="AF44" s="26">
        <f t="shared" si="20"/>
        <v>0</v>
      </c>
      <c r="AG44" s="30"/>
      <c r="AH44" s="24"/>
      <c r="AI44" s="24"/>
      <c r="AJ44" s="31"/>
      <c r="AK44" s="31"/>
      <c r="AL44" s="29"/>
      <c r="AM44" s="41"/>
      <c r="AN44" s="24"/>
      <c r="AO44" s="26"/>
      <c r="AP44" s="27"/>
      <c r="AQ44" s="26">
        <f t="shared" si="21"/>
        <v>0</v>
      </c>
      <c r="AR44" s="30"/>
      <c r="AS44" s="24"/>
      <c r="AT44" s="24"/>
      <c r="AU44" s="24"/>
      <c r="AV44" s="24"/>
      <c r="AW44" s="29"/>
      <c r="AX44" s="41"/>
      <c r="AY44" s="24"/>
      <c r="AZ44" s="26"/>
      <c r="BA44" s="27"/>
      <c r="BB44" s="26">
        <f t="shared" si="22"/>
        <v>0</v>
      </c>
      <c r="BC44" s="30"/>
      <c r="BD44" s="24"/>
      <c r="BE44" s="24"/>
      <c r="BF44" s="31"/>
      <c r="BG44" s="31"/>
      <c r="BH44" s="29"/>
      <c r="BI44" s="41"/>
      <c r="BJ44" s="24"/>
      <c r="BK44" s="26"/>
      <c r="BL44" s="27"/>
      <c r="BM44" s="26">
        <f t="shared" si="23"/>
        <v>0</v>
      </c>
    </row>
    <row r="45" spans="1:65" s="4" customFormat="1" ht="20.100000000000001" customHeight="1" x14ac:dyDescent="0.3">
      <c r="A45" s="24"/>
      <c r="B45" s="24"/>
      <c r="C45" s="24"/>
      <c r="D45" s="24"/>
      <c r="E45" s="29"/>
      <c r="F45" s="41"/>
      <c r="G45" s="24"/>
      <c r="H45" s="26"/>
      <c r="I45" s="27"/>
      <c r="J45" s="26">
        <f t="shared" si="18"/>
        <v>0</v>
      </c>
      <c r="K45" s="30"/>
      <c r="L45" s="24"/>
      <c r="M45" s="24"/>
      <c r="N45" s="31"/>
      <c r="O45" s="31"/>
      <c r="P45" s="29"/>
      <c r="Q45" s="57"/>
      <c r="R45" s="24"/>
      <c r="S45" s="26"/>
      <c r="T45" s="27"/>
      <c r="U45" s="26">
        <f t="shared" si="19"/>
        <v>0</v>
      </c>
      <c r="V45" s="30"/>
      <c r="W45" s="24"/>
      <c r="X45" s="24"/>
      <c r="Y45" s="24"/>
      <c r="Z45" s="24"/>
      <c r="AA45" s="29"/>
      <c r="AB45" s="57"/>
      <c r="AC45" s="24"/>
      <c r="AD45" s="26"/>
      <c r="AE45" s="27"/>
      <c r="AF45" s="26">
        <f t="shared" si="20"/>
        <v>0</v>
      </c>
      <c r="AG45" s="30"/>
      <c r="AH45" s="24"/>
      <c r="AI45" s="24"/>
      <c r="AJ45" s="31"/>
      <c r="AK45" s="31"/>
      <c r="AL45" s="29"/>
      <c r="AM45" s="41"/>
      <c r="AN45" s="24"/>
      <c r="AO45" s="26"/>
      <c r="AP45" s="27"/>
      <c r="AQ45" s="26">
        <f t="shared" si="21"/>
        <v>0</v>
      </c>
      <c r="AR45" s="30"/>
      <c r="AS45" s="24"/>
      <c r="AT45" s="24"/>
      <c r="AU45" s="24"/>
      <c r="AV45" s="24"/>
      <c r="AW45" s="29"/>
      <c r="AX45" s="41"/>
      <c r="AY45" s="24"/>
      <c r="AZ45" s="26"/>
      <c r="BA45" s="27"/>
      <c r="BB45" s="26">
        <f t="shared" si="22"/>
        <v>0</v>
      </c>
      <c r="BC45" s="30"/>
      <c r="BD45" s="24"/>
      <c r="BE45" s="24"/>
      <c r="BF45" s="24"/>
      <c r="BG45" s="24"/>
      <c r="BH45" s="29"/>
      <c r="BI45" s="41"/>
      <c r="BJ45" s="24"/>
      <c r="BK45" s="26"/>
      <c r="BL45" s="27"/>
      <c r="BM45" s="26">
        <f t="shared" si="23"/>
        <v>0</v>
      </c>
    </row>
    <row r="46" spans="1:65" s="4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10000</v>
      </c>
      <c r="I46" s="27">
        <f>SUM(I40:I45)</f>
        <v>2000</v>
      </c>
      <c r="J46" s="26">
        <f>SUM(J40:J45)</f>
        <v>8000</v>
      </c>
      <c r="K46" s="30"/>
      <c r="L46" s="34"/>
      <c r="M46" s="34"/>
      <c r="N46" s="34"/>
      <c r="O46" s="34"/>
      <c r="P46" s="35"/>
      <c r="Q46" s="35"/>
      <c r="R46" s="36"/>
      <c r="S46" s="26">
        <f>SUM(S40:S45)</f>
        <v>2000</v>
      </c>
      <c r="T46" s="27">
        <f>SUM(T40:T45)</f>
        <v>2000</v>
      </c>
      <c r="U46" s="26">
        <f>SUM(U40:U45)</f>
        <v>0</v>
      </c>
      <c r="V46" s="30"/>
      <c r="W46" s="34"/>
      <c r="X46" s="34"/>
      <c r="Y46" s="34"/>
      <c r="Z46" s="34"/>
      <c r="AA46" s="35"/>
      <c r="AB46" s="35"/>
      <c r="AC46" s="36"/>
      <c r="AD46" s="26">
        <f>SUM(AD40:AD45)</f>
        <v>2000</v>
      </c>
      <c r="AE46" s="27">
        <f>SUM(AE40:AE45)</f>
        <v>2000</v>
      </c>
      <c r="AF46" s="26">
        <f>SUM(AF40:AF45)</f>
        <v>0</v>
      </c>
      <c r="AG46" s="30"/>
      <c r="AH46" s="34"/>
      <c r="AI46" s="34"/>
      <c r="AJ46" s="34"/>
      <c r="AK46" s="34"/>
      <c r="AL46" s="35"/>
      <c r="AM46" s="35"/>
      <c r="AN46" s="36"/>
      <c r="AO46" s="26">
        <f>SUM(AO40:AO45)</f>
        <v>2000</v>
      </c>
      <c r="AP46" s="27">
        <f>SUM(AP40:AP45)</f>
        <v>2000</v>
      </c>
      <c r="AQ46" s="26">
        <f>SUM(AQ40:AQ45)</f>
        <v>0</v>
      </c>
      <c r="AR46" s="30"/>
      <c r="AS46" s="34"/>
      <c r="AT46" s="34"/>
      <c r="AU46" s="34"/>
      <c r="AV46" s="34"/>
      <c r="AW46" s="35"/>
      <c r="AX46" s="35"/>
      <c r="AY46" s="36"/>
      <c r="AZ46" s="26">
        <f>SUM(AZ40:AZ45)</f>
        <v>1900</v>
      </c>
      <c r="BA46" s="27">
        <f>SUM(BA40:BA45)</f>
        <v>1900</v>
      </c>
      <c r="BB46" s="26">
        <f>SUM(BB40:BB45)</f>
        <v>0</v>
      </c>
      <c r="BC46" s="30"/>
      <c r="BD46" s="34"/>
      <c r="BE46" s="34"/>
      <c r="BF46" s="34"/>
      <c r="BG46" s="34"/>
      <c r="BH46" s="35"/>
      <c r="BI46" s="35"/>
      <c r="BJ46" s="36"/>
      <c r="BK46" s="26">
        <f>SUM(BK40:BK45)</f>
        <v>1350</v>
      </c>
      <c r="BL46" s="27">
        <f>SUM(BL40:BL45)</f>
        <v>1350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57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57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4" customFormat="1" ht="20.100000000000001" customHeight="1" x14ac:dyDescent="0.3">
      <c r="A51" s="24">
        <v>10925</v>
      </c>
      <c r="B51" s="24">
        <v>430</v>
      </c>
      <c r="C51" s="31">
        <v>0.8</v>
      </c>
      <c r="D51" s="26" t="s">
        <v>27</v>
      </c>
      <c r="E51" s="29" t="s">
        <v>282</v>
      </c>
      <c r="F51" s="32"/>
      <c r="G51" s="24">
        <v>430</v>
      </c>
      <c r="H51" s="26">
        <v>2000</v>
      </c>
      <c r="I51" s="27">
        <v>2000</v>
      </c>
      <c r="J51" s="26">
        <f>H51-I51</f>
        <v>0</v>
      </c>
      <c r="K51" s="30"/>
      <c r="L51" s="24">
        <v>10925</v>
      </c>
      <c r="M51" s="24">
        <v>430</v>
      </c>
      <c r="N51" s="31">
        <v>0.8</v>
      </c>
      <c r="O51" s="26" t="s">
        <v>27</v>
      </c>
      <c r="P51" s="29" t="s">
        <v>282</v>
      </c>
      <c r="Q51" s="32"/>
      <c r="R51" s="24">
        <v>430</v>
      </c>
      <c r="S51" s="26">
        <v>1300</v>
      </c>
      <c r="T51" s="27">
        <f>350+950</f>
        <v>1300</v>
      </c>
      <c r="U51" s="26">
        <f>S51-T51</f>
        <v>0</v>
      </c>
      <c r="V51" s="30"/>
      <c r="W51" s="24">
        <v>10925</v>
      </c>
      <c r="X51" s="24">
        <v>430</v>
      </c>
      <c r="Y51" s="31">
        <v>0.8</v>
      </c>
      <c r="Z51" s="26">
        <v>430</v>
      </c>
      <c r="AA51" s="29" t="s">
        <v>283</v>
      </c>
      <c r="AB51" s="29"/>
      <c r="AC51" s="24">
        <v>430</v>
      </c>
      <c r="AD51" s="26">
        <v>2000</v>
      </c>
      <c r="AE51" s="27">
        <v>2000</v>
      </c>
      <c r="AF51" s="26">
        <f>AD51-AE51</f>
        <v>0</v>
      </c>
      <c r="AG51" s="30"/>
      <c r="AH51" s="24">
        <v>10925</v>
      </c>
      <c r="AI51" s="24">
        <v>430</v>
      </c>
      <c r="AJ51" s="31">
        <v>0.8</v>
      </c>
      <c r="AK51" s="26">
        <v>430</v>
      </c>
      <c r="AL51" s="29" t="s">
        <v>282</v>
      </c>
      <c r="AM51" s="29"/>
      <c r="AN51" s="24">
        <v>430</v>
      </c>
      <c r="AO51" s="26">
        <v>400</v>
      </c>
      <c r="AP51" s="27">
        <v>400</v>
      </c>
      <c r="AQ51" s="26">
        <f>AO51-AP51</f>
        <v>0</v>
      </c>
      <c r="AR51" s="30"/>
      <c r="AS51" s="24">
        <v>10925</v>
      </c>
      <c r="AT51" s="24">
        <v>430</v>
      </c>
      <c r="AU51" s="31">
        <v>0.8</v>
      </c>
      <c r="AV51" s="31"/>
      <c r="AW51" s="29" t="s">
        <v>284</v>
      </c>
      <c r="AX51" s="29"/>
      <c r="AY51" s="24"/>
      <c r="AZ51" s="26">
        <v>1700</v>
      </c>
      <c r="BA51" s="27">
        <v>1700</v>
      </c>
      <c r="BB51" s="26">
        <f>AZ51-BA51</f>
        <v>0</v>
      </c>
      <c r="BC51" s="30"/>
      <c r="BD51" s="24">
        <v>10925</v>
      </c>
      <c r="BE51" s="24">
        <v>430</v>
      </c>
      <c r="BF51" s="31">
        <v>0.8</v>
      </c>
      <c r="BG51" s="31">
        <v>430</v>
      </c>
      <c r="BH51" s="29" t="s">
        <v>285</v>
      </c>
      <c r="BI51" s="29"/>
      <c r="BJ51" s="24">
        <v>430</v>
      </c>
      <c r="BK51" s="26">
        <v>2000</v>
      </c>
      <c r="BL51" s="27">
        <v>2000</v>
      </c>
      <c r="BM51" s="26">
        <f>BK51-BL51</f>
        <v>0</v>
      </c>
    </row>
    <row r="52" spans="1:65" s="4" customFormat="1" ht="20.100000000000001" customHeight="1" x14ac:dyDescent="0.3">
      <c r="A52" s="24"/>
      <c r="B52" s="24"/>
      <c r="C52" s="31"/>
      <c r="D52" s="26"/>
      <c r="E52" s="29"/>
      <c r="F52" s="29"/>
      <c r="G52" s="24"/>
      <c r="H52" s="26"/>
      <c r="I52" s="27"/>
      <c r="J52" s="26">
        <f t="shared" ref="J52:J56" si="24">H52-I52</f>
        <v>0</v>
      </c>
      <c r="K52" s="30"/>
      <c r="L52" s="24">
        <v>10925</v>
      </c>
      <c r="M52" s="24">
        <v>430</v>
      </c>
      <c r="N52" s="31">
        <v>0.8</v>
      </c>
      <c r="O52" s="31" t="s">
        <v>27</v>
      </c>
      <c r="P52" s="29" t="s">
        <v>284</v>
      </c>
      <c r="Q52" s="32"/>
      <c r="R52" s="24"/>
      <c r="S52" s="26">
        <v>700</v>
      </c>
      <c r="T52" s="27">
        <v>700</v>
      </c>
      <c r="U52" s="26">
        <f t="shared" ref="U52:U56" si="25">S52-T52</f>
        <v>0</v>
      </c>
      <c r="V52" s="30"/>
      <c r="W52" s="24"/>
      <c r="X52" s="24"/>
      <c r="Y52" s="24"/>
      <c r="Z52" s="24"/>
      <c r="AA52" s="29"/>
      <c r="AB52" s="29"/>
      <c r="AC52" s="24"/>
      <c r="AD52" s="26"/>
      <c r="AE52" s="27"/>
      <c r="AF52" s="26">
        <f t="shared" ref="AF52:AF56" si="26">AD52-AE52</f>
        <v>0</v>
      </c>
      <c r="AG52" s="30"/>
      <c r="AH52" s="24">
        <v>10925</v>
      </c>
      <c r="AI52" s="24">
        <v>430</v>
      </c>
      <c r="AJ52" s="31">
        <v>0.8</v>
      </c>
      <c r="AK52" s="31"/>
      <c r="AL52" s="29" t="s">
        <v>284</v>
      </c>
      <c r="AM52" s="29"/>
      <c r="AN52" s="24"/>
      <c r="AO52" s="26">
        <v>1600</v>
      </c>
      <c r="AP52" s="27">
        <v>1600</v>
      </c>
      <c r="AQ52" s="26">
        <f t="shared" ref="AQ52:AQ56" si="27">AO52-AP52</f>
        <v>0</v>
      </c>
      <c r="AR52" s="30"/>
      <c r="AS52" s="24">
        <v>10925</v>
      </c>
      <c r="AT52" s="24">
        <v>430</v>
      </c>
      <c r="AU52" s="31">
        <v>0.8</v>
      </c>
      <c r="AV52" s="31">
        <v>430</v>
      </c>
      <c r="AW52" s="29" t="s">
        <v>285</v>
      </c>
      <c r="AX52" s="29"/>
      <c r="AY52" s="24">
        <v>430</v>
      </c>
      <c r="AZ52" s="26">
        <v>300</v>
      </c>
      <c r="BA52" s="27">
        <v>300</v>
      </c>
      <c r="BB52" s="26">
        <f t="shared" ref="BB52:BB56" si="28">AZ52-BA52</f>
        <v>0</v>
      </c>
      <c r="BC52" s="30"/>
      <c r="BD52" s="24"/>
      <c r="BE52" s="24"/>
      <c r="BF52" s="24"/>
      <c r="BG52" s="24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4" customFormat="1" ht="20.100000000000001" customHeight="1" x14ac:dyDescent="0.3">
      <c r="A53" s="24"/>
      <c r="B53" s="24"/>
      <c r="C53" s="24"/>
      <c r="D53" s="24"/>
      <c r="E53" s="29"/>
      <c r="F53" s="29"/>
      <c r="G53" s="24"/>
      <c r="H53" s="26"/>
      <c r="I53" s="27"/>
      <c r="J53" s="26">
        <f t="shared" si="24"/>
        <v>0</v>
      </c>
      <c r="K53" s="30"/>
      <c r="L53" s="24"/>
      <c r="M53" s="24"/>
      <c r="N53" s="24"/>
      <c r="O53" s="24"/>
      <c r="P53" s="29"/>
      <c r="Q53" s="29"/>
      <c r="R53" s="24"/>
      <c r="S53" s="26"/>
      <c r="T53" s="27"/>
      <c r="U53" s="26">
        <f t="shared" si="25"/>
        <v>0</v>
      </c>
      <c r="V53" s="30"/>
      <c r="W53" s="24"/>
      <c r="X53" s="24"/>
      <c r="Y53" s="24"/>
      <c r="Z53" s="24"/>
      <c r="AA53" s="29"/>
      <c r="AB53" s="29"/>
      <c r="AC53" s="24"/>
      <c r="AD53" s="26"/>
      <c r="AE53" s="27"/>
      <c r="AF53" s="26">
        <f t="shared" si="26"/>
        <v>0</v>
      </c>
      <c r="AG53" s="30"/>
      <c r="AH53" s="24"/>
      <c r="AI53" s="24"/>
      <c r="AJ53" s="24"/>
      <c r="AK53" s="24"/>
      <c r="AL53" s="29"/>
      <c r="AM53" s="29"/>
      <c r="AN53" s="24"/>
      <c r="AO53" s="26"/>
      <c r="AP53" s="27"/>
      <c r="AQ53" s="26">
        <f t="shared" si="27"/>
        <v>0</v>
      </c>
      <c r="AR53" s="30"/>
      <c r="AS53" s="24"/>
      <c r="AT53" s="24"/>
      <c r="AU53" s="24"/>
      <c r="AV53" s="24"/>
      <c r="AW53" s="29"/>
      <c r="AX53" s="29"/>
      <c r="AY53" s="24"/>
      <c r="AZ53" s="26"/>
      <c r="BA53" s="27"/>
      <c r="BB53" s="26">
        <f t="shared" si="28"/>
        <v>0</v>
      </c>
      <c r="BC53" s="30"/>
      <c r="BD53" s="24"/>
      <c r="BE53" s="24"/>
      <c r="BF53" s="24"/>
      <c r="BG53" s="24"/>
      <c r="BH53" s="29"/>
      <c r="BI53" s="29"/>
      <c r="BJ53" s="24"/>
      <c r="BK53" s="26"/>
      <c r="BL53" s="27"/>
      <c r="BM53" s="26">
        <f t="shared" si="29"/>
        <v>0</v>
      </c>
    </row>
    <row r="54" spans="1:65" s="4" customFormat="1" ht="20.100000000000001" customHeight="1" x14ac:dyDescent="0.3">
      <c r="A54" s="24"/>
      <c r="B54" s="24"/>
      <c r="C54" s="31"/>
      <c r="D54" s="31"/>
      <c r="E54" s="29"/>
      <c r="F54" s="29"/>
      <c r="G54" s="24"/>
      <c r="H54" s="26"/>
      <c r="I54" s="27"/>
      <c r="J54" s="26">
        <f t="shared" si="24"/>
        <v>0</v>
      </c>
      <c r="K54" s="30"/>
      <c r="L54" s="24"/>
      <c r="M54" s="24"/>
      <c r="N54" s="24"/>
      <c r="O54" s="24"/>
      <c r="P54" s="29"/>
      <c r="Q54" s="29"/>
      <c r="R54" s="24"/>
      <c r="S54" s="26"/>
      <c r="T54" s="27"/>
      <c r="U54" s="26">
        <f t="shared" si="25"/>
        <v>0</v>
      </c>
      <c r="V54" s="30"/>
      <c r="W54" s="24"/>
      <c r="X54" s="24"/>
      <c r="Y54" s="24"/>
      <c r="Z54" s="24"/>
      <c r="AA54" s="29"/>
      <c r="AB54" s="29"/>
      <c r="AC54" s="24"/>
      <c r="AD54" s="26"/>
      <c r="AE54" s="27"/>
      <c r="AF54" s="26">
        <f t="shared" si="26"/>
        <v>0</v>
      </c>
      <c r="AG54" s="30"/>
      <c r="AH54" s="24"/>
      <c r="AI54" s="24"/>
      <c r="AJ54" s="24"/>
      <c r="AK54" s="24"/>
      <c r="AL54" s="29"/>
      <c r="AM54" s="29"/>
      <c r="AN54" s="24"/>
      <c r="AO54" s="26"/>
      <c r="AP54" s="27"/>
      <c r="AQ54" s="26">
        <f t="shared" si="27"/>
        <v>0</v>
      </c>
      <c r="AR54" s="30"/>
      <c r="AS54" s="24"/>
      <c r="AT54" s="24"/>
      <c r="AU54" s="24"/>
      <c r="AV54" s="24"/>
      <c r="AW54" s="29"/>
      <c r="AX54" s="29"/>
      <c r="AY54" s="24"/>
      <c r="AZ54" s="26"/>
      <c r="BA54" s="27"/>
      <c r="BB54" s="26">
        <f t="shared" si="28"/>
        <v>0</v>
      </c>
      <c r="BC54" s="30"/>
      <c r="BD54" s="24"/>
      <c r="BE54" s="24"/>
      <c r="BF54" s="24"/>
      <c r="BG54" s="24"/>
      <c r="BH54" s="29"/>
      <c r="BI54" s="29"/>
      <c r="BJ54" s="24"/>
      <c r="BK54" s="26"/>
      <c r="BL54" s="27"/>
      <c r="BM54" s="26">
        <f t="shared" si="29"/>
        <v>0</v>
      </c>
    </row>
    <row r="55" spans="1:65" s="4" customFormat="1" ht="20.100000000000001" customHeight="1" x14ac:dyDescent="0.3">
      <c r="A55" s="24"/>
      <c r="B55" s="24"/>
      <c r="C55" s="24"/>
      <c r="D55" s="24"/>
      <c r="E55" s="29"/>
      <c r="F55" s="41"/>
      <c r="G55" s="24"/>
      <c r="H55" s="26"/>
      <c r="I55" s="27"/>
      <c r="J55" s="26">
        <f t="shared" si="24"/>
        <v>0</v>
      </c>
      <c r="K55" s="30"/>
      <c r="L55" s="24"/>
      <c r="M55" s="24"/>
      <c r="N55" s="24"/>
      <c r="O55" s="24"/>
      <c r="P55" s="29"/>
      <c r="Q55" s="57"/>
      <c r="R55" s="24"/>
      <c r="S55" s="26"/>
      <c r="T55" s="27"/>
      <c r="U55" s="26">
        <f t="shared" si="25"/>
        <v>0</v>
      </c>
      <c r="V55" s="30"/>
      <c r="W55" s="24"/>
      <c r="X55" s="24"/>
      <c r="Y55" s="24"/>
      <c r="Z55" s="24"/>
      <c r="AA55" s="29"/>
      <c r="AB55" s="57"/>
      <c r="AC55" s="24"/>
      <c r="AD55" s="26"/>
      <c r="AE55" s="27"/>
      <c r="AF55" s="26">
        <f t="shared" si="26"/>
        <v>0</v>
      </c>
      <c r="AG55" s="30"/>
      <c r="AH55" s="24"/>
      <c r="AI55" s="24"/>
      <c r="AJ55" s="24"/>
      <c r="AK55" s="24"/>
      <c r="AL55" s="29"/>
      <c r="AM55" s="41"/>
      <c r="AN55" s="24"/>
      <c r="AO55" s="26"/>
      <c r="AP55" s="27"/>
      <c r="AQ55" s="26">
        <f t="shared" si="27"/>
        <v>0</v>
      </c>
      <c r="AR55" s="30"/>
      <c r="AS55" s="24"/>
      <c r="AT55" s="24"/>
      <c r="AU55" s="24"/>
      <c r="AV55" s="24"/>
      <c r="AW55" s="29"/>
      <c r="AX55" s="41"/>
      <c r="AY55" s="24"/>
      <c r="AZ55" s="26"/>
      <c r="BA55" s="27"/>
      <c r="BB55" s="26">
        <f t="shared" si="28"/>
        <v>0</v>
      </c>
      <c r="BC55" s="30"/>
      <c r="BD55" s="24"/>
      <c r="BE55" s="24"/>
      <c r="BF55" s="24"/>
      <c r="BG55" s="24"/>
      <c r="BH55" s="29"/>
      <c r="BI55" s="41"/>
      <c r="BJ55" s="24"/>
      <c r="BK55" s="26"/>
      <c r="BL55" s="27"/>
      <c r="BM55" s="26">
        <f t="shared" si="29"/>
        <v>0</v>
      </c>
    </row>
    <row r="56" spans="1:65" s="4" customFormat="1" ht="20.100000000000001" customHeight="1" x14ac:dyDescent="0.3">
      <c r="A56" s="24"/>
      <c r="B56" s="24"/>
      <c r="C56" s="24"/>
      <c r="D56" s="24"/>
      <c r="E56" s="29"/>
      <c r="F56" s="41"/>
      <c r="G56" s="24"/>
      <c r="H56" s="26"/>
      <c r="I56" s="27"/>
      <c r="J56" s="26">
        <f t="shared" si="24"/>
        <v>0</v>
      </c>
      <c r="K56" s="30"/>
      <c r="L56" s="24"/>
      <c r="M56" s="24"/>
      <c r="N56" s="24"/>
      <c r="O56" s="24"/>
      <c r="P56" s="29"/>
      <c r="Q56" s="57"/>
      <c r="R56" s="24"/>
      <c r="S56" s="26"/>
      <c r="T56" s="27"/>
      <c r="U56" s="26">
        <f t="shared" si="25"/>
        <v>0</v>
      </c>
      <c r="V56" s="30"/>
      <c r="W56" s="24"/>
      <c r="X56" s="24"/>
      <c r="Y56" s="24"/>
      <c r="Z56" s="24"/>
      <c r="AA56" s="29"/>
      <c r="AB56" s="57"/>
      <c r="AC56" s="24"/>
      <c r="AD56" s="26"/>
      <c r="AE56" s="27"/>
      <c r="AF56" s="26">
        <f t="shared" si="26"/>
        <v>0</v>
      </c>
      <c r="AG56" s="30"/>
      <c r="AH56" s="24"/>
      <c r="AI56" s="24"/>
      <c r="AJ56" s="24"/>
      <c r="AK56" s="24"/>
      <c r="AL56" s="29"/>
      <c r="AM56" s="41"/>
      <c r="AN56" s="24"/>
      <c r="AO56" s="26"/>
      <c r="AP56" s="27"/>
      <c r="AQ56" s="26">
        <f t="shared" si="27"/>
        <v>0</v>
      </c>
      <c r="AR56" s="30"/>
      <c r="AS56" s="24"/>
      <c r="AT56" s="24"/>
      <c r="AU56" s="24"/>
      <c r="AV56" s="24"/>
      <c r="AW56" s="29"/>
      <c r="AX56" s="41"/>
      <c r="AY56" s="24"/>
      <c r="AZ56" s="26"/>
      <c r="BA56" s="27"/>
      <c r="BB56" s="26">
        <f t="shared" si="28"/>
        <v>0</v>
      </c>
      <c r="BC56" s="30"/>
      <c r="BD56" s="24"/>
      <c r="BE56" s="24"/>
      <c r="BF56" s="24"/>
      <c r="BG56" s="24"/>
      <c r="BH56" s="29"/>
      <c r="BI56" s="41"/>
      <c r="BJ56" s="24"/>
      <c r="BK56" s="26"/>
      <c r="BL56" s="27"/>
      <c r="BM56" s="26">
        <f t="shared" si="29"/>
        <v>0</v>
      </c>
    </row>
    <row r="57" spans="1:65" s="4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2000</v>
      </c>
      <c r="I57" s="27">
        <f>SUM(I51:I56)</f>
        <v>2000</v>
      </c>
      <c r="J57" s="26">
        <f>SUM(J51:J56)</f>
        <v>0</v>
      </c>
      <c r="K57" s="30"/>
      <c r="L57" s="34"/>
      <c r="M57" s="34"/>
      <c r="N57" s="34"/>
      <c r="O57" s="34"/>
      <c r="P57" s="35"/>
      <c r="Q57" s="35"/>
      <c r="R57" s="36"/>
      <c r="S57" s="26">
        <f>SUM(S51:S56)</f>
        <v>2000</v>
      </c>
      <c r="T57" s="27">
        <f>SUM(T51:T56)</f>
        <v>2000</v>
      </c>
      <c r="U57" s="26">
        <f>SUM(U51:U56)</f>
        <v>0</v>
      </c>
      <c r="V57" s="30"/>
      <c r="W57" s="34"/>
      <c r="X57" s="34"/>
      <c r="Y57" s="34"/>
      <c r="Z57" s="34"/>
      <c r="AA57" s="35"/>
      <c r="AB57" s="35"/>
      <c r="AC57" s="36"/>
      <c r="AD57" s="26">
        <f>SUM(AD51:AD56)</f>
        <v>2000</v>
      </c>
      <c r="AE57" s="27">
        <f>SUM(AE51:AE56)</f>
        <v>2000</v>
      </c>
      <c r="AF57" s="26">
        <f>SUM(AF51:AF56)</f>
        <v>0</v>
      </c>
      <c r="AG57" s="30"/>
      <c r="AH57" s="34"/>
      <c r="AI57" s="34"/>
      <c r="AJ57" s="34"/>
      <c r="AK57" s="34"/>
      <c r="AL57" s="35"/>
      <c r="AM57" s="35"/>
      <c r="AN57" s="36"/>
      <c r="AO57" s="26">
        <f>SUM(AO51:AO56)</f>
        <v>2000</v>
      </c>
      <c r="AP57" s="27">
        <f>SUM(AP51:AP56)</f>
        <v>2000</v>
      </c>
      <c r="AQ57" s="26">
        <f>SUM(AQ51:AQ56)</f>
        <v>0</v>
      </c>
      <c r="AR57" s="30"/>
      <c r="AS57" s="34"/>
      <c r="AT57" s="34"/>
      <c r="AU57" s="34"/>
      <c r="AV57" s="34"/>
      <c r="AW57" s="35"/>
      <c r="AX57" s="35"/>
      <c r="AY57" s="36"/>
      <c r="AZ57" s="26">
        <f>SUM(AZ51:AZ56)</f>
        <v>2000</v>
      </c>
      <c r="BA57" s="27">
        <f>SUM(BA51:BA56)</f>
        <v>2000</v>
      </c>
      <c r="BB57" s="26">
        <f>SUM(BB51:BB56)</f>
        <v>0</v>
      </c>
      <c r="BC57" s="30"/>
      <c r="BD57" s="34"/>
      <c r="BE57" s="34"/>
      <c r="BF57" s="34"/>
      <c r="BG57" s="34"/>
      <c r="BH57" s="35"/>
      <c r="BI57" s="35"/>
      <c r="BJ57" s="36"/>
      <c r="BK57" s="26">
        <f>SUM(BK51:BK56)</f>
        <v>2000</v>
      </c>
      <c r="BL57" s="27">
        <f>SUM(BL51:BL56)</f>
        <v>2000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57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57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4" customFormat="1" ht="20.100000000000001" customHeight="1" x14ac:dyDescent="0.3">
      <c r="A62" s="44">
        <v>10925</v>
      </c>
      <c r="B62" s="44">
        <v>430</v>
      </c>
      <c r="C62" s="45">
        <v>0.8</v>
      </c>
      <c r="D62" s="45"/>
      <c r="E62" s="32" t="s">
        <v>307</v>
      </c>
      <c r="F62" s="29"/>
      <c r="G62" s="44"/>
      <c r="H62" s="46">
        <v>3000</v>
      </c>
      <c r="I62" s="27">
        <v>3000</v>
      </c>
      <c r="J62" s="26">
        <f>H62-I62</f>
        <v>0</v>
      </c>
      <c r="K62" s="30"/>
      <c r="L62" s="44">
        <v>10925</v>
      </c>
      <c r="M62" s="44">
        <v>430</v>
      </c>
      <c r="N62" s="45">
        <v>0.8</v>
      </c>
      <c r="O62" s="45"/>
      <c r="P62" s="32" t="s">
        <v>307</v>
      </c>
      <c r="Q62" s="29"/>
      <c r="R62" s="44"/>
      <c r="S62" s="46">
        <v>100</v>
      </c>
      <c r="T62" s="27">
        <v>100</v>
      </c>
      <c r="U62" s="26">
        <f>S62-T62</f>
        <v>0</v>
      </c>
      <c r="V62" s="30"/>
      <c r="W62" s="24">
        <v>10925</v>
      </c>
      <c r="X62" s="24">
        <v>430</v>
      </c>
      <c r="Y62" s="31">
        <v>0.8</v>
      </c>
      <c r="Z62" s="26"/>
      <c r="AA62" s="29" t="s">
        <v>282</v>
      </c>
      <c r="AB62" s="29"/>
      <c r="AC62" s="24"/>
      <c r="AD62" s="26">
        <v>300</v>
      </c>
      <c r="AE62" s="27">
        <v>300</v>
      </c>
      <c r="AF62" s="26">
        <f>AD62-AE62</f>
        <v>0</v>
      </c>
      <c r="AG62" s="30"/>
      <c r="AH62" s="24">
        <v>10925</v>
      </c>
      <c r="AI62" s="24">
        <v>430</v>
      </c>
      <c r="AJ62" s="31">
        <v>0.8</v>
      </c>
      <c r="AK62" s="26"/>
      <c r="AL62" s="29" t="s">
        <v>284</v>
      </c>
      <c r="AM62" s="29"/>
      <c r="AN62" s="24"/>
      <c r="AO62" s="26">
        <v>600</v>
      </c>
      <c r="AP62" s="53">
        <v>600</v>
      </c>
      <c r="AQ62" s="26">
        <f>AO62-AP62</f>
        <v>0</v>
      </c>
      <c r="AR62" s="30"/>
      <c r="AS62" s="24">
        <v>10925</v>
      </c>
      <c r="AT62" s="24">
        <v>430</v>
      </c>
      <c r="AU62" s="31">
        <v>0.8</v>
      </c>
      <c r="AV62" s="31"/>
      <c r="AW62" s="29" t="s">
        <v>285</v>
      </c>
      <c r="AX62" s="29"/>
      <c r="AY62" s="24"/>
      <c r="AZ62" s="26">
        <v>700</v>
      </c>
      <c r="BA62" s="27">
        <v>700</v>
      </c>
      <c r="BB62" s="26">
        <f>AZ62-BA62</f>
        <v>0</v>
      </c>
      <c r="BC62" s="30"/>
      <c r="BD62" s="24">
        <v>10925</v>
      </c>
      <c r="BE62" s="24">
        <v>430</v>
      </c>
      <c r="BF62" s="31">
        <v>0.8</v>
      </c>
      <c r="BG62" s="26"/>
      <c r="BH62" s="29" t="s">
        <v>286</v>
      </c>
      <c r="BI62" s="29"/>
      <c r="BJ62" s="24"/>
      <c r="BK62" s="26">
        <v>1000</v>
      </c>
      <c r="BL62" s="27"/>
      <c r="BM62" s="26">
        <f>BK62-BL62</f>
        <v>1000</v>
      </c>
    </row>
    <row r="63" spans="1:65" s="4" customFormat="1" ht="20.100000000000001" customHeight="1" x14ac:dyDescent="0.3">
      <c r="A63" s="44"/>
      <c r="B63" s="44"/>
      <c r="C63" s="45"/>
      <c r="D63" s="45"/>
      <c r="E63" s="32"/>
      <c r="F63" s="29"/>
      <c r="G63" s="44"/>
      <c r="H63" s="46"/>
      <c r="I63" s="27"/>
      <c r="J63" s="26">
        <f t="shared" ref="J63:J67" si="30">H63-I63</f>
        <v>0</v>
      </c>
      <c r="K63" s="30"/>
      <c r="L63" s="24">
        <v>10925</v>
      </c>
      <c r="M63" s="24">
        <v>430</v>
      </c>
      <c r="N63" s="31">
        <v>0.8</v>
      </c>
      <c r="O63" s="26"/>
      <c r="P63" s="29" t="s">
        <v>429</v>
      </c>
      <c r="Q63" s="29"/>
      <c r="R63" s="24"/>
      <c r="S63" s="26">
        <v>3000</v>
      </c>
      <c r="T63" s="27">
        <v>3000</v>
      </c>
      <c r="U63" s="26">
        <f t="shared" ref="U63:U67" si="31">S63-T63</f>
        <v>0</v>
      </c>
      <c r="V63" s="30"/>
      <c r="W63" s="24">
        <v>10925</v>
      </c>
      <c r="X63" s="24">
        <v>430</v>
      </c>
      <c r="Y63" s="31">
        <v>0.8</v>
      </c>
      <c r="Z63" s="26"/>
      <c r="AA63" s="29" t="s">
        <v>284</v>
      </c>
      <c r="AB63" s="29"/>
      <c r="AC63" s="24"/>
      <c r="AD63" s="26">
        <v>2700</v>
      </c>
      <c r="AE63" s="27">
        <v>2700</v>
      </c>
      <c r="AF63" s="26">
        <f t="shared" ref="AF63:AF67" si="32">AD63-AE63</f>
        <v>0</v>
      </c>
      <c r="AG63" s="30"/>
      <c r="AH63" s="24">
        <v>10925</v>
      </c>
      <c r="AI63" s="24">
        <v>430</v>
      </c>
      <c r="AJ63" s="31">
        <v>0.8</v>
      </c>
      <c r="AK63" s="31"/>
      <c r="AL63" s="29" t="s">
        <v>285</v>
      </c>
      <c r="AM63" s="29"/>
      <c r="AN63" s="24"/>
      <c r="AO63" s="26">
        <v>2400</v>
      </c>
      <c r="AP63" s="27">
        <v>2400</v>
      </c>
      <c r="AQ63" s="26">
        <f t="shared" ref="AQ63:AQ67" si="33">AO63-AP63</f>
        <v>0</v>
      </c>
      <c r="AR63" s="30"/>
      <c r="AS63" s="24">
        <v>10925</v>
      </c>
      <c r="AT63" s="24">
        <v>430</v>
      </c>
      <c r="AU63" s="31">
        <v>0.8</v>
      </c>
      <c r="AV63" s="26"/>
      <c r="AW63" s="29" t="s">
        <v>286</v>
      </c>
      <c r="AX63" s="29"/>
      <c r="AY63" s="24"/>
      <c r="AZ63" s="26">
        <v>2300</v>
      </c>
      <c r="BA63" s="27"/>
      <c r="BB63" s="26">
        <f t="shared" ref="BB63:BB67" si="34">AZ63-BA63</f>
        <v>2300</v>
      </c>
      <c r="BC63" s="30"/>
      <c r="BD63" s="24">
        <v>10925</v>
      </c>
      <c r="BE63" s="24">
        <v>430</v>
      </c>
      <c r="BF63" s="31">
        <v>0.8</v>
      </c>
      <c r="BG63" s="26"/>
      <c r="BH63" s="29" t="s">
        <v>287</v>
      </c>
      <c r="BI63" s="29"/>
      <c r="BJ63" s="24"/>
      <c r="BK63" s="26">
        <v>2000</v>
      </c>
      <c r="BL63" s="27"/>
      <c r="BM63" s="26">
        <f t="shared" ref="BM63:BM67" si="35">BK63-BL63</f>
        <v>2000</v>
      </c>
    </row>
    <row r="64" spans="1:65" s="4" customFormat="1" ht="20.100000000000001" customHeight="1" x14ac:dyDescent="0.3">
      <c r="A64" s="4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K64" s="30"/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V64" s="30"/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G64" s="30"/>
      <c r="AH64" s="24"/>
      <c r="AI64" s="24"/>
      <c r="AJ64" s="24"/>
      <c r="AK64" s="24"/>
      <c r="AL64" s="29"/>
      <c r="AM64" s="29"/>
      <c r="AN64" s="24"/>
      <c r="AO64" s="26"/>
      <c r="AP64" s="27"/>
      <c r="AQ64" s="26">
        <f t="shared" si="33"/>
        <v>0</v>
      </c>
      <c r="AR64" s="30"/>
      <c r="AS64" s="24"/>
      <c r="AT64" s="24"/>
      <c r="AU64" s="24"/>
      <c r="AV64" s="24"/>
      <c r="AW64" s="29"/>
      <c r="AX64" s="29"/>
      <c r="AY64" s="24"/>
      <c r="AZ64" s="26"/>
      <c r="BA64" s="27"/>
      <c r="BB64" s="26">
        <f t="shared" si="34"/>
        <v>0</v>
      </c>
      <c r="BC64" s="30"/>
      <c r="BD64" s="24"/>
      <c r="BE64" s="24"/>
      <c r="BF64" s="24"/>
      <c r="BG64" s="24"/>
      <c r="BH64" s="29"/>
      <c r="BI64" s="29"/>
      <c r="BJ64" s="24"/>
      <c r="BK64" s="26"/>
      <c r="BL64" s="27"/>
      <c r="BM64" s="26">
        <f t="shared" si="35"/>
        <v>0</v>
      </c>
    </row>
    <row r="65" spans="1:65" s="4" customFormat="1" ht="20.100000000000001" customHeight="1" x14ac:dyDescent="0.3">
      <c r="A65" s="44"/>
      <c r="B65" s="24"/>
      <c r="C65" s="31"/>
      <c r="D65" s="31"/>
      <c r="E65" s="29"/>
      <c r="F65" s="29"/>
      <c r="G65" s="24"/>
      <c r="H65" s="26"/>
      <c r="I65" s="27"/>
      <c r="J65" s="26">
        <f t="shared" si="30"/>
        <v>0</v>
      </c>
      <c r="K65" s="30"/>
      <c r="L65" s="24"/>
      <c r="M65" s="24"/>
      <c r="N65" s="31"/>
      <c r="O65" s="31"/>
      <c r="P65" s="29"/>
      <c r="Q65" s="29"/>
      <c r="R65" s="24"/>
      <c r="S65" s="26"/>
      <c r="T65" s="27"/>
      <c r="U65" s="26">
        <f t="shared" si="31"/>
        <v>0</v>
      </c>
      <c r="V65" s="30"/>
      <c r="W65" s="24"/>
      <c r="X65" s="24"/>
      <c r="Y65" s="24"/>
      <c r="Z65" s="24"/>
      <c r="AA65" s="29"/>
      <c r="AB65" s="29"/>
      <c r="AC65" s="24"/>
      <c r="AD65" s="26"/>
      <c r="AE65" s="27"/>
      <c r="AF65" s="26">
        <f t="shared" si="32"/>
        <v>0</v>
      </c>
      <c r="AG65" s="30"/>
      <c r="AH65" s="24"/>
      <c r="AI65" s="24"/>
      <c r="AJ65" s="24"/>
      <c r="AK65" s="24"/>
      <c r="AL65" s="29"/>
      <c r="AM65" s="29"/>
      <c r="AN65" s="24"/>
      <c r="AO65" s="26"/>
      <c r="AP65" s="27"/>
      <c r="AQ65" s="26">
        <f t="shared" si="33"/>
        <v>0</v>
      </c>
      <c r="AR65" s="30"/>
      <c r="AS65" s="24"/>
      <c r="AT65" s="24"/>
      <c r="AU65" s="24"/>
      <c r="AV65" s="24"/>
      <c r="AW65" s="29"/>
      <c r="AX65" s="29"/>
      <c r="AY65" s="24"/>
      <c r="AZ65" s="26"/>
      <c r="BA65" s="27"/>
      <c r="BB65" s="26">
        <f t="shared" si="34"/>
        <v>0</v>
      </c>
      <c r="BC65" s="30"/>
      <c r="BD65" s="24"/>
      <c r="BE65" s="24"/>
      <c r="BF65" s="24"/>
      <c r="BG65" s="24"/>
      <c r="BH65" s="29"/>
      <c r="BI65" s="29"/>
      <c r="BJ65" s="24"/>
      <c r="BK65" s="26"/>
      <c r="BL65" s="27"/>
      <c r="BM65" s="26">
        <f t="shared" si="35"/>
        <v>0</v>
      </c>
    </row>
    <row r="66" spans="1:65" s="4" customFormat="1" ht="20.100000000000001" customHeight="1" x14ac:dyDescent="0.3">
      <c r="A66" s="24"/>
      <c r="B66" s="24"/>
      <c r="C66" s="24"/>
      <c r="D66" s="24"/>
      <c r="E66" s="29"/>
      <c r="F66" s="41"/>
      <c r="G66" s="24"/>
      <c r="H66" s="26"/>
      <c r="I66" s="27"/>
      <c r="J66" s="26">
        <f t="shared" si="30"/>
        <v>0</v>
      </c>
      <c r="K66" s="30"/>
      <c r="L66" s="24"/>
      <c r="M66" s="24"/>
      <c r="N66" s="31"/>
      <c r="O66" s="31"/>
      <c r="P66" s="29"/>
      <c r="Q66" s="57"/>
      <c r="R66" s="24"/>
      <c r="S66" s="26"/>
      <c r="T66" s="27"/>
      <c r="U66" s="26">
        <f t="shared" si="31"/>
        <v>0</v>
      </c>
      <c r="V66" s="30"/>
      <c r="W66" s="24"/>
      <c r="X66" s="24"/>
      <c r="Y66" s="31"/>
      <c r="Z66" s="31"/>
      <c r="AA66" s="29"/>
      <c r="AB66" s="57"/>
      <c r="AC66" s="24"/>
      <c r="AD66" s="26"/>
      <c r="AE66" s="27"/>
      <c r="AF66" s="26">
        <f t="shared" si="32"/>
        <v>0</v>
      </c>
      <c r="AG66" s="30"/>
      <c r="AH66" s="24"/>
      <c r="AI66" s="24"/>
      <c r="AJ66" s="24"/>
      <c r="AK66" s="24"/>
      <c r="AL66" s="29"/>
      <c r="AM66" s="41"/>
      <c r="AN66" s="24"/>
      <c r="AO66" s="26"/>
      <c r="AP66" s="27"/>
      <c r="AQ66" s="26">
        <f t="shared" si="33"/>
        <v>0</v>
      </c>
      <c r="AR66" s="30"/>
      <c r="AS66" s="24"/>
      <c r="AT66" s="24"/>
      <c r="AU66" s="24"/>
      <c r="AV66" s="24"/>
      <c r="AW66" s="29"/>
      <c r="AX66" s="41"/>
      <c r="AY66" s="24"/>
      <c r="AZ66" s="26"/>
      <c r="BA66" s="27"/>
      <c r="BB66" s="26">
        <f t="shared" si="34"/>
        <v>0</v>
      </c>
      <c r="BC66" s="30"/>
      <c r="BD66" s="24"/>
      <c r="BE66" s="24"/>
      <c r="BF66" s="24"/>
      <c r="BG66" s="24"/>
      <c r="BH66" s="29"/>
      <c r="BI66" s="41"/>
      <c r="BJ66" s="24"/>
      <c r="BK66" s="26"/>
      <c r="BL66" s="27"/>
      <c r="BM66" s="26">
        <f t="shared" si="35"/>
        <v>0</v>
      </c>
    </row>
    <row r="67" spans="1:65" s="4" customFormat="1" ht="20.100000000000001" customHeight="1" x14ac:dyDescent="0.3">
      <c r="A67" s="24"/>
      <c r="B67" s="24"/>
      <c r="C67" s="24"/>
      <c r="D67" s="24"/>
      <c r="E67" s="29"/>
      <c r="F67" s="41"/>
      <c r="G67" s="24"/>
      <c r="H67" s="26"/>
      <c r="I67" s="27"/>
      <c r="J67" s="26">
        <f t="shared" si="30"/>
        <v>0</v>
      </c>
      <c r="K67" s="30"/>
      <c r="L67" s="24"/>
      <c r="M67" s="24"/>
      <c r="N67" s="31"/>
      <c r="O67" s="31"/>
      <c r="P67" s="29"/>
      <c r="Q67" s="57"/>
      <c r="R67" s="24"/>
      <c r="S67" s="26"/>
      <c r="T67" s="27"/>
      <c r="U67" s="26">
        <f t="shared" si="31"/>
        <v>0</v>
      </c>
      <c r="V67" s="30"/>
      <c r="W67" s="44"/>
      <c r="X67" s="24"/>
      <c r="Y67" s="31"/>
      <c r="Z67" s="31"/>
      <c r="AA67" s="29"/>
      <c r="AB67" s="57"/>
      <c r="AC67" s="24"/>
      <c r="AD67" s="26"/>
      <c r="AE67" s="27"/>
      <c r="AF67" s="26">
        <f t="shared" si="32"/>
        <v>0</v>
      </c>
      <c r="AG67" s="30"/>
      <c r="AH67" s="24"/>
      <c r="AI67" s="24"/>
      <c r="AJ67" s="24"/>
      <c r="AK67" s="24"/>
      <c r="AL67" s="29"/>
      <c r="AM67" s="41"/>
      <c r="AN67" s="24"/>
      <c r="AO67" s="26"/>
      <c r="AP67" s="27"/>
      <c r="AQ67" s="26">
        <f t="shared" si="33"/>
        <v>0</v>
      </c>
      <c r="AR67" s="30"/>
      <c r="AS67" s="24"/>
      <c r="AT67" s="24"/>
      <c r="AU67" s="24"/>
      <c r="AV67" s="24"/>
      <c r="AW67" s="29"/>
      <c r="AX67" s="41"/>
      <c r="AY67" s="24"/>
      <c r="AZ67" s="26"/>
      <c r="BA67" s="27"/>
      <c r="BB67" s="26">
        <f t="shared" si="34"/>
        <v>0</v>
      </c>
      <c r="BC67" s="30"/>
      <c r="BD67" s="24"/>
      <c r="BE67" s="24"/>
      <c r="BF67" s="24"/>
      <c r="BG67" s="24"/>
      <c r="BH67" s="29"/>
      <c r="BI67" s="41"/>
      <c r="BJ67" s="24"/>
      <c r="BK67" s="26"/>
      <c r="BL67" s="27"/>
      <c r="BM67" s="26">
        <f t="shared" si="35"/>
        <v>0</v>
      </c>
    </row>
    <row r="68" spans="1:65" s="4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3000</v>
      </c>
      <c r="I68" s="27">
        <f>SUM(I62:I67)</f>
        <v>3000</v>
      </c>
      <c r="J68" s="26">
        <f>SUM(J62:J67)</f>
        <v>0</v>
      </c>
      <c r="K68" s="30"/>
      <c r="L68" s="34"/>
      <c r="M68" s="34"/>
      <c r="N68" s="34"/>
      <c r="O68" s="34"/>
      <c r="P68" s="35"/>
      <c r="Q68" s="35"/>
      <c r="R68" s="36"/>
      <c r="S68" s="26">
        <f>SUM(S62:S67)</f>
        <v>3100</v>
      </c>
      <c r="T68" s="27">
        <f>SUM(T62:T67)</f>
        <v>3100</v>
      </c>
      <c r="U68" s="26">
        <f>SUM(U62:U67)</f>
        <v>0</v>
      </c>
      <c r="V68" s="30"/>
      <c r="W68" s="34"/>
      <c r="X68" s="34"/>
      <c r="Y68" s="34"/>
      <c r="Z68" s="34"/>
      <c r="AA68" s="35"/>
      <c r="AB68" s="35"/>
      <c r="AC68" s="36"/>
      <c r="AD68" s="26">
        <f>SUM(AD62:AD67)</f>
        <v>3000</v>
      </c>
      <c r="AE68" s="27">
        <f>SUM(AE62:AE67)</f>
        <v>3000</v>
      </c>
      <c r="AF68" s="26">
        <f>SUM(AF62:AF67)</f>
        <v>0</v>
      </c>
      <c r="AG68" s="30"/>
      <c r="AH68" s="34"/>
      <c r="AI68" s="34"/>
      <c r="AJ68" s="34"/>
      <c r="AK68" s="34"/>
      <c r="AL68" s="35"/>
      <c r="AM68" s="35"/>
      <c r="AN68" s="36"/>
      <c r="AO68" s="26">
        <f>SUM(AO62:AO67)</f>
        <v>3000</v>
      </c>
      <c r="AP68" s="27">
        <f>SUM(AP62:AP67)</f>
        <v>3000</v>
      </c>
      <c r="AQ68" s="26">
        <f>SUM(AQ62:AQ67)</f>
        <v>0</v>
      </c>
      <c r="AR68" s="30"/>
      <c r="AS68" s="34"/>
      <c r="AT68" s="34"/>
      <c r="AU68" s="34"/>
      <c r="AV68" s="34"/>
      <c r="AW68" s="35"/>
      <c r="AX68" s="35"/>
      <c r="AY68" s="36"/>
      <c r="AZ68" s="26">
        <f>SUM(AZ62:AZ67)</f>
        <v>3000</v>
      </c>
      <c r="BA68" s="27">
        <f>SUM(BA62:BA67)</f>
        <v>700</v>
      </c>
      <c r="BB68" s="26">
        <f>SUM(BB62:BB67)</f>
        <v>2300</v>
      </c>
      <c r="BC68" s="30"/>
      <c r="BD68" s="34"/>
      <c r="BE68" s="34"/>
      <c r="BF68" s="34"/>
      <c r="BG68" s="34"/>
      <c r="BH68" s="35"/>
      <c r="BI68" s="35"/>
      <c r="BJ68" s="36"/>
      <c r="BK68" s="26">
        <f>SUM(BK62:BK67)</f>
        <v>3000</v>
      </c>
      <c r="BL68" s="27">
        <f>SUM(BL62:BL67)</f>
        <v>0</v>
      </c>
      <c r="BM68" s="26">
        <f>SUM(BM62:BM67)</f>
        <v>3000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57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57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4" customFormat="1" ht="20.100000000000001" customHeight="1" x14ac:dyDescent="0.3">
      <c r="A73" s="24">
        <v>150725</v>
      </c>
      <c r="B73" s="24">
        <v>430</v>
      </c>
      <c r="C73" s="31">
        <v>0.5</v>
      </c>
      <c r="D73" s="31" t="s">
        <v>27</v>
      </c>
      <c r="E73" s="29" t="s">
        <v>232</v>
      </c>
      <c r="F73" s="29"/>
      <c r="G73" s="24"/>
      <c r="H73" s="26">
        <v>1400</v>
      </c>
      <c r="I73" s="27">
        <v>1400</v>
      </c>
      <c r="J73" s="26">
        <f>H73-I73</f>
        <v>0</v>
      </c>
      <c r="K73" s="30"/>
      <c r="L73" s="24">
        <v>150725</v>
      </c>
      <c r="M73" s="24">
        <v>430</v>
      </c>
      <c r="N73" s="31">
        <v>0.5</v>
      </c>
      <c r="O73" s="31" t="s">
        <v>27</v>
      </c>
      <c r="P73" s="29" t="s">
        <v>235</v>
      </c>
      <c r="Q73" s="29"/>
      <c r="R73" s="24"/>
      <c r="S73" s="26">
        <v>1400</v>
      </c>
      <c r="T73" s="27">
        <v>1400</v>
      </c>
      <c r="U73" s="26">
        <f>S73-T73</f>
        <v>0</v>
      </c>
      <c r="V73" s="30"/>
      <c r="W73" s="24">
        <v>290825</v>
      </c>
      <c r="X73" s="24">
        <v>430</v>
      </c>
      <c r="Y73" s="31">
        <v>0.5</v>
      </c>
      <c r="Z73" s="24" t="s">
        <v>27</v>
      </c>
      <c r="AA73" s="29" t="s">
        <v>30</v>
      </c>
      <c r="AB73" s="29"/>
      <c r="AC73" s="24" t="s">
        <v>29</v>
      </c>
      <c r="AD73" s="26">
        <v>1000</v>
      </c>
      <c r="AE73" s="27">
        <v>1000</v>
      </c>
      <c r="AF73" s="26">
        <f>AD73-AE73</f>
        <v>0</v>
      </c>
      <c r="AG73" s="30"/>
      <c r="AH73" s="24">
        <v>290825</v>
      </c>
      <c r="AI73" s="24">
        <v>430</v>
      </c>
      <c r="AJ73" s="31">
        <v>0.5</v>
      </c>
      <c r="AK73" s="24" t="s">
        <v>27</v>
      </c>
      <c r="AL73" s="29" t="s">
        <v>30</v>
      </c>
      <c r="AM73" s="29"/>
      <c r="AN73" s="24" t="s">
        <v>29</v>
      </c>
      <c r="AO73" s="26">
        <v>3400</v>
      </c>
      <c r="AP73" s="27"/>
      <c r="AQ73" s="26">
        <f>AO73-AP73</f>
        <v>3400</v>
      </c>
      <c r="AR73" s="30"/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C73" s="30"/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4" customFormat="1" ht="20.100000000000001" customHeight="1" x14ac:dyDescent="0.3">
      <c r="A74" s="24">
        <v>150725</v>
      </c>
      <c r="B74" s="24">
        <v>430</v>
      </c>
      <c r="C74" s="31">
        <v>0.5</v>
      </c>
      <c r="D74" s="31" t="s">
        <v>27</v>
      </c>
      <c r="E74" s="29" t="s">
        <v>233</v>
      </c>
      <c r="F74" s="29"/>
      <c r="G74" s="24"/>
      <c r="H74" s="26">
        <v>1400</v>
      </c>
      <c r="I74" s="27">
        <v>1400</v>
      </c>
      <c r="J74" s="26">
        <f t="shared" ref="J74:J78" si="36">H74-I74</f>
        <v>0</v>
      </c>
      <c r="K74" s="30"/>
      <c r="L74" s="24">
        <v>150725</v>
      </c>
      <c r="M74" s="24">
        <v>430</v>
      </c>
      <c r="N74" s="31">
        <v>0.5</v>
      </c>
      <c r="O74" s="31" t="s">
        <v>27</v>
      </c>
      <c r="P74" s="29" t="s">
        <v>236</v>
      </c>
      <c r="Q74" s="29"/>
      <c r="R74" s="24"/>
      <c r="S74" s="26">
        <v>1400</v>
      </c>
      <c r="T74" s="27">
        <v>1400</v>
      </c>
      <c r="U74" s="26">
        <f t="shared" ref="U74:U78" si="37">S74-T74</f>
        <v>0</v>
      </c>
      <c r="V74" s="30"/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G74" s="30"/>
      <c r="AH74" s="24"/>
      <c r="AI74" s="24"/>
      <c r="AJ74" s="24"/>
      <c r="AK74" s="24"/>
      <c r="AL74" s="29"/>
      <c r="AM74" s="29"/>
      <c r="AN74" s="24"/>
      <c r="AO74" s="26"/>
      <c r="AP74" s="27"/>
      <c r="AQ74" s="26">
        <f t="shared" ref="AQ74:AQ78" si="39">AO74-AP74</f>
        <v>0</v>
      </c>
      <c r="AR74" s="30"/>
      <c r="AS74" s="24"/>
      <c r="AT74" s="24"/>
      <c r="AU74" s="24"/>
      <c r="AV74" s="24"/>
      <c r="AW74" s="29"/>
      <c r="AX74" s="29"/>
      <c r="AY74" s="24"/>
      <c r="AZ74" s="26"/>
      <c r="BA74" s="27"/>
      <c r="BB74" s="26">
        <f t="shared" ref="BB74:BB78" si="40">AZ74-BA74</f>
        <v>0</v>
      </c>
      <c r="BC74" s="30"/>
      <c r="BD74" s="24"/>
      <c r="BE74" s="24"/>
      <c r="BF74" s="31"/>
      <c r="BG74" s="24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4" customFormat="1" ht="20.100000000000001" customHeight="1" x14ac:dyDescent="0.3">
      <c r="A75" s="24">
        <v>150725</v>
      </c>
      <c r="B75" s="24">
        <v>430</v>
      </c>
      <c r="C75" s="31">
        <v>0.5</v>
      </c>
      <c r="D75" s="31" t="s">
        <v>27</v>
      </c>
      <c r="E75" s="29" t="s">
        <v>234</v>
      </c>
      <c r="F75" s="29"/>
      <c r="G75" s="24"/>
      <c r="H75" s="26">
        <v>1400</v>
      </c>
      <c r="I75" s="27">
        <v>1400</v>
      </c>
      <c r="J75" s="26">
        <f t="shared" si="36"/>
        <v>0</v>
      </c>
      <c r="K75" s="30"/>
      <c r="L75" s="24">
        <v>150725</v>
      </c>
      <c r="M75" s="24">
        <v>430</v>
      </c>
      <c r="N75" s="31">
        <v>0.5</v>
      </c>
      <c r="O75" s="31" t="s">
        <v>27</v>
      </c>
      <c r="P75" s="29" t="s">
        <v>237</v>
      </c>
      <c r="Q75" s="29"/>
      <c r="R75" s="24"/>
      <c r="S75" s="26">
        <v>1400</v>
      </c>
      <c r="T75" s="27">
        <v>1400</v>
      </c>
      <c r="U75" s="26">
        <f t="shared" si="37"/>
        <v>0</v>
      </c>
      <c r="V75" s="30"/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G75" s="30"/>
      <c r="AH75" s="24"/>
      <c r="AI75" s="24"/>
      <c r="AJ75" s="24"/>
      <c r="AK75" s="24"/>
      <c r="AL75" s="29"/>
      <c r="AM75" s="29"/>
      <c r="AN75" s="24"/>
      <c r="AO75" s="26"/>
      <c r="AP75" s="27"/>
      <c r="AQ75" s="26">
        <f t="shared" si="39"/>
        <v>0</v>
      </c>
      <c r="AR75" s="30"/>
      <c r="AS75" s="24"/>
      <c r="AT75" s="24"/>
      <c r="AU75" s="24"/>
      <c r="AV75" s="24"/>
      <c r="AW75" s="29"/>
      <c r="AX75" s="29"/>
      <c r="AY75" s="24"/>
      <c r="AZ75" s="26"/>
      <c r="BA75" s="27"/>
      <c r="BB75" s="26">
        <f t="shared" si="40"/>
        <v>0</v>
      </c>
      <c r="BC75" s="30"/>
      <c r="BD75" s="24"/>
      <c r="BE75" s="24"/>
      <c r="BF75" s="31"/>
      <c r="BG75" s="24"/>
      <c r="BH75" s="29"/>
      <c r="BI75" s="29"/>
      <c r="BJ75" s="24"/>
      <c r="BK75" s="26"/>
      <c r="BL75" s="27"/>
      <c r="BM75" s="26">
        <f t="shared" si="41"/>
        <v>0</v>
      </c>
    </row>
    <row r="76" spans="1:65" s="4" customFormat="1" ht="20.100000000000001" customHeight="1" x14ac:dyDescent="0.3">
      <c r="A76" s="24"/>
      <c r="B76" s="24"/>
      <c r="C76" s="31"/>
      <c r="D76" s="31"/>
      <c r="E76" s="29"/>
      <c r="F76" s="29"/>
      <c r="G76" s="24"/>
      <c r="H76" s="26"/>
      <c r="I76" s="27"/>
      <c r="J76" s="26">
        <f t="shared" si="36"/>
        <v>0</v>
      </c>
      <c r="K76" s="30"/>
      <c r="L76" s="24"/>
      <c r="M76" s="24"/>
      <c r="N76" s="24"/>
      <c r="O76" s="24"/>
      <c r="P76" s="29"/>
      <c r="Q76" s="29"/>
      <c r="R76" s="24"/>
      <c r="S76" s="26"/>
      <c r="T76" s="27"/>
      <c r="U76" s="26">
        <f t="shared" si="37"/>
        <v>0</v>
      </c>
      <c r="V76" s="30"/>
      <c r="W76" s="24"/>
      <c r="X76" s="24"/>
      <c r="Y76" s="31"/>
      <c r="Z76" s="31"/>
      <c r="AA76" s="29" t="s">
        <v>278</v>
      </c>
      <c r="AB76" s="29"/>
      <c r="AC76" s="24"/>
      <c r="AD76" s="26"/>
      <c r="AE76" s="27"/>
      <c r="AF76" s="26">
        <f t="shared" si="38"/>
        <v>0</v>
      </c>
      <c r="AG76" s="30"/>
      <c r="AH76" s="24"/>
      <c r="AI76" s="24"/>
      <c r="AJ76" s="24"/>
      <c r="AK76" s="24"/>
      <c r="AL76" s="29" t="s">
        <v>278</v>
      </c>
      <c r="AM76" s="29"/>
      <c r="AN76" s="24"/>
      <c r="AO76" s="26"/>
      <c r="AP76" s="27"/>
      <c r="AQ76" s="26">
        <f t="shared" si="39"/>
        <v>0</v>
      </c>
      <c r="AR76" s="30"/>
      <c r="AS76" s="24"/>
      <c r="AT76" s="24"/>
      <c r="AU76" s="24"/>
      <c r="AV76" s="24"/>
      <c r="AW76" s="29"/>
      <c r="AX76" s="29"/>
      <c r="AY76" s="24"/>
      <c r="AZ76" s="26"/>
      <c r="BA76" s="27"/>
      <c r="BB76" s="26">
        <f t="shared" si="40"/>
        <v>0</v>
      </c>
      <c r="BC76" s="30"/>
      <c r="BD76" s="24"/>
      <c r="BE76" s="24"/>
      <c r="BF76" s="24"/>
      <c r="BG76" s="24"/>
      <c r="BH76" s="29"/>
      <c r="BI76" s="29"/>
      <c r="BJ76" s="24"/>
      <c r="BK76" s="26"/>
      <c r="BL76" s="27"/>
      <c r="BM76" s="26">
        <f t="shared" si="41"/>
        <v>0</v>
      </c>
    </row>
    <row r="77" spans="1:65" s="4" customFormat="1" ht="20.100000000000001" customHeight="1" x14ac:dyDescent="0.3">
      <c r="A77" s="24"/>
      <c r="B77" s="24"/>
      <c r="C77" s="31"/>
      <c r="D77" s="31"/>
      <c r="E77" s="29"/>
      <c r="F77" s="41"/>
      <c r="G77" s="24"/>
      <c r="H77" s="26"/>
      <c r="I77" s="27"/>
      <c r="J77" s="26">
        <f t="shared" si="36"/>
        <v>0</v>
      </c>
      <c r="K77" s="30"/>
      <c r="L77" s="24"/>
      <c r="M77" s="24"/>
      <c r="N77" s="24"/>
      <c r="O77" s="24"/>
      <c r="P77" s="29"/>
      <c r="Q77" s="57"/>
      <c r="R77" s="24"/>
      <c r="S77" s="26"/>
      <c r="T77" s="27"/>
      <c r="U77" s="26">
        <f t="shared" si="37"/>
        <v>0</v>
      </c>
      <c r="V77" s="30"/>
      <c r="W77" s="24"/>
      <c r="X77" s="24"/>
      <c r="Y77" s="31"/>
      <c r="Z77" s="31"/>
      <c r="AA77" s="29" t="s">
        <v>279</v>
      </c>
      <c r="AB77" s="57"/>
      <c r="AC77" s="24"/>
      <c r="AD77" s="26"/>
      <c r="AE77" s="27"/>
      <c r="AF77" s="26">
        <f t="shared" si="38"/>
        <v>0</v>
      </c>
      <c r="AG77" s="30"/>
      <c r="AH77" s="24"/>
      <c r="AI77" s="24"/>
      <c r="AJ77" s="24"/>
      <c r="AK77" s="24"/>
      <c r="AL77" s="29" t="s">
        <v>279</v>
      </c>
      <c r="AM77" s="41"/>
      <c r="AN77" s="24"/>
      <c r="AO77" s="26"/>
      <c r="AP77" s="27"/>
      <c r="AQ77" s="26">
        <f t="shared" si="39"/>
        <v>0</v>
      </c>
      <c r="AR77" s="30"/>
      <c r="AS77" s="24"/>
      <c r="AT77" s="24"/>
      <c r="AU77" s="24"/>
      <c r="AV77" s="24"/>
      <c r="AW77" s="29"/>
      <c r="AX77" s="41"/>
      <c r="AY77" s="24"/>
      <c r="AZ77" s="26"/>
      <c r="BA77" s="27"/>
      <c r="BB77" s="26">
        <f t="shared" si="40"/>
        <v>0</v>
      </c>
      <c r="BC77" s="30"/>
      <c r="BD77" s="24"/>
      <c r="BE77" s="24"/>
      <c r="BF77" s="24"/>
      <c r="BG77" s="24"/>
      <c r="BH77" s="29"/>
      <c r="BI77" s="41"/>
      <c r="BJ77" s="24"/>
      <c r="BK77" s="26"/>
      <c r="BL77" s="27"/>
      <c r="BM77" s="26">
        <f t="shared" si="41"/>
        <v>0</v>
      </c>
    </row>
    <row r="78" spans="1:65" s="4" customFormat="1" ht="20.100000000000001" customHeight="1" x14ac:dyDescent="0.3">
      <c r="A78" s="24"/>
      <c r="B78" s="24"/>
      <c r="C78" s="31"/>
      <c r="D78" s="31"/>
      <c r="E78" s="29" t="s">
        <v>277</v>
      </c>
      <c r="F78" s="41"/>
      <c r="G78" s="47"/>
      <c r="H78" s="26"/>
      <c r="I78" s="27"/>
      <c r="J78" s="26">
        <f t="shared" si="36"/>
        <v>0</v>
      </c>
      <c r="K78" s="30"/>
      <c r="L78" s="24"/>
      <c r="M78" s="24"/>
      <c r="N78" s="24"/>
      <c r="O78" s="24"/>
      <c r="P78" s="48"/>
      <c r="Q78" s="57"/>
      <c r="R78" s="47"/>
      <c r="S78" s="26"/>
      <c r="T78" s="27"/>
      <c r="U78" s="26">
        <f t="shared" si="37"/>
        <v>0</v>
      </c>
      <c r="V78" s="30"/>
      <c r="W78" s="24"/>
      <c r="X78" s="24"/>
      <c r="Y78" s="31"/>
      <c r="Z78" s="31"/>
      <c r="AA78" s="48"/>
      <c r="AB78" s="57"/>
      <c r="AC78" s="47"/>
      <c r="AD78" s="26"/>
      <c r="AE78" s="27"/>
      <c r="AF78" s="26">
        <f t="shared" si="38"/>
        <v>0</v>
      </c>
      <c r="AG78" s="30"/>
      <c r="AH78" s="24"/>
      <c r="AI78" s="24"/>
      <c r="AJ78" s="24"/>
      <c r="AK78" s="24"/>
      <c r="AL78" s="48"/>
      <c r="AM78" s="41"/>
      <c r="AN78" s="47"/>
      <c r="AO78" s="26"/>
      <c r="AP78" s="27"/>
      <c r="AQ78" s="26">
        <f t="shared" si="39"/>
        <v>0</v>
      </c>
      <c r="AR78" s="30"/>
      <c r="AS78" s="24"/>
      <c r="AT78" s="24"/>
      <c r="AU78" s="24"/>
      <c r="AV78" s="24"/>
      <c r="AW78" s="48"/>
      <c r="AX78" s="41"/>
      <c r="AY78" s="47"/>
      <c r="AZ78" s="26"/>
      <c r="BA78" s="27"/>
      <c r="BB78" s="26">
        <f t="shared" si="40"/>
        <v>0</v>
      </c>
      <c r="BC78" s="30"/>
      <c r="BD78" s="24"/>
      <c r="BE78" s="24"/>
      <c r="BF78" s="24"/>
      <c r="BG78" s="24"/>
      <c r="BH78" s="48"/>
      <c r="BI78" s="41"/>
      <c r="BJ78" s="47"/>
      <c r="BK78" s="26"/>
      <c r="BL78" s="27"/>
      <c r="BM78" s="26">
        <f t="shared" si="41"/>
        <v>0</v>
      </c>
    </row>
    <row r="79" spans="1:65" s="4" customFormat="1" ht="20.100000000000001" customHeight="1" x14ac:dyDescent="0.3">
      <c r="A79" s="34"/>
      <c r="B79" s="34"/>
      <c r="C79" s="34"/>
      <c r="D79" s="34"/>
      <c r="E79" s="35"/>
      <c r="F79" s="42"/>
      <c r="G79" s="36"/>
      <c r="H79" s="26">
        <f>SUM(H73:H78)</f>
        <v>4200</v>
      </c>
      <c r="I79" s="27">
        <f>SUM(I73:I78)</f>
        <v>4200</v>
      </c>
      <c r="J79" s="26">
        <f>SUM(J73:J78)</f>
        <v>0</v>
      </c>
      <c r="K79" s="30"/>
      <c r="L79" s="34"/>
      <c r="M79" s="34"/>
      <c r="N79" s="34"/>
      <c r="O79" s="34"/>
      <c r="P79" s="35"/>
      <c r="Q79" s="34"/>
      <c r="R79" s="36"/>
      <c r="S79" s="26">
        <f>SUM(S73:S78)</f>
        <v>4200</v>
      </c>
      <c r="T79" s="27">
        <f>SUM(T73:T78)</f>
        <v>4200</v>
      </c>
      <c r="U79" s="26">
        <f>SUM(U73:U78)</f>
        <v>0</v>
      </c>
      <c r="V79" s="30"/>
      <c r="W79" s="34"/>
      <c r="X79" s="34"/>
      <c r="Y79" s="34"/>
      <c r="Z79" s="34"/>
      <c r="AA79" s="35"/>
      <c r="AB79" s="34"/>
      <c r="AC79" s="36"/>
      <c r="AD79" s="26">
        <f>SUM(AD73:AD78)</f>
        <v>1000</v>
      </c>
      <c r="AE79" s="27">
        <f>SUM(AE73:AE78)</f>
        <v>1000</v>
      </c>
      <c r="AF79" s="26">
        <f>SUM(AF73:AF78)</f>
        <v>0</v>
      </c>
      <c r="AG79" s="30"/>
      <c r="AH79" s="34"/>
      <c r="AI79" s="34"/>
      <c r="AJ79" s="34"/>
      <c r="AK79" s="34"/>
      <c r="AL79" s="35"/>
      <c r="AM79" s="42"/>
      <c r="AN79" s="34"/>
      <c r="AO79" s="49">
        <f>SUM(AO73:AO78)</f>
        <v>3400</v>
      </c>
      <c r="AP79" s="27">
        <f>SUM(AP73:AP78)</f>
        <v>0</v>
      </c>
      <c r="AQ79" s="26">
        <f>SUM(AQ73:AQ78)</f>
        <v>3400</v>
      </c>
      <c r="AR79" s="30"/>
      <c r="AS79" s="34"/>
      <c r="AT79" s="34"/>
      <c r="AU79" s="34"/>
      <c r="AV79" s="34"/>
      <c r="AW79" s="35"/>
      <c r="AX79" s="42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C79" s="30"/>
      <c r="BD79" s="34"/>
      <c r="BE79" s="34"/>
      <c r="BF79" s="34"/>
      <c r="BG79" s="34"/>
      <c r="BH79" s="35"/>
      <c r="BI79" s="42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9"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AH1:AJ3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  <mergeCell ref="BD60:BM60"/>
    <mergeCell ref="A59:J59"/>
    <mergeCell ref="L59:U59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O34" zoomScale="70" zoomScaleNormal="70" workbookViewId="0">
      <selection activeCell="BL51" sqref="BL51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1.664062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664062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6640625" style="1" customWidth="1"/>
    <col min="28" max="28" width="0.77734375" style="1" customWidth="1"/>
    <col min="29" max="32" width="8.21875" style="1" customWidth="1"/>
    <col min="33" max="33" width="1.77734375" customWidth="1"/>
    <col min="34" max="34" width="8.5546875" style="1" customWidth="1"/>
    <col min="35" max="35" width="7.5546875" style="1" customWidth="1"/>
    <col min="36" max="36" width="9.21875" style="1" bestFit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129</v>
      </c>
      <c r="AD2" s="84"/>
      <c r="AE2" s="87" t="s">
        <v>318</v>
      </c>
      <c r="AF2" s="88"/>
      <c r="BJ2" s="83" t="s">
        <v>129</v>
      </c>
      <c r="BK2" s="84"/>
      <c r="BL2" s="87" t="s">
        <v>318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44"/>
      <c r="AI7" s="44"/>
      <c r="AJ7" s="45"/>
      <c r="AK7" s="45"/>
      <c r="AL7" s="32"/>
      <c r="AM7" s="32"/>
      <c r="AN7" s="44"/>
      <c r="AO7" s="4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44"/>
      <c r="M8" s="44"/>
      <c r="N8" s="45"/>
      <c r="O8" s="45"/>
      <c r="P8" s="32"/>
      <c r="Q8" s="32"/>
      <c r="R8" s="44"/>
      <c r="S8" s="4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44"/>
      <c r="AI8" s="44"/>
      <c r="AJ8" s="45"/>
      <c r="AK8" s="45"/>
      <c r="AL8" s="32"/>
      <c r="AM8" s="32"/>
      <c r="AN8" s="44"/>
      <c r="AO8" s="4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44"/>
      <c r="M9" s="44"/>
      <c r="N9" s="45"/>
      <c r="O9" s="45"/>
      <c r="P9" s="32"/>
      <c r="Q9" s="32"/>
      <c r="R9" s="44"/>
      <c r="S9" s="46"/>
      <c r="T9" s="27"/>
      <c r="U9" s="26">
        <f t="shared" si="1"/>
        <v>0</v>
      </c>
      <c r="W9" s="44"/>
      <c r="X9" s="44"/>
      <c r="Y9" s="45"/>
      <c r="Z9" s="45"/>
      <c r="AA9" s="32"/>
      <c r="AB9" s="32"/>
      <c r="AC9" s="44"/>
      <c r="AD9" s="46"/>
      <c r="AE9" s="27"/>
      <c r="AF9" s="26">
        <f t="shared" si="2"/>
        <v>0</v>
      </c>
      <c r="AH9" s="44"/>
      <c r="AI9" s="44"/>
      <c r="AJ9" s="45"/>
      <c r="AK9" s="45"/>
      <c r="AL9" s="32"/>
      <c r="AM9" s="32"/>
      <c r="AN9" s="44"/>
      <c r="AO9" s="4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44"/>
      <c r="M10" s="44"/>
      <c r="N10" s="45"/>
      <c r="O10" s="45"/>
      <c r="P10" s="32"/>
      <c r="Q10" s="32"/>
      <c r="R10" s="44"/>
      <c r="S10" s="46"/>
      <c r="T10" s="27"/>
      <c r="U10" s="26">
        <f t="shared" si="1"/>
        <v>0</v>
      </c>
      <c r="W10" s="44"/>
      <c r="X10" s="44"/>
      <c r="Y10" s="45"/>
      <c r="Z10" s="45"/>
      <c r="AA10" s="32"/>
      <c r="AB10" s="32"/>
      <c r="AC10" s="44"/>
      <c r="AD10" s="46"/>
      <c r="AE10" s="27"/>
      <c r="AF10" s="26">
        <f t="shared" si="2"/>
        <v>0</v>
      </c>
      <c r="AH10" s="44"/>
      <c r="AI10" s="44"/>
      <c r="AJ10" s="45"/>
      <c r="AK10" s="45"/>
      <c r="AL10" s="32"/>
      <c r="AM10" s="32"/>
      <c r="AN10" s="44"/>
      <c r="AO10" s="46"/>
      <c r="AP10" s="27"/>
      <c r="AQ10" s="26">
        <f t="shared" si="3"/>
        <v>0</v>
      </c>
      <c r="AS10" s="24"/>
      <c r="AT10" s="24"/>
      <c r="AU10" s="31"/>
      <c r="AV10" s="31"/>
      <c r="AW10" s="29"/>
      <c r="AX10" s="29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29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44"/>
      <c r="M11" s="44"/>
      <c r="N11" s="45"/>
      <c r="O11" s="45"/>
      <c r="P11" s="32"/>
      <c r="Q11" s="32"/>
      <c r="R11" s="44"/>
      <c r="S11" s="46"/>
      <c r="T11" s="27"/>
      <c r="U11" s="26">
        <f t="shared" si="1"/>
        <v>0</v>
      </c>
      <c r="W11" s="44"/>
      <c r="X11" s="44"/>
      <c r="Y11" s="45"/>
      <c r="Z11" s="45"/>
      <c r="AA11" s="32"/>
      <c r="AB11" s="32"/>
      <c r="AC11" s="44"/>
      <c r="AD11" s="4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29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44">
        <v>225065</v>
      </c>
      <c r="B18" s="44">
        <v>430</v>
      </c>
      <c r="C18" s="45">
        <v>0.5</v>
      </c>
      <c r="D18" s="45" t="s">
        <v>25</v>
      </c>
      <c r="E18" s="32" t="s">
        <v>335</v>
      </c>
      <c r="F18" s="32"/>
      <c r="G18" s="44">
        <v>430</v>
      </c>
      <c r="H18" s="46">
        <v>1500</v>
      </c>
      <c r="I18" s="27">
        <f>785+720</f>
        <v>1505</v>
      </c>
      <c r="J18" s="26">
        <f>H18-I18</f>
        <v>-5</v>
      </c>
      <c r="L18" s="44">
        <v>270825</v>
      </c>
      <c r="M18" s="44">
        <v>430</v>
      </c>
      <c r="N18" s="45">
        <v>0.5</v>
      </c>
      <c r="O18" s="45" t="s">
        <v>25</v>
      </c>
      <c r="P18" s="32" t="s">
        <v>328</v>
      </c>
      <c r="Q18" s="32"/>
      <c r="R18" s="44">
        <v>430</v>
      </c>
      <c r="S18" s="46">
        <v>2000</v>
      </c>
      <c r="T18" s="27">
        <f>1025+960</f>
        <v>1985</v>
      </c>
      <c r="U18" s="26">
        <f>S18-T18</f>
        <v>15</v>
      </c>
      <c r="W18" s="44">
        <v>225065</v>
      </c>
      <c r="X18" s="44">
        <v>430</v>
      </c>
      <c r="Y18" s="45">
        <v>0.5</v>
      </c>
      <c r="Z18" s="45" t="s">
        <v>25</v>
      </c>
      <c r="AA18" s="32" t="s">
        <v>337</v>
      </c>
      <c r="AB18" s="32"/>
      <c r="AC18" s="44">
        <v>430</v>
      </c>
      <c r="AD18" s="46">
        <v>500</v>
      </c>
      <c r="AE18" s="27">
        <v>505</v>
      </c>
      <c r="AF18" s="26">
        <f>AD18-AE18</f>
        <v>-5</v>
      </c>
      <c r="AH18" s="44">
        <v>250062</v>
      </c>
      <c r="AI18" s="44">
        <v>304</v>
      </c>
      <c r="AJ18" s="45">
        <v>0.6</v>
      </c>
      <c r="AK18" s="45" t="s">
        <v>25</v>
      </c>
      <c r="AL18" s="32" t="s">
        <v>117</v>
      </c>
      <c r="AM18" s="32"/>
      <c r="AN18" s="44">
        <v>430</v>
      </c>
      <c r="AO18" s="46">
        <v>150</v>
      </c>
      <c r="AP18" s="27">
        <v>160</v>
      </c>
      <c r="AQ18" s="26">
        <f>AO18-AP18</f>
        <v>-10</v>
      </c>
      <c r="AS18" s="44">
        <v>250062</v>
      </c>
      <c r="AT18" s="44">
        <v>304</v>
      </c>
      <c r="AU18" s="45">
        <v>0.6</v>
      </c>
      <c r="AV18" s="45" t="s">
        <v>25</v>
      </c>
      <c r="AW18" s="32" t="s">
        <v>111</v>
      </c>
      <c r="AX18" s="32"/>
      <c r="AY18" s="44">
        <v>430</v>
      </c>
      <c r="AZ18" s="46">
        <v>300</v>
      </c>
      <c r="BA18" s="27">
        <v>300</v>
      </c>
      <c r="BB18" s="26">
        <f>AZ18-BA18</f>
        <v>0</v>
      </c>
      <c r="BD18" s="24">
        <v>250069</v>
      </c>
      <c r="BE18" s="24">
        <v>304</v>
      </c>
      <c r="BF18" s="31">
        <v>0.6</v>
      </c>
      <c r="BG18" s="31" t="s">
        <v>41</v>
      </c>
      <c r="BH18" s="29" t="s">
        <v>67</v>
      </c>
      <c r="BI18" s="29"/>
      <c r="BJ18" s="24">
        <v>430</v>
      </c>
      <c r="BK18" s="26">
        <v>1000</v>
      </c>
      <c r="BL18" s="27">
        <v>1000</v>
      </c>
      <c r="BM18" s="26"/>
    </row>
    <row r="19" spans="1:65" s="30" customFormat="1" ht="20.100000000000001" customHeight="1" x14ac:dyDescent="0.3">
      <c r="A19" s="44">
        <v>225066</v>
      </c>
      <c r="B19" s="44">
        <v>430</v>
      </c>
      <c r="C19" s="45">
        <v>0.5</v>
      </c>
      <c r="D19" s="45" t="s">
        <v>25</v>
      </c>
      <c r="E19" s="32" t="s">
        <v>336</v>
      </c>
      <c r="F19" s="32"/>
      <c r="G19" s="44">
        <v>430</v>
      </c>
      <c r="H19" s="46">
        <v>1500</v>
      </c>
      <c r="I19" s="27">
        <v>1505</v>
      </c>
      <c r="J19" s="26">
        <f t="shared" ref="J19:J23" si="6">H19-I19</f>
        <v>-5</v>
      </c>
      <c r="L19" s="44">
        <v>225065</v>
      </c>
      <c r="M19" s="44">
        <v>430</v>
      </c>
      <c r="N19" s="45">
        <v>0.5</v>
      </c>
      <c r="O19" s="45" t="s">
        <v>25</v>
      </c>
      <c r="P19" s="32" t="s">
        <v>337</v>
      </c>
      <c r="Q19" s="32"/>
      <c r="R19" s="44">
        <v>430</v>
      </c>
      <c r="S19" s="46">
        <v>1000</v>
      </c>
      <c r="T19" s="27">
        <v>1000</v>
      </c>
      <c r="U19" s="26">
        <f t="shared" ref="U19:U23" si="7">S19-T19</f>
        <v>0</v>
      </c>
      <c r="W19" s="44">
        <v>225066</v>
      </c>
      <c r="X19" s="44">
        <v>430</v>
      </c>
      <c r="Y19" s="45">
        <v>0.5</v>
      </c>
      <c r="Z19" s="45" t="s">
        <v>25</v>
      </c>
      <c r="AA19" s="32" t="s">
        <v>338</v>
      </c>
      <c r="AB19" s="32"/>
      <c r="AC19" s="44">
        <v>430</v>
      </c>
      <c r="AD19" s="46">
        <v>1500</v>
      </c>
      <c r="AE19" s="27">
        <f>795+785</f>
        <v>1580</v>
      </c>
      <c r="AF19" s="26">
        <f t="shared" ref="AF19:AF23" si="8">AD19-AE19</f>
        <v>-80</v>
      </c>
      <c r="AH19" s="44">
        <v>250062</v>
      </c>
      <c r="AI19" s="44">
        <v>304</v>
      </c>
      <c r="AJ19" s="45">
        <v>0.6</v>
      </c>
      <c r="AK19" s="45" t="s">
        <v>25</v>
      </c>
      <c r="AL19" s="32" t="s">
        <v>116</v>
      </c>
      <c r="AM19" s="32"/>
      <c r="AN19" s="44">
        <v>430</v>
      </c>
      <c r="AO19" s="46">
        <v>200</v>
      </c>
      <c r="AP19" s="27">
        <v>330</v>
      </c>
      <c r="AQ19" s="26">
        <f t="shared" ref="AQ19:AQ23" si="9">AO19-AP19</f>
        <v>-130</v>
      </c>
      <c r="AS19" s="44">
        <v>250062</v>
      </c>
      <c r="AT19" s="44">
        <v>304</v>
      </c>
      <c r="AU19" s="45">
        <v>0.6</v>
      </c>
      <c r="AV19" s="45" t="s">
        <v>25</v>
      </c>
      <c r="AW19" s="32" t="s">
        <v>110</v>
      </c>
      <c r="AX19" s="32"/>
      <c r="AY19" s="44">
        <v>430</v>
      </c>
      <c r="AZ19" s="46">
        <v>300</v>
      </c>
      <c r="BA19" s="27">
        <v>300</v>
      </c>
      <c r="BB19" s="26">
        <f t="shared" ref="BB19:BB23" si="10">AZ19-BA19</f>
        <v>0</v>
      </c>
      <c r="BD19" s="24"/>
      <c r="BE19" s="24"/>
      <c r="BF19" s="31"/>
      <c r="BG19" s="31"/>
      <c r="BH19" s="29"/>
      <c r="BI19" s="32"/>
      <c r="BJ19" s="24"/>
      <c r="BK19" s="26"/>
      <c r="BL19" s="27"/>
      <c r="BM19" s="26"/>
    </row>
    <row r="20" spans="1:65" s="30" customFormat="1" ht="20.100000000000001" customHeight="1" x14ac:dyDescent="0.3">
      <c r="A20" s="24"/>
      <c r="B20" s="24"/>
      <c r="C20" s="24"/>
      <c r="D20" s="24"/>
      <c r="E20" s="29"/>
      <c r="F20" s="29"/>
      <c r="G20" s="24"/>
      <c r="H20" s="26"/>
      <c r="I20" s="27"/>
      <c r="J20" s="26">
        <f t="shared" si="6"/>
        <v>0</v>
      </c>
      <c r="L20" s="44"/>
      <c r="M20" s="44"/>
      <c r="N20" s="45"/>
      <c r="O20" s="45"/>
      <c r="P20" s="32"/>
      <c r="Q20" s="32"/>
      <c r="R20" s="44"/>
      <c r="S20" s="46"/>
      <c r="T20" s="27"/>
      <c r="U20" s="26">
        <f t="shared" si="7"/>
        <v>0</v>
      </c>
      <c r="W20" s="24">
        <v>250041</v>
      </c>
      <c r="X20" s="24">
        <v>304</v>
      </c>
      <c r="Y20" s="31">
        <v>0.7</v>
      </c>
      <c r="Z20" s="31" t="s">
        <v>41</v>
      </c>
      <c r="AA20" s="29" t="s">
        <v>162</v>
      </c>
      <c r="AB20" s="29"/>
      <c r="AC20" s="24">
        <v>304</v>
      </c>
      <c r="AD20" s="26">
        <v>500</v>
      </c>
      <c r="AE20" s="27"/>
      <c r="AF20" s="26">
        <f t="shared" si="8"/>
        <v>500</v>
      </c>
      <c r="AH20" s="44">
        <v>250062</v>
      </c>
      <c r="AI20" s="44">
        <v>304</v>
      </c>
      <c r="AJ20" s="45">
        <v>0.6</v>
      </c>
      <c r="AK20" s="45" t="s">
        <v>25</v>
      </c>
      <c r="AL20" s="32" t="s">
        <v>115</v>
      </c>
      <c r="AM20" s="32"/>
      <c r="AN20" s="44">
        <v>430</v>
      </c>
      <c r="AO20" s="46">
        <v>300</v>
      </c>
      <c r="AP20" s="27">
        <v>310</v>
      </c>
      <c r="AQ20" s="26">
        <f t="shared" si="9"/>
        <v>-10</v>
      </c>
      <c r="AS20" s="44">
        <v>250062</v>
      </c>
      <c r="AT20" s="44">
        <v>304</v>
      </c>
      <c r="AU20" s="45">
        <v>0.6</v>
      </c>
      <c r="AV20" s="45" t="s">
        <v>25</v>
      </c>
      <c r="AW20" s="32" t="s">
        <v>109</v>
      </c>
      <c r="AX20" s="32"/>
      <c r="AY20" s="44">
        <v>430</v>
      </c>
      <c r="AZ20" s="46">
        <v>300</v>
      </c>
      <c r="BA20" s="27">
        <v>300</v>
      </c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/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32"/>
      <c r="G21" s="24"/>
      <c r="H21" s="26"/>
      <c r="I21" s="27"/>
      <c r="J21" s="26">
        <f t="shared" si="6"/>
        <v>0</v>
      </c>
      <c r="L21" s="44"/>
      <c r="M21" s="44"/>
      <c r="N21" s="45"/>
      <c r="O21" s="45"/>
      <c r="P21" s="32"/>
      <c r="Q21" s="32"/>
      <c r="R21" s="44"/>
      <c r="S21" s="46"/>
      <c r="T21" s="27"/>
      <c r="U21" s="26">
        <f t="shared" si="7"/>
        <v>0</v>
      </c>
      <c r="W21" s="44"/>
      <c r="X21" s="44"/>
      <c r="Y21" s="45"/>
      <c r="Z21" s="45"/>
      <c r="AA21" s="32"/>
      <c r="AB21" s="32"/>
      <c r="AC21" s="44"/>
      <c r="AD21" s="46"/>
      <c r="AE21" s="27"/>
      <c r="AF21" s="26">
        <f t="shared" si="8"/>
        <v>0</v>
      </c>
      <c r="AH21" s="44">
        <v>250062</v>
      </c>
      <c r="AI21" s="44">
        <v>304</v>
      </c>
      <c r="AJ21" s="45">
        <v>0.6</v>
      </c>
      <c r="AK21" s="45" t="s">
        <v>25</v>
      </c>
      <c r="AL21" s="32" t="s">
        <v>114</v>
      </c>
      <c r="AM21" s="32"/>
      <c r="AN21" s="44">
        <v>430</v>
      </c>
      <c r="AO21" s="46">
        <v>300</v>
      </c>
      <c r="AP21" s="27">
        <v>300</v>
      </c>
      <c r="AQ21" s="26">
        <f t="shared" si="9"/>
        <v>0</v>
      </c>
      <c r="AS21" s="24"/>
      <c r="AT21" s="24"/>
      <c r="AU21" s="31"/>
      <c r="AV21" s="31"/>
      <c r="AW21" s="29"/>
      <c r="AX21" s="29"/>
      <c r="AY21" s="24"/>
      <c r="AZ21" s="26"/>
      <c r="BA21" s="27"/>
      <c r="BB21" s="26">
        <f t="shared" si="10"/>
        <v>0</v>
      </c>
      <c r="BD21" s="24"/>
      <c r="BE21" s="24"/>
      <c r="BF21" s="31"/>
      <c r="BG21" s="31"/>
      <c r="BH21" s="29"/>
      <c r="BI21" s="29"/>
      <c r="BJ21" s="24"/>
      <c r="BK21" s="26"/>
      <c r="BL21" s="27"/>
      <c r="BM21" s="26"/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33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33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29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33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29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29"/>
      <c r="BJ22" s="24"/>
      <c r="BK22" s="26"/>
      <c r="BL22" s="27"/>
      <c r="BM22" s="26"/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/>
      <c r="AB23" s="29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29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29"/>
      <c r="AY23" s="24"/>
      <c r="AZ23" s="26"/>
      <c r="BA23" s="27"/>
      <c r="BB23" s="26">
        <f t="shared" si="10"/>
        <v>0</v>
      </c>
      <c r="BD23" s="24"/>
      <c r="BE23" s="24"/>
      <c r="BF23" s="31"/>
      <c r="BG23" s="31"/>
      <c r="BH23" s="29"/>
      <c r="BI23" s="29"/>
      <c r="BJ23" s="24"/>
      <c r="BK23" s="26"/>
      <c r="BL23" s="27"/>
      <c r="BM23" s="26"/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3000</v>
      </c>
      <c r="I24" s="27">
        <f>SUM(I18:I23)</f>
        <v>3010</v>
      </c>
      <c r="J24" s="26">
        <f>SUM(J18:J23)</f>
        <v>-10</v>
      </c>
      <c r="L24" s="34"/>
      <c r="M24" s="34"/>
      <c r="N24" s="34"/>
      <c r="O24" s="34"/>
      <c r="P24" s="35"/>
      <c r="Q24" s="35"/>
      <c r="R24" s="36"/>
      <c r="S24" s="26">
        <f>SUM(S18:S23)</f>
        <v>3000</v>
      </c>
      <c r="T24" s="27">
        <f>SUM(T18:T23)</f>
        <v>2985</v>
      </c>
      <c r="U24" s="26">
        <f>SUM(U18:U23)</f>
        <v>15</v>
      </c>
      <c r="W24" s="34"/>
      <c r="X24" s="34"/>
      <c r="Y24" s="34"/>
      <c r="Z24" s="34"/>
      <c r="AA24" s="35"/>
      <c r="AB24" s="35"/>
      <c r="AC24" s="36"/>
      <c r="AD24" s="26">
        <f>SUM(AD18:AD23)</f>
        <v>2500</v>
      </c>
      <c r="AE24" s="27">
        <f>SUM(AE18:AE23)</f>
        <v>2085</v>
      </c>
      <c r="AF24" s="26">
        <f>SUM(AF18:AF23)</f>
        <v>415</v>
      </c>
      <c r="AH24" s="34"/>
      <c r="AI24" s="34"/>
      <c r="AJ24" s="34"/>
      <c r="AK24" s="34"/>
      <c r="AL24" s="35"/>
      <c r="AM24" s="35"/>
      <c r="AN24" s="36"/>
      <c r="AO24" s="26">
        <f>SUM(AO18:AO23)</f>
        <v>950</v>
      </c>
      <c r="AP24" s="27">
        <f>SUM(AP18:AP23)</f>
        <v>1100</v>
      </c>
      <c r="AQ24" s="26">
        <f>SUM(AQ18:AQ23)</f>
        <v>-150</v>
      </c>
      <c r="AS24" s="34"/>
      <c r="AT24" s="34"/>
      <c r="AU24" s="34"/>
      <c r="AV24" s="34"/>
      <c r="AW24" s="35"/>
      <c r="AX24" s="35"/>
      <c r="AY24" s="36"/>
      <c r="AZ24" s="26">
        <f>SUM(AZ18:AZ23)</f>
        <v>900</v>
      </c>
      <c r="BA24" s="27">
        <f>SUM(BA18:BA23)</f>
        <v>900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1000</v>
      </c>
      <c r="BL24" s="27">
        <f>SUM(BL18:BL23)</f>
        <v>1000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250044</v>
      </c>
      <c r="B29" s="24">
        <v>304</v>
      </c>
      <c r="C29" s="31">
        <v>0.7</v>
      </c>
      <c r="D29" s="24"/>
      <c r="E29" s="24" t="s">
        <v>295</v>
      </c>
      <c r="F29" s="29"/>
      <c r="G29" s="24"/>
      <c r="H29" s="26">
        <v>540</v>
      </c>
      <c r="I29" s="27">
        <v>540</v>
      </c>
      <c r="J29" s="26">
        <f>H29-I29</f>
        <v>0</v>
      </c>
      <c r="L29" s="24">
        <v>250044</v>
      </c>
      <c r="M29" s="24">
        <v>304</v>
      </c>
      <c r="N29" s="31">
        <v>0.7</v>
      </c>
      <c r="O29" s="24"/>
      <c r="P29" s="24" t="s">
        <v>296</v>
      </c>
      <c r="Q29" s="29"/>
      <c r="R29" s="24"/>
      <c r="S29" s="26">
        <v>540</v>
      </c>
      <c r="T29" s="27">
        <v>540</v>
      </c>
      <c r="U29" s="26">
        <f>S29-T29</f>
        <v>0</v>
      </c>
      <c r="W29" s="24">
        <v>250044</v>
      </c>
      <c r="X29" s="24">
        <v>304</v>
      </c>
      <c r="Y29" s="31">
        <v>0.7</v>
      </c>
      <c r="Z29" s="24"/>
      <c r="AA29" s="24" t="s">
        <v>297</v>
      </c>
      <c r="AB29" s="29"/>
      <c r="AC29" s="24"/>
      <c r="AD29" s="26">
        <v>540</v>
      </c>
      <c r="AE29" s="27">
        <v>550</v>
      </c>
      <c r="AF29" s="26">
        <f>AD29-AE29</f>
        <v>-10</v>
      </c>
      <c r="AH29" s="24">
        <v>250044</v>
      </c>
      <c r="AI29" s="24">
        <v>304</v>
      </c>
      <c r="AJ29" s="31">
        <v>0.7</v>
      </c>
      <c r="AK29" s="24"/>
      <c r="AL29" s="24" t="s">
        <v>298</v>
      </c>
      <c r="AM29" s="57"/>
      <c r="AN29" s="24"/>
      <c r="AO29" s="26">
        <v>540</v>
      </c>
      <c r="AP29" s="27">
        <v>550</v>
      </c>
      <c r="AQ29" s="26">
        <f>AO29-AP29</f>
        <v>-10</v>
      </c>
      <c r="AS29" s="24">
        <v>250057</v>
      </c>
      <c r="AT29" s="24">
        <v>304</v>
      </c>
      <c r="AU29" s="31">
        <v>0.6</v>
      </c>
      <c r="AV29" s="24"/>
      <c r="AW29" s="29" t="s">
        <v>414</v>
      </c>
      <c r="AX29" s="33"/>
      <c r="AY29" s="24"/>
      <c r="AZ29" s="26">
        <v>410</v>
      </c>
      <c r="BA29" s="27">
        <v>410</v>
      </c>
      <c r="BB29" s="26">
        <f>AZ29-BA29</f>
        <v>0</v>
      </c>
      <c r="BD29" s="24">
        <v>250052</v>
      </c>
      <c r="BE29" s="24">
        <v>304</v>
      </c>
      <c r="BF29" s="31">
        <v>0.6</v>
      </c>
      <c r="BG29" s="31"/>
      <c r="BH29" s="29" t="s">
        <v>421</v>
      </c>
      <c r="BI29" s="29"/>
      <c r="BJ29" s="24"/>
      <c r="BK29" s="26">
        <v>800</v>
      </c>
      <c r="BL29" s="27">
        <v>800</v>
      </c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24"/>
      <c r="E30" s="24"/>
      <c r="F30" s="29"/>
      <c r="G30" s="24"/>
      <c r="H30" s="26"/>
      <c r="I30" s="27"/>
      <c r="J30" s="26">
        <f t="shared" ref="J30:J34" si="11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2">S30-T30</f>
        <v>0</v>
      </c>
      <c r="W30" s="24"/>
      <c r="X30" s="24"/>
      <c r="Y30" s="31"/>
      <c r="Z30" s="24"/>
      <c r="AA30" s="24"/>
      <c r="AB30" s="57"/>
      <c r="AC30" s="24"/>
      <c r="AD30" s="26"/>
      <c r="AE30" s="27"/>
      <c r="AF30" s="26">
        <f t="shared" ref="AF30:AF34" si="13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4">AO30-AP30</f>
        <v>0</v>
      </c>
      <c r="AS30" s="24">
        <v>250052</v>
      </c>
      <c r="AT30" s="24">
        <v>304</v>
      </c>
      <c r="AU30" s="31">
        <v>0.6</v>
      </c>
      <c r="AV30" s="31"/>
      <c r="AW30" s="29" t="s">
        <v>423</v>
      </c>
      <c r="AX30" s="33"/>
      <c r="AY30" s="24"/>
      <c r="AZ30" s="26">
        <v>800</v>
      </c>
      <c r="BA30" s="27">
        <v>800</v>
      </c>
      <c r="BB30" s="26">
        <f t="shared" ref="BB30:BB34" si="15">AZ30-BA30</f>
        <v>0</v>
      </c>
      <c r="BD30" s="24">
        <v>250055</v>
      </c>
      <c r="BE30" s="24">
        <v>304</v>
      </c>
      <c r="BF30" s="31">
        <v>0.6</v>
      </c>
      <c r="BG30" s="31"/>
      <c r="BH30" s="29" t="s">
        <v>426</v>
      </c>
      <c r="BI30" s="29"/>
      <c r="BJ30" s="24"/>
      <c r="BK30" s="26">
        <v>830</v>
      </c>
      <c r="BL30" s="27">
        <v>830</v>
      </c>
      <c r="BM30" s="26">
        <f t="shared" ref="BM30:BM34" si="16">BK30-BL30</f>
        <v>0</v>
      </c>
    </row>
    <row r="31" spans="1:65" s="30" customFormat="1" ht="20.100000000000001" customHeight="1" x14ac:dyDescent="0.3">
      <c r="A31" s="24"/>
      <c r="B31" s="24"/>
      <c r="C31" s="31"/>
      <c r="D31" s="24"/>
      <c r="E31" s="24"/>
      <c r="F31" s="29"/>
      <c r="G31" s="24"/>
      <c r="H31" s="26"/>
      <c r="I31" s="27"/>
      <c r="J31" s="26">
        <f t="shared" si="11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2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3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4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5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6"/>
        <v>0</v>
      </c>
    </row>
    <row r="32" spans="1:65" s="30" customFormat="1" ht="20.100000000000001" customHeight="1" x14ac:dyDescent="0.3">
      <c r="A32" s="24"/>
      <c r="B32" s="24"/>
      <c r="C32" s="31"/>
      <c r="D32" s="24"/>
      <c r="E32" s="24"/>
      <c r="F32" s="57"/>
      <c r="G32" s="24"/>
      <c r="H32" s="26"/>
      <c r="I32" s="27"/>
      <c r="J32" s="26">
        <f t="shared" si="11"/>
        <v>0</v>
      </c>
      <c r="L32" s="24"/>
      <c r="M32" s="24"/>
      <c r="N32" s="31"/>
      <c r="O32" s="31"/>
      <c r="P32" s="29"/>
      <c r="Q32" s="32"/>
      <c r="R32" s="24"/>
      <c r="S32" s="26"/>
      <c r="T32" s="27"/>
      <c r="U32" s="26">
        <f t="shared" si="12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3"/>
        <v>0</v>
      </c>
      <c r="AH32" s="24"/>
      <c r="AI32" s="24"/>
      <c r="AJ32" s="31"/>
      <c r="AK32" s="31"/>
      <c r="AL32" s="29"/>
      <c r="AM32" s="32"/>
      <c r="AN32" s="24"/>
      <c r="AO32" s="26"/>
      <c r="AP32" s="27"/>
      <c r="AQ32" s="26">
        <f t="shared" si="14"/>
        <v>0</v>
      </c>
      <c r="AS32" s="24"/>
      <c r="AT32" s="24"/>
      <c r="AU32" s="31"/>
      <c r="AV32" s="31"/>
      <c r="AW32" s="29"/>
      <c r="AX32" s="29"/>
      <c r="AY32" s="24"/>
      <c r="AZ32" s="26"/>
      <c r="BA32" s="27"/>
      <c r="BB32" s="26">
        <f t="shared" si="15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6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33"/>
      <c r="G33" s="24"/>
      <c r="H33" s="26"/>
      <c r="I33" s="27"/>
      <c r="J33" s="26">
        <f t="shared" si="11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2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3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4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5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6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1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2"/>
        <v>0</v>
      </c>
      <c r="W34" s="24"/>
      <c r="X34" s="24"/>
      <c r="Y34" s="24"/>
      <c r="Z34" s="24"/>
      <c r="AA34" s="29"/>
      <c r="AB34" s="33"/>
      <c r="AC34" s="24"/>
      <c r="AD34" s="26"/>
      <c r="AE34" s="27"/>
      <c r="AF34" s="26">
        <f t="shared" si="13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4"/>
        <v>0</v>
      </c>
      <c r="AS34" s="24"/>
      <c r="AT34" s="24"/>
      <c r="AU34" s="24"/>
      <c r="AV34" s="24"/>
      <c r="AW34" s="29"/>
      <c r="AX34" s="33"/>
      <c r="AY34" s="24"/>
      <c r="AZ34" s="26"/>
      <c r="BA34" s="27"/>
      <c r="BB34" s="26">
        <f t="shared" si="15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6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540</v>
      </c>
      <c r="I35" s="27">
        <f>SUM(I29:I34)</f>
        <v>540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540</v>
      </c>
      <c r="T35" s="27">
        <f>SUM(T29:T34)</f>
        <v>540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540</v>
      </c>
      <c r="AE35" s="27">
        <f>SUM(AE29:AE34)</f>
        <v>550</v>
      </c>
      <c r="AF35" s="26">
        <f>SUM(AF29:AF34)</f>
        <v>-10</v>
      </c>
      <c r="AH35" s="34"/>
      <c r="AI35" s="34"/>
      <c r="AJ35" s="34"/>
      <c r="AK35" s="34"/>
      <c r="AL35" s="35"/>
      <c r="AM35" s="35"/>
      <c r="AN35" s="36"/>
      <c r="AO35" s="26">
        <f>SUM(AO29:AO34)</f>
        <v>540</v>
      </c>
      <c r="AP35" s="27">
        <f>SUM(AP29:AP34)</f>
        <v>550</v>
      </c>
      <c r="AQ35" s="26">
        <f>SUM(AQ29:AQ34)</f>
        <v>-10</v>
      </c>
      <c r="AS35" s="34"/>
      <c r="AT35" s="34"/>
      <c r="AU35" s="34"/>
      <c r="AV35" s="34"/>
      <c r="AW35" s="35"/>
      <c r="AX35" s="35"/>
      <c r="AY35" s="36"/>
      <c r="AZ35" s="26">
        <f>SUM(AZ29:AZ34)</f>
        <v>1210</v>
      </c>
      <c r="BA35" s="27">
        <f>SUM(BA29:BA34)</f>
        <v>1210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1630</v>
      </c>
      <c r="BL35" s="27">
        <f>SUM(BL29:BL34)</f>
        <v>1630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210825</v>
      </c>
      <c r="B40" s="24">
        <v>304</v>
      </c>
      <c r="C40" s="31">
        <v>0.8</v>
      </c>
      <c r="D40" s="31" t="s">
        <v>27</v>
      </c>
      <c r="E40" s="29" t="s">
        <v>407</v>
      </c>
      <c r="F40" s="32"/>
      <c r="G40" s="24"/>
      <c r="H40" s="26">
        <v>1870</v>
      </c>
      <c r="I40" s="27">
        <v>1870</v>
      </c>
      <c r="J40" s="26">
        <f>H40-I40</f>
        <v>0</v>
      </c>
      <c r="L40" s="24">
        <v>210825</v>
      </c>
      <c r="M40" s="24">
        <v>304</v>
      </c>
      <c r="N40" s="31">
        <v>0.8</v>
      </c>
      <c r="O40" s="31" t="s">
        <v>27</v>
      </c>
      <c r="P40" s="29" t="s">
        <v>407</v>
      </c>
      <c r="Q40" s="32"/>
      <c r="R40" s="24"/>
      <c r="S40" s="26">
        <v>830</v>
      </c>
      <c r="T40" s="27">
        <v>830</v>
      </c>
      <c r="U40" s="26">
        <f>S40-T40</f>
        <v>0</v>
      </c>
      <c r="W40" s="24">
        <v>10925</v>
      </c>
      <c r="X40" s="24">
        <v>430</v>
      </c>
      <c r="Y40" s="31">
        <v>0.8</v>
      </c>
      <c r="Z40" s="26">
        <v>430</v>
      </c>
      <c r="AA40" s="29" t="s">
        <v>306</v>
      </c>
      <c r="AB40" s="29"/>
      <c r="AC40" s="24"/>
      <c r="AD40" s="26">
        <v>1800</v>
      </c>
      <c r="AE40" s="27">
        <f>500+1530</f>
        <v>2030</v>
      </c>
      <c r="AF40" s="26">
        <f>AD40-AE40</f>
        <v>-230</v>
      </c>
      <c r="AH40" s="24">
        <v>10925</v>
      </c>
      <c r="AI40" s="24">
        <v>430</v>
      </c>
      <c r="AJ40" s="31">
        <v>0.8</v>
      </c>
      <c r="AK40" s="26">
        <v>430</v>
      </c>
      <c r="AL40" s="29" t="s">
        <v>286</v>
      </c>
      <c r="AM40" s="29"/>
      <c r="AN40" s="24">
        <v>430</v>
      </c>
      <c r="AO40" s="26">
        <v>2000</v>
      </c>
      <c r="AP40" s="27">
        <f>2000</f>
        <v>2000</v>
      </c>
      <c r="AQ40" s="26">
        <f>AO40-AP40</f>
        <v>0</v>
      </c>
      <c r="AS40" s="24">
        <v>10925</v>
      </c>
      <c r="AT40" s="24">
        <v>430</v>
      </c>
      <c r="AU40" s="31">
        <v>0.8</v>
      </c>
      <c r="AV40" s="26">
        <v>430</v>
      </c>
      <c r="AW40" s="29" t="s">
        <v>286</v>
      </c>
      <c r="AX40" s="29"/>
      <c r="AY40" s="24">
        <v>430</v>
      </c>
      <c r="AZ40" s="26">
        <v>1100</v>
      </c>
      <c r="BA40" s="27">
        <v>1100</v>
      </c>
      <c r="BB40" s="26">
        <f>AZ40-BA40</f>
        <v>0</v>
      </c>
      <c r="BD40" s="24">
        <v>10925</v>
      </c>
      <c r="BE40" s="24">
        <v>304</v>
      </c>
      <c r="BF40" s="24">
        <v>0.8</v>
      </c>
      <c r="BG40" s="24">
        <v>430</v>
      </c>
      <c r="BH40" s="29" t="s">
        <v>288</v>
      </c>
      <c r="BI40" s="29"/>
      <c r="BJ40" s="24">
        <v>430</v>
      </c>
      <c r="BK40" s="26">
        <v>800</v>
      </c>
      <c r="BL40" s="27">
        <v>800</v>
      </c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26"/>
      <c r="E41" s="29"/>
      <c r="F41" s="29"/>
      <c r="G41" s="24"/>
      <c r="H41" s="26"/>
      <c r="I41" s="27"/>
      <c r="J41" s="26">
        <f t="shared" ref="J41:J45" si="17">H41-I41</f>
        <v>0</v>
      </c>
      <c r="L41" s="24">
        <v>10925</v>
      </c>
      <c r="M41" s="24">
        <v>430</v>
      </c>
      <c r="N41" s="31">
        <v>0.8</v>
      </c>
      <c r="O41" s="26">
        <v>430</v>
      </c>
      <c r="P41" s="29" t="s">
        <v>306</v>
      </c>
      <c r="Q41" s="29"/>
      <c r="R41" s="24"/>
      <c r="S41" s="26">
        <v>1300</v>
      </c>
      <c r="T41" s="27">
        <v>1300</v>
      </c>
      <c r="U41" s="26">
        <f t="shared" ref="U41:U45" si="18">S41-T41</f>
        <v>0</v>
      </c>
      <c r="W41" s="24">
        <v>10925</v>
      </c>
      <c r="X41" s="24">
        <v>430</v>
      </c>
      <c r="Y41" s="31">
        <v>0.8</v>
      </c>
      <c r="Z41" s="26">
        <v>430</v>
      </c>
      <c r="AA41" s="29" t="s">
        <v>286</v>
      </c>
      <c r="AB41" s="29"/>
      <c r="AC41" s="24">
        <v>430</v>
      </c>
      <c r="AD41" s="26">
        <v>200</v>
      </c>
      <c r="AE41" s="27">
        <v>200</v>
      </c>
      <c r="AF41" s="26">
        <f t="shared" ref="AF41:AF45" si="19">AD41-AE41</f>
        <v>0</v>
      </c>
      <c r="AH41" s="24"/>
      <c r="AI41" s="24"/>
      <c r="AJ41" s="24"/>
      <c r="AK41" s="24"/>
      <c r="AL41" s="29"/>
      <c r="AM41" s="29"/>
      <c r="AN41" s="24"/>
      <c r="AO41" s="26"/>
      <c r="AP41" s="27"/>
      <c r="AQ41" s="26">
        <f t="shared" ref="AQ41:AQ45" si="20">AO41-AP41</f>
        <v>0</v>
      </c>
      <c r="AS41" s="24">
        <v>10925</v>
      </c>
      <c r="AT41" s="24">
        <v>304</v>
      </c>
      <c r="AU41" s="24">
        <v>0.8</v>
      </c>
      <c r="AV41" s="24">
        <v>430</v>
      </c>
      <c r="AW41" s="29" t="s">
        <v>288</v>
      </c>
      <c r="AX41" s="29"/>
      <c r="AY41" s="24">
        <v>430</v>
      </c>
      <c r="AZ41" s="26">
        <v>900</v>
      </c>
      <c r="BA41" s="27">
        <v>900</v>
      </c>
      <c r="BB41" s="26">
        <f t="shared" ref="BB41:BB45" si="21">AZ41-BA41</f>
        <v>0</v>
      </c>
      <c r="BD41" s="24"/>
      <c r="BE41" s="24"/>
      <c r="BF41" s="24"/>
      <c r="BG41" s="24"/>
      <c r="BH41" s="29"/>
      <c r="BI41" s="29"/>
      <c r="BJ41" s="24"/>
      <c r="BK41" s="26"/>
      <c r="BL41" s="27"/>
      <c r="BM41" s="26">
        <f t="shared" ref="BM41:BM45" si="22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7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8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19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0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1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2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7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8"/>
        <v>0</v>
      </c>
      <c r="W43" s="24"/>
      <c r="X43" s="24"/>
      <c r="Y43" s="31"/>
      <c r="Z43" s="26"/>
      <c r="AA43" s="29"/>
      <c r="AB43" s="29"/>
      <c r="AC43" s="24"/>
      <c r="AD43" s="26"/>
      <c r="AE43" s="27"/>
      <c r="AF43" s="26">
        <f t="shared" si="19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0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1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2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7"/>
        <v>0</v>
      </c>
      <c r="L44" s="24"/>
      <c r="M44" s="24"/>
      <c r="N44" s="31"/>
      <c r="O44" s="26"/>
      <c r="P44" s="29"/>
      <c r="Q44" s="29"/>
      <c r="R44" s="24"/>
      <c r="S44" s="26"/>
      <c r="T44" s="27"/>
      <c r="U44" s="26">
        <f t="shared" si="18"/>
        <v>0</v>
      </c>
      <c r="W44" s="24"/>
      <c r="X44" s="24"/>
      <c r="Y44" s="31"/>
      <c r="Z44" s="26"/>
      <c r="AA44" s="29"/>
      <c r="AB44" s="29"/>
      <c r="AC44" s="24"/>
      <c r="AD44" s="26"/>
      <c r="AE44" s="27"/>
      <c r="AF44" s="26">
        <f t="shared" si="19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0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1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2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7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8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19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0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1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2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1870</v>
      </c>
      <c r="I46" s="27">
        <f>SUM(I40:I45)</f>
        <v>1870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2130</v>
      </c>
      <c r="T46" s="27">
        <f>SUM(T40:T45)</f>
        <v>2130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2000</v>
      </c>
      <c r="AE46" s="27">
        <f>SUM(AE40:AE45)</f>
        <v>2230</v>
      </c>
      <c r="AF46" s="26">
        <f>SUM(AF40:AF45)</f>
        <v>-230</v>
      </c>
      <c r="AH46" s="34"/>
      <c r="AI46" s="34"/>
      <c r="AJ46" s="34"/>
      <c r="AK46" s="34"/>
      <c r="AL46" s="35"/>
      <c r="AM46" s="35"/>
      <c r="AN46" s="36"/>
      <c r="AO46" s="26">
        <f>SUM(AO40:AO45)</f>
        <v>2000</v>
      </c>
      <c r="AP46" s="27">
        <f>SUM(AP40:AP45)</f>
        <v>2000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2000</v>
      </c>
      <c r="BA46" s="27">
        <f>SUM(BA40:BA45)</f>
        <v>2000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800</v>
      </c>
      <c r="BL46" s="27">
        <f>SUM(BL40:BL45)</f>
        <v>800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>
        <v>210825</v>
      </c>
      <c r="B51" s="24">
        <v>304</v>
      </c>
      <c r="C51" s="31">
        <v>0.8</v>
      </c>
      <c r="D51" s="31" t="s">
        <v>27</v>
      </c>
      <c r="E51" s="29" t="s">
        <v>407</v>
      </c>
      <c r="F51" s="32"/>
      <c r="G51" s="24"/>
      <c r="H51" s="26">
        <v>1870</v>
      </c>
      <c r="I51" s="27">
        <v>1870</v>
      </c>
      <c r="J51" s="26">
        <f>H51-I51</f>
        <v>0</v>
      </c>
      <c r="L51" s="24">
        <v>210825</v>
      </c>
      <c r="M51" s="24">
        <v>304</v>
      </c>
      <c r="N51" s="31">
        <v>0.8</v>
      </c>
      <c r="O51" s="31" t="s">
        <v>27</v>
      </c>
      <c r="P51" s="29" t="s">
        <v>407</v>
      </c>
      <c r="Q51" s="32"/>
      <c r="R51" s="24"/>
      <c r="S51" s="26">
        <v>830</v>
      </c>
      <c r="T51" s="27">
        <v>830</v>
      </c>
      <c r="U51" s="26">
        <f>S51-T51</f>
        <v>0</v>
      </c>
      <c r="W51" s="24">
        <v>10925</v>
      </c>
      <c r="X51" s="24">
        <v>430</v>
      </c>
      <c r="Y51" s="31">
        <v>0.8</v>
      </c>
      <c r="Z51" s="26">
        <v>430</v>
      </c>
      <c r="AA51" s="29" t="s">
        <v>306</v>
      </c>
      <c r="AB51" s="29"/>
      <c r="AC51" s="24"/>
      <c r="AD51" s="26">
        <v>1800</v>
      </c>
      <c r="AE51" s="27">
        <v>1800</v>
      </c>
      <c r="AF51" s="26">
        <f>AD51-AE51</f>
        <v>0</v>
      </c>
      <c r="AH51" s="24">
        <v>10925</v>
      </c>
      <c r="AI51" s="24">
        <v>430</v>
      </c>
      <c r="AJ51" s="31">
        <v>0.8</v>
      </c>
      <c r="AK51" s="26">
        <v>430</v>
      </c>
      <c r="AL51" s="29" t="s">
        <v>286</v>
      </c>
      <c r="AM51" s="29"/>
      <c r="AN51" s="24">
        <v>430</v>
      </c>
      <c r="AO51" s="26">
        <v>2000</v>
      </c>
      <c r="AP51" s="27">
        <v>2000</v>
      </c>
      <c r="AQ51" s="26">
        <f>AO51-AP51</f>
        <v>0</v>
      </c>
      <c r="AS51" s="24">
        <v>10925</v>
      </c>
      <c r="AT51" s="24">
        <v>430</v>
      </c>
      <c r="AU51" s="31">
        <v>0.8</v>
      </c>
      <c r="AV51" s="26">
        <v>430</v>
      </c>
      <c r="AW51" s="29" t="s">
        <v>286</v>
      </c>
      <c r="AX51" s="29"/>
      <c r="AY51" s="24">
        <v>430</v>
      </c>
      <c r="AZ51" s="26">
        <v>1100</v>
      </c>
      <c r="BA51" s="27">
        <v>1100</v>
      </c>
      <c r="BB51" s="26">
        <f>AZ51-BA51</f>
        <v>0</v>
      </c>
      <c r="BD51" s="24">
        <v>10925</v>
      </c>
      <c r="BE51" s="24">
        <v>304</v>
      </c>
      <c r="BF51" s="24">
        <v>0.8</v>
      </c>
      <c r="BG51" s="24">
        <v>430</v>
      </c>
      <c r="BH51" s="29" t="s">
        <v>288</v>
      </c>
      <c r="BI51" s="29"/>
      <c r="BJ51" s="24">
        <v>430</v>
      </c>
      <c r="BK51" s="26">
        <v>800</v>
      </c>
      <c r="BL51" s="27">
        <v>800</v>
      </c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26"/>
      <c r="E52" s="29"/>
      <c r="F52" s="29"/>
      <c r="G52" s="24"/>
      <c r="H52" s="26"/>
      <c r="I52" s="27"/>
      <c r="J52" s="26">
        <f t="shared" ref="J52:J56" si="23">H52-I52</f>
        <v>0</v>
      </c>
      <c r="L52" s="24">
        <v>10925</v>
      </c>
      <c r="M52" s="24">
        <v>430</v>
      </c>
      <c r="N52" s="31">
        <v>0.8</v>
      </c>
      <c r="O52" s="26">
        <v>430</v>
      </c>
      <c r="P52" s="29" t="s">
        <v>306</v>
      </c>
      <c r="Q52" s="29"/>
      <c r="R52" s="24"/>
      <c r="S52" s="26">
        <v>1300</v>
      </c>
      <c r="T52" s="27">
        <v>1300</v>
      </c>
      <c r="U52" s="26">
        <f t="shared" ref="U52:U56" si="24">S52-T52</f>
        <v>0</v>
      </c>
      <c r="W52" s="24">
        <v>10925</v>
      </c>
      <c r="X52" s="24">
        <v>430</v>
      </c>
      <c r="Y52" s="31">
        <v>0.8</v>
      </c>
      <c r="Z52" s="26">
        <v>430</v>
      </c>
      <c r="AA52" s="29" t="s">
        <v>286</v>
      </c>
      <c r="AB52" s="29"/>
      <c r="AC52" s="24">
        <v>430</v>
      </c>
      <c r="AD52" s="26">
        <v>200</v>
      </c>
      <c r="AE52" s="27">
        <v>200</v>
      </c>
      <c r="AF52" s="26">
        <f t="shared" ref="AF52:AF56" si="25">AD52-AE52</f>
        <v>0</v>
      </c>
      <c r="AH52" s="24"/>
      <c r="AI52" s="24"/>
      <c r="AJ52" s="24"/>
      <c r="AK52" s="24"/>
      <c r="AL52" s="29"/>
      <c r="AM52" s="29"/>
      <c r="AN52" s="24"/>
      <c r="AO52" s="26"/>
      <c r="AP52" s="27"/>
      <c r="AQ52" s="26">
        <f t="shared" ref="AQ52:AQ56" si="26">AO52-AP52</f>
        <v>0</v>
      </c>
      <c r="AS52" s="24">
        <v>10925</v>
      </c>
      <c r="AT52" s="24">
        <v>304</v>
      </c>
      <c r="AU52" s="24">
        <v>0.8</v>
      </c>
      <c r="AV52" s="24">
        <v>430</v>
      </c>
      <c r="AW52" s="29" t="s">
        <v>288</v>
      </c>
      <c r="AX52" s="29"/>
      <c r="AY52" s="24">
        <v>430</v>
      </c>
      <c r="AZ52" s="26">
        <v>900</v>
      </c>
      <c r="BA52" s="27">
        <v>900</v>
      </c>
      <c r="BB52" s="26">
        <f t="shared" ref="BB52:BB56" si="27">AZ52-BA52</f>
        <v>0</v>
      </c>
      <c r="BD52" s="24"/>
      <c r="BE52" s="24"/>
      <c r="BF52" s="24"/>
      <c r="BG52" s="24"/>
      <c r="BH52" s="29"/>
      <c r="BI52" s="29"/>
      <c r="BJ52" s="24"/>
      <c r="BK52" s="26"/>
      <c r="BL52" s="27"/>
      <c r="BM52" s="26">
        <f t="shared" ref="BM52:BM56" si="28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3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4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5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6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7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8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3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4"/>
        <v>0</v>
      </c>
      <c r="W54" s="24"/>
      <c r="X54" s="24"/>
      <c r="Y54" s="31"/>
      <c r="Z54" s="31"/>
      <c r="AA54" s="29"/>
      <c r="AB54" s="29"/>
      <c r="AC54" s="24"/>
      <c r="AD54" s="26"/>
      <c r="AE54" s="27"/>
      <c r="AF54" s="26">
        <f t="shared" si="25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6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7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8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3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4"/>
        <v>0</v>
      </c>
      <c r="W55" s="24"/>
      <c r="X55" s="24"/>
      <c r="Y55" s="31"/>
      <c r="Z55" s="31"/>
      <c r="AA55" s="29"/>
      <c r="AB55" s="29"/>
      <c r="AC55" s="24"/>
      <c r="AD55" s="26"/>
      <c r="AE55" s="27"/>
      <c r="AF55" s="26">
        <f t="shared" si="25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6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7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8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3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4"/>
        <v>0</v>
      </c>
      <c r="W56" s="24"/>
      <c r="X56" s="24"/>
      <c r="Y56" s="31"/>
      <c r="Z56" s="31"/>
      <c r="AA56" s="29"/>
      <c r="AB56" s="29"/>
      <c r="AC56" s="24"/>
      <c r="AD56" s="26"/>
      <c r="AE56" s="27"/>
      <c r="AF56" s="26">
        <f t="shared" si="25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6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7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8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1870</v>
      </c>
      <c r="I57" s="27">
        <f>SUM(I51:I56)</f>
        <v>1870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2130</v>
      </c>
      <c r="T57" s="27">
        <f>SUM(T51:T56)</f>
        <v>2130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2000</v>
      </c>
      <c r="AE57" s="27">
        <f>SUM(AE51:AE56)</f>
        <v>2000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2000</v>
      </c>
      <c r="AP57" s="27">
        <f>SUM(AP51:AP56)</f>
        <v>2000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2000</v>
      </c>
      <c r="BA57" s="27">
        <f>SUM(BA51:BA56)</f>
        <v>2000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800</v>
      </c>
      <c r="BL57" s="27">
        <f>SUM(BL51:BL56)</f>
        <v>800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290825</v>
      </c>
      <c r="B62" s="24">
        <v>430</v>
      </c>
      <c r="C62" s="50">
        <v>0.6</v>
      </c>
      <c r="D62" s="24" t="s">
        <v>37</v>
      </c>
      <c r="E62" s="29" t="s">
        <v>38</v>
      </c>
      <c r="F62" s="29"/>
      <c r="G62" s="24" t="s">
        <v>29</v>
      </c>
      <c r="H62" s="26">
        <v>1000</v>
      </c>
      <c r="I62" s="27">
        <v>1000</v>
      </c>
      <c r="J62" s="26">
        <f>H62-I62</f>
        <v>0</v>
      </c>
      <c r="L62" s="24"/>
      <c r="M62" s="24"/>
      <c r="N62" s="24"/>
      <c r="O62" s="24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50"/>
      <c r="D63" s="31"/>
      <c r="E63" s="29"/>
      <c r="F63" s="29"/>
      <c r="G63" s="24"/>
      <c r="H63" s="26"/>
      <c r="I63" s="27"/>
      <c r="J63" s="26">
        <f t="shared" ref="J63:J67" si="29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0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1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2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3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4">BK63-BL63</f>
        <v>0</v>
      </c>
    </row>
    <row r="64" spans="1:65" s="30" customFormat="1" ht="20.100000000000001" customHeight="1" x14ac:dyDescent="0.3">
      <c r="A64" s="24"/>
      <c r="B64" s="24"/>
      <c r="C64" s="24"/>
      <c r="D64" s="24"/>
      <c r="E64" s="29"/>
      <c r="F64" s="29"/>
      <c r="G64" s="24"/>
      <c r="H64" s="26"/>
      <c r="I64" s="27"/>
      <c r="J64" s="26">
        <f t="shared" si="29"/>
        <v>0</v>
      </c>
      <c r="L64" s="24"/>
      <c r="M64" s="24"/>
      <c r="N64" s="24"/>
      <c r="O64" s="24"/>
      <c r="P64" s="29"/>
      <c r="Q64" s="29"/>
      <c r="R64" s="24"/>
      <c r="S64" s="26"/>
      <c r="T64" s="27"/>
      <c r="U64" s="26">
        <f t="shared" si="30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1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2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3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4"/>
        <v>0</v>
      </c>
    </row>
    <row r="65" spans="1:65" s="30" customFormat="1" ht="20.100000000000001" customHeight="1" x14ac:dyDescent="0.3">
      <c r="A65" s="24">
        <v>250075</v>
      </c>
      <c r="B65" s="24">
        <v>304</v>
      </c>
      <c r="C65" s="31">
        <v>0.9</v>
      </c>
      <c r="D65" s="24" t="s">
        <v>27</v>
      </c>
      <c r="E65" s="29" t="s">
        <v>177</v>
      </c>
      <c r="F65" s="29"/>
      <c r="G65" s="24" t="s">
        <v>29</v>
      </c>
      <c r="H65" s="26">
        <v>804</v>
      </c>
      <c r="I65" s="27"/>
      <c r="J65" s="26">
        <f t="shared" si="29"/>
        <v>804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0"/>
        <v>0</v>
      </c>
      <c r="W65" s="24"/>
      <c r="X65" s="24"/>
      <c r="Y65" s="24"/>
      <c r="Z65" s="24"/>
      <c r="AA65" s="29"/>
      <c r="AB65" s="29"/>
      <c r="AC65" s="24"/>
      <c r="AD65" s="26"/>
      <c r="AE65" s="27"/>
      <c r="AF65" s="26">
        <f t="shared" si="31"/>
        <v>0</v>
      </c>
      <c r="AH65" s="24"/>
      <c r="AI65" s="24"/>
      <c r="AJ65" s="31"/>
      <c r="AK65" s="31"/>
      <c r="AL65" s="29"/>
      <c r="AM65" s="29"/>
      <c r="AN65" s="24"/>
      <c r="AO65" s="26"/>
      <c r="AP65" s="27"/>
      <c r="AQ65" s="26">
        <f t="shared" si="32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3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4"/>
        <v>0</v>
      </c>
    </row>
    <row r="66" spans="1:65" s="30" customFormat="1" ht="20.100000000000001" customHeight="1" x14ac:dyDescent="0.3">
      <c r="A66" s="24">
        <v>250075</v>
      </c>
      <c r="B66" s="24">
        <v>304</v>
      </c>
      <c r="C66" s="31">
        <v>0.9</v>
      </c>
      <c r="D66" s="24" t="s">
        <v>27</v>
      </c>
      <c r="E66" s="29" t="s">
        <v>178</v>
      </c>
      <c r="F66" s="29"/>
      <c r="G66" s="24" t="s">
        <v>29</v>
      </c>
      <c r="H66" s="26">
        <v>804</v>
      </c>
      <c r="I66" s="27">
        <v>804</v>
      </c>
      <c r="J66" s="26">
        <f t="shared" si="29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0"/>
        <v>0</v>
      </c>
      <c r="W66" s="24"/>
      <c r="X66" s="24"/>
      <c r="Y66" s="31"/>
      <c r="Z66" s="31"/>
      <c r="AA66" s="29"/>
      <c r="AB66" s="29"/>
      <c r="AC66" s="24"/>
      <c r="AD66" s="26"/>
      <c r="AE66" s="27"/>
      <c r="AF66" s="26">
        <f t="shared" si="31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2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3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4"/>
        <v>0</v>
      </c>
    </row>
    <row r="67" spans="1:65" s="30" customFormat="1" ht="20.100000000000001" customHeight="1" x14ac:dyDescent="0.3">
      <c r="A67" s="24"/>
      <c r="B67" s="24"/>
      <c r="C67" s="50"/>
      <c r="D67" s="24"/>
      <c r="E67" s="29"/>
      <c r="F67" s="33"/>
      <c r="G67" s="24"/>
      <c r="H67" s="26"/>
      <c r="I67" s="27"/>
      <c r="J67" s="26">
        <f t="shared" si="29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0"/>
        <v>0</v>
      </c>
      <c r="W67" s="24"/>
      <c r="X67" s="24"/>
      <c r="Y67" s="31"/>
      <c r="Z67" s="31"/>
      <c r="AA67" s="29"/>
      <c r="AB67" s="29"/>
      <c r="AC67" s="24"/>
      <c r="AD67" s="26"/>
      <c r="AE67" s="27"/>
      <c r="AF67" s="26">
        <f t="shared" si="31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2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3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4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2608</v>
      </c>
      <c r="I68" s="27">
        <f>SUM(I62:I67)</f>
        <v>1804</v>
      </c>
      <c r="J68" s="26">
        <f>SUM(J62:J67)</f>
        <v>804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>
        <v>90725</v>
      </c>
      <c r="B73" s="24">
        <v>304</v>
      </c>
      <c r="C73" s="31">
        <v>0.9</v>
      </c>
      <c r="D73" s="31" t="s">
        <v>25</v>
      </c>
      <c r="E73" s="29" t="s">
        <v>229</v>
      </c>
      <c r="F73" s="24"/>
      <c r="G73" s="26"/>
      <c r="H73" s="26">
        <v>1500</v>
      </c>
      <c r="I73" s="27">
        <v>1500</v>
      </c>
      <c r="J73" s="26">
        <f>H73-I73</f>
        <v>0</v>
      </c>
      <c r="L73" s="24"/>
      <c r="M73" s="24"/>
      <c r="N73" s="31"/>
      <c r="O73" s="31"/>
      <c r="P73" s="29"/>
      <c r="Q73" s="24"/>
      <c r="R73" s="26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24"/>
      <c r="D74" s="24"/>
      <c r="E74" s="29"/>
      <c r="F74" s="24"/>
      <c r="G74" s="26"/>
      <c r="H74" s="26"/>
      <c r="I74" s="27"/>
      <c r="J74" s="26">
        <f t="shared" ref="J74:J78" si="35">H74-I74</f>
        <v>0</v>
      </c>
      <c r="L74" s="24"/>
      <c r="M74" s="24"/>
      <c r="N74" s="24"/>
      <c r="O74" s="24"/>
      <c r="P74" s="29"/>
      <c r="Q74" s="24"/>
      <c r="R74" s="26"/>
      <c r="S74" s="26"/>
      <c r="T74" s="27"/>
      <c r="U74" s="26">
        <f t="shared" ref="U74:U78" si="36">S74-T74</f>
        <v>0</v>
      </c>
      <c r="W74" s="24"/>
      <c r="X74" s="24"/>
      <c r="Y74" s="31"/>
      <c r="Z74" s="24"/>
      <c r="AA74" s="29"/>
      <c r="AB74" s="29"/>
      <c r="AC74" s="24"/>
      <c r="AD74" s="26"/>
      <c r="AE74" s="27"/>
      <c r="AF74" s="26">
        <f t="shared" ref="AF74:AF78" si="37">AD74-AE74</f>
        <v>0</v>
      </c>
      <c r="AH74" s="24"/>
      <c r="AI74" s="24"/>
      <c r="AJ74" s="31"/>
      <c r="AK74" s="24"/>
      <c r="AL74" s="29"/>
      <c r="AM74" s="29"/>
      <c r="AN74" s="24"/>
      <c r="AO74" s="26"/>
      <c r="AP74" s="27"/>
      <c r="AQ74" s="26">
        <f t="shared" ref="AQ74:AQ78" si="38">AO74-AP74</f>
        <v>0</v>
      </c>
      <c r="AS74" s="24"/>
      <c r="AT74" s="24"/>
      <c r="AU74" s="31"/>
      <c r="AV74" s="24"/>
      <c r="AW74" s="29"/>
      <c r="AX74" s="29"/>
      <c r="AY74" s="24"/>
      <c r="AZ74" s="26"/>
      <c r="BA74" s="27"/>
      <c r="BB74" s="26">
        <f t="shared" ref="BB74:BB78" si="39">AZ74-BA74</f>
        <v>0</v>
      </c>
      <c r="BD74" s="24"/>
      <c r="BE74" s="24"/>
      <c r="BF74" s="31"/>
      <c r="BG74" s="24"/>
      <c r="BH74" s="29"/>
      <c r="BI74" s="29"/>
      <c r="BJ74" s="24"/>
      <c r="BK74" s="26"/>
      <c r="BL74" s="27"/>
      <c r="BM74" s="26">
        <f t="shared" ref="BM74:BM78" si="40">BK74-BL74</f>
        <v>0</v>
      </c>
    </row>
    <row r="75" spans="1:65" s="30" customFormat="1" ht="20.100000000000001" customHeight="1" x14ac:dyDescent="0.3">
      <c r="A75" s="24">
        <v>90725</v>
      </c>
      <c r="B75" s="24">
        <v>304</v>
      </c>
      <c r="C75" s="24">
        <v>0.6</v>
      </c>
      <c r="D75" s="24" t="s">
        <v>27</v>
      </c>
      <c r="E75" s="29" t="s">
        <v>33</v>
      </c>
      <c r="F75" s="24"/>
      <c r="G75" s="26"/>
      <c r="H75" s="26">
        <v>1500</v>
      </c>
      <c r="I75" s="27">
        <v>1500</v>
      </c>
      <c r="J75" s="26">
        <f t="shared" si="35"/>
        <v>0</v>
      </c>
      <c r="L75" s="24"/>
      <c r="M75" s="24"/>
      <c r="N75" s="24"/>
      <c r="O75" s="24"/>
      <c r="P75" s="29"/>
      <c r="Q75" s="24"/>
      <c r="R75" s="26"/>
      <c r="S75" s="26"/>
      <c r="T75" s="27"/>
      <c r="U75" s="26">
        <f t="shared" si="36"/>
        <v>0</v>
      </c>
      <c r="W75" s="24"/>
      <c r="X75" s="24"/>
      <c r="Y75" s="31"/>
      <c r="Z75" s="24"/>
      <c r="AA75" s="29"/>
      <c r="AB75" s="29"/>
      <c r="AC75" s="24"/>
      <c r="AD75" s="26"/>
      <c r="AE75" s="27"/>
      <c r="AF75" s="26">
        <f t="shared" si="37"/>
        <v>0</v>
      </c>
      <c r="AH75" s="24"/>
      <c r="AI75" s="24"/>
      <c r="AJ75" s="31"/>
      <c r="AK75" s="24"/>
      <c r="AL75" s="29"/>
      <c r="AM75" s="29"/>
      <c r="AN75" s="24"/>
      <c r="AO75" s="26"/>
      <c r="AP75" s="27"/>
      <c r="AQ75" s="26">
        <f t="shared" si="38"/>
        <v>0</v>
      </c>
      <c r="AS75" s="24"/>
      <c r="AT75" s="24"/>
      <c r="AU75" s="31"/>
      <c r="AV75" s="24"/>
      <c r="AW75" s="29"/>
      <c r="AX75" s="29"/>
      <c r="AY75" s="24"/>
      <c r="AZ75" s="26"/>
      <c r="BA75" s="27"/>
      <c r="BB75" s="26">
        <f t="shared" si="39"/>
        <v>0</v>
      </c>
      <c r="BD75" s="24"/>
      <c r="BE75" s="24"/>
      <c r="BF75" s="31"/>
      <c r="BG75" s="24"/>
      <c r="BH75" s="29"/>
      <c r="BI75" s="29"/>
      <c r="BJ75" s="24"/>
      <c r="BK75" s="26"/>
      <c r="BL75" s="27"/>
      <c r="BM75" s="26">
        <f t="shared" si="40"/>
        <v>0</v>
      </c>
    </row>
    <row r="76" spans="1:65" s="30" customFormat="1" ht="20.100000000000001" customHeight="1" x14ac:dyDescent="0.3">
      <c r="A76" s="24">
        <v>90725</v>
      </c>
      <c r="B76" s="24">
        <v>304</v>
      </c>
      <c r="C76" s="24">
        <v>0.6</v>
      </c>
      <c r="D76" s="24" t="s">
        <v>34</v>
      </c>
      <c r="E76" s="29" t="s">
        <v>35</v>
      </c>
      <c r="F76" s="24"/>
      <c r="G76" s="26"/>
      <c r="H76" s="26">
        <v>1500</v>
      </c>
      <c r="I76" s="27">
        <v>1500</v>
      </c>
      <c r="J76" s="26">
        <f t="shared" si="35"/>
        <v>0</v>
      </c>
      <c r="L76" s="24"/>
      <c r="M76" s="24"/>
      <c r="N76" s="24"/>
      <c r="O76" s="24"/>
      <c r="P76" s="29"/>
      <c r="Q76" s="24"/>
      <c r="R76" s="26"/>
      <c r="S76" s="26"/>
      <c r="T76" s="27"/>
      <c r="U76" s="26">
        <f t="shared" si="36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7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8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39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0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5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6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7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8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39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0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5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6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7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8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39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0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4500</v>
      </c>
      <c r="I79" s="27">
        <f>SUM(I73:I78)</f>
        <v>4500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J22" zoomScale="70" zoomScaleNormal="70" workbookViewId="0">
      <selection activeCell="A31" sqref="A31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664062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664062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6640625" style="1" customWidth="1"/>
    <col min="28" max="28" width="0.77734375" style="1" customWidth="1"/>
    <col min="29" max="32" width="8.21875" style="1" customWidth="1"/>
    <col min="33" max="33" width="2.6640625" customWidth="1"/>
    <col min="34" max="34" width="8.5546875" style="1" customWidth="1"/>
    <col min="35" max="35" width="7.5546875" style="1" customWidth="1"/>
    <col min="36" max="36" width="9.6640625" style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10" style="1" bestFit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319</v>
      </c>
      <c r="AD2" s="84"/>
      <c r="AE2" s="87" t="s">
        <v>320</v>
      </c>
      <c r="AF2" s="88"/>
      <c r="BJ2" s="83" t="s">
        <v>319</v>
      </c>
      <c r="BK2" s="84"/>
      <c r="BL2" s="87" t="s">
        <v>320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29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29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29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29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29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29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31"/>
      <c r="O12" s="31"/>
      <c r="P12" s="29"/>
      <c r="Q12" s="29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31"/>
      <c r="BG12" s="31"/>
      <c r="BH12" s="29"/>
      <c r="BI12" s="29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250069</v>
      </c>
      <c r="B18" s="24">
        <v>304</v>
      </c>
      <c r="C18" s="31">
        <v>0.6</v>
      </c>
      <c r="D18" s="31" t="s">
        <v>41</v>
      </c>
      <c r="E18" s="29" t="s">
        <v>67</v>
      </c>
      <c r="F18" s="29"/>
      <c r="G18" s="24">
        <v>430</v>
      </c>
      <c r="H18" s="26">
        <v>650</v>
      </c>
      <c r="I18" s="27">
        <v>650</v>
      </c>
      <c r="J18" s="26">
        <f>H18-I18</f>
        <v>0</v>
      </c>
      <c r="L18" s="24">
        <v>250068</v>
      </c>
      <c r="M18" s="24">
        <v>304</v>
      </c>
      <c r="N18" s="31">
        <v>0.6</v>
      </c>
      <c r="O18" s="31" t="s">
        <v>41</v>
      </c>
      <c r="P18" s="29" t="s">
        <v>69</v>
      </c>
      <c r="Q18" s="32"/>
      <c r="R18" s="24">
        <v>430</v>
      </c>
      <c r="S18" s="26">
        <v>250</v>
      </c>
      <c r="T18" s="27">
        <v>250</v>
      </c>
      <c r="U18" s="26">
        <f>S18-T18</f>
        <v>0</v>
      </c>
      <c r="W18" s="24">
        <v>250068</v>
      </c>
      <c r="X18" s="24">
        <v>304</v>
      </c>
      <c r="Y18" s="31">
        <v>0.6</v>
      </c>
      <c r="Z18" s="31" t="s">
        <v>41</v>
      </c>
      <c r="AA18" s="29" t="s">
        <v>68</v>
      </c>
      <c r="AB18" s="33"/>
      <c r="AC18" s="24">
        <v>430</v>
      </c>
      <c r="AD18" s="26">
        <v>1450</v>
      </c>
      <c r="AE18" s="27">
        <v>1450</v>
      </c>
      <c r="AF18" s="26">
        <f>AD18-AE18</f>
        <v>0</v>
      </c>
      <c r="AH18" s="24">
        <v>210825</v>
      </c>
      <c r="AI18" s="24">
        <v>430</v>
      </c>
      <c r="AJ18" s="31">
        <v>0.6</v>
      </c>
      <c r="AK18" s="31" t="s">
        <v>41</v>
      </c>
      <c r="AL18" s="29" t="s">
        <v>44</v>
      </c>
      <c r="AM18" s="29"/>
      <c r="AN18" s="24">
        <v>430</v>
      </c>
      <c r="AO18" s="26">
        <v>2200</v>
      </c>
      <c r="AP18" s="27">
        <v>2200</v>
      </c>
      <c r="AQ18" s="26">
        <f>AO18-AP18</f>
        <v>0</v>
      </c>
      <c r="AS18" s="24">
        <v>210825</v>
      </c>
      <c r="AT18" s="24">
        <v>430</v>
      </c>
      <c r="AU18" s="31">
        <v>0.6</v>
      </c>
      <c r="AV18" s="31" t="s">
        <v>41</v>
      </c>
      <c r="AW18" s="29" t="s">
        <v>43</v>
      </c>
      <c r="AX18" s="29"/>
      <c r="AY18" s="24">
        <v>430</v>
      </c>
      <c r="AZ18" s="26">
        <v>2200</v>
      </c>
      <c r="BA18" s="27">
        <v>2200</v>
      </c>
      <c r="BB18" s="26">
        <f>AZ18-BA18</f>
        <v>0</v>
      </c>
      <c r="BD18" s="24">
        <v>210825</v>
      </c>
      <c r="BE18" s="24">
        <v>430</v>
      </c>
      <c r="BF18" s="31">
        <v>0.6</v>
      </c>
      <c r="BG18" s="31" t="s">
        <v>41</v>
      </c>
      <c r="BH18" s="29" t="s">
        <v>43</v>
      </c>
      <c r="BI18" s="29"/>
      <c r="BJ18" s="24">
        <v>430</v>
      </c>
      <c r="BK18" s="26">
        <v>800</v>
      </c>
      <c r="BL18" s="27">
        <v>800</v>
      </c>
      <c r="BM18" s="26">
        <f>BK18-BL18</f>
        <v>0</v>
      </c>
    </row>
    <row r="19" spans="1:65" s="30" customFormat="1" ht="20.100000000000001" customHeight="1" x14ac:dyDescent="0.3">
      <c r="A19" s="24">
        <v>250068</v>
      </c>
      <c r="B19" s="24">
        <v>304</v>
      </c>
      <c r="C19" s="31">
        <v>0.6</v>
      </c>
      <c r="D19" s="31" t="s">
        <v>41</v>
      </c>
      <c r="E19" s="29" t="s">
        <v>69</v>
      </c>
      <c r="F19" s="32"/>
      <c r="G19" s="24">
        <v>430</v>
      </c>
      <c r="H19" s="26">
        <v>1400</v>
      </c>
      <c r="I19" s="27">
        <v>1400</v>
      </c>
      <c r="J19" s="26">
        <f t="shared" ref="J19:J23" si="6">H19-I19</f>
        <v>0</v>
      </c>
      <c r="L19" s="24">
        <v>250069</v>
      </c>
      <c r="M19" s="24">
        <v>304</v>
      </c>
      <c r="N19" s="31">
        <v>0.6</v>
      </c>
      <c r="O19" s="31" t="s">
        <v>41</v>
      </c>
      <c r="P19" s="29" t="s">
        <v>66</v>
      </c>
      <c r="Q19" s="29"/>
      <c r="R19" s="24">
        <v>430</v>
      </c>
      <c r="S19" s="26">
        <v>1650</v>
      </c>
      <c r="T19" s="27">
        <v>1650</v>
      </c>
      <c r="U19" s="26">
        <f t="shared" ref="U19:U23" si="7">S19-T19</f>
        <v>0</v>
      </c>
      <c r="W19" s="24">
        <v>210825</v>
      </c>
      <c r="X19" s="24">
        <v>430</v>
      </c>
      <c r="Y19" s="31">
        <v>0.6</v>
      </c>
      <c r="Z19" s="31" t="s">
        <v>41</v>
      </c>
      <c r="AA19" s="29" t="s">
        <v>44</v>
      </c>
      <c r="AB19" s="29"/>
      <c r="AC19" s="24">
        <v>430</v>
      </c>
      <c r="AD19" s="26">
        <v>800</v>
      </c>
      <c r="AE19" s="27">
        <v>800</v>
      </c>
      <c r="AF19" s="26">
        <f t="shared" ref="AF19:AF23" si="8">AD19-AE19</f>
        <v>0</v>
      </c>
      <c r="AH19" s="24"/>
      <c r="AI19" s="24"/>
      <c r="AJ19" s="31"/>
      <c r="AK19" s="31"/>
      <c r="AL19" s="29"/>
      <c r="AM19" s="29"/>
      <c r="AN19" s="24"/>
      <c r="AO19" s="26"/>
      <c r="AP19" s="27"/>
      <c r="AQ19" s="26">
        <f t="shared" ref="AQ19:AQ23" si="9">AO19-AP19</f>
        <v>0</v>
      </c>
      <c r="AS19" s="24"/>
      <c r="AT19" s="24"/>
      <c r="AU19" s="31"/>
      <c r="AV19" s="31"/>
      <c r="AW19" s="29"/>
      <c r="AX19" s="29"/>
      <c r="AY19" s="24"/>
      <c r="AZ19" s="26"/>
      <c r="BA19" s="27"/>
      <c r="BB19" s="26">
        <f t="shared" ref="BB19:BB23" si="10">AZ19-BA19</f>
        <v>0</v>
      </c>
      <c r="BD19" s="24">
        <v>210825</v>
      </c>
      <c r="BE19" s="24">
        <v>430</v>
      </c>
      <c r="BF19" s="31">
        <v>0.6</v>
      </c>
      <c r="BG19" s="31" t="s">
        <v>41</v>
      </c>
      <c r="BH19" s="29" t="s">
        <v>42</v>
      </c>
      <c r="BI19" s="29"/>
      <c r="BJ19" s="24">
        <v>430</v>
      </c>
      <c r="BK19" s="26">
        <v>750</v>
      </c>
      <c r="BL19" s="27">
        <v>750</v>
      </c>
      <c r="BM19" s="26">
        <f t="shared" ref="BM19:BM23" si="11">BK19-BL19</f>
        <v>0</v>
      </c>
    </row>
    <row r="20" spans="1:65" s="30" customFormat="1" ht="20.100000000000001" customHeight="1" x14ac:dyDescent="0.3">
      <c r="A20" s="24"/>
      <c r="B20" s="24"/>
      <c r="C20" s="31"/>
      <c r="D20" s="31"/>
      <c r="E20" s="29"/>
      <c r="F20" s="29"/>
      <c r="G20" s="24"/>
      <c r="H20" s="26"/>
      <c r="I20" s="27"/>
      <c r="J20" s="26">
        <f t="shared" si="6"/>
        <v>0</v>
      </c>
      <c r="L20" s="24">
        <v>250068</v>
      </c>
      <c r="M20" s="24">
        <v>304</v>
      </c>
      <c r="N20" s="31">
        <v>0.6</v>
      </c>
      <c r="O20" s="31" t="s">
        <v>41</v>
      </c>
      <c r="P20" s="29" t="s">
        <v>68</v>
      </c>
      <c r="Q20" s="33"/>
      <c r="R20" s="24">
        <v>430</v>
      </c>
      <c r="S20" s="26">
        <v>200</v>
      </c>
      <c r="T20" s="27">
        <v>200</v>
      </c>
      <c r="U20" s="26">
        <f t="shared" si="7"/>
        <v>0</v>
      </c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D20" s="24"/>
      <c r="BE20" s="24"/>
      <c r="BF20" s="24"/>
      <c r="BG20" s="24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32"/>
      <c r="G21" s="24"/>
      <c r="H21" s="26"/>
      <c r="I21" s="27"/>
      <c r="J21" s="26">
        <f t="shared" si="6"/>
        <v>0</v>
      </c>
      <c r="L21" s="24"/>
      <c r="M21" s="24"/>
      <c r="N21" s="31"/>
      <c r="O21" s="31"/>
      <c r="P21" s="29"/>
      <c r="Q21" s="29"/>
      <c r="R21" s="24"/>
      <c r="S21" s="26"/>
      <c r="T21" s="27"/>
      <c r="U21" s="26">
        <f t="shared" si="7"/>
        <v>0</v>
      </c>
      <c r="W21" s="24"/>
      <c r="X21" s="24"/>
      <c r="Y21" s="31"/>
      <c r="Z21" s="31"/>
      <c r="AA21" s="29"/>
      <c r="AB21" s="29"/>
      <c r="AC21" s="24"/>
      <c r="AD21" s="26"/>
      <c r="AE21" s="27"/>
      <c r="AF21" s="26">
        <f t="shared" si="8"/>
        <v>0</v>
      </c>
      <c r="AH21" s="24"/>
      <c r="AI21" s="24"/>
      <c r="AJ21" s="31"/>
      <c r="AK21" s="31"/>
      <c r="AL21" s="29"/>
      <c r="AM21" s="29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29"/>
      <c r="AY21" s="24"/>
      <c r="AZ21" s="26"/>
      <c r="BA21" s="27"/>
      <c r="BB21" s="26">
        <f t="shared" si="10"/>
        <v>0</v>
      </c>
      <c r="BD21" s="24"/>
      <c r="BE21" s="24"/>
      <c r="BF21" s="24"/>
      <c r="BG21" s="24"/>
      <c r="BH21" s="29"/>
      <c r="BI21" s="29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32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29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29"/>
      <c r="AY22" s="24"/>
      <c r="AZ22" s="26"/>
      <c r="BA22" s="27"/>
      <c r="BB22" s="26">
        <f t="shared" si="10"/>
        <v>0</v>
      </c>
      <c r="BD22" s="24"/>
      <c r="BE22" s="24"/>
      <c r="BF22" s="24"/>
      <c r="BG22" s="24"/>
      <c r="BH22" s="29"/>
      <c r="BI22" s="29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31"/>
      <c r="D23" s="31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31"/>
      <c r="O23" s="31"/>
      <c r="P23" s="29"/>
      <c r="Q23" s="29"/>
      <c r="R23" s="24"/>
      <c r="S23" s="26"/>
      <c r="T23" s="27"/>
      <c r="U23" s="26">
        <f t="shared" si="7"/>
        <v>0</v>
      </c>
      <c r="W23" s="24"/>
      <c r="X23" s="24"/>
      <c r="Y23" s="24"/>
      <c r="Z23" s="24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29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29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29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2050</v>
      </c>
      <c r="I24" s="27">
        <f>SUM(I18:I23)</f>
        <v>2050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2100</v>
      </c>
      <c r="T24" s="27">
        <f>SUM(T18:T23)</f>
        <v>2100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2250</v>
      </c>
      <c r="AE24" s="27">
        <f>SUM(AE18:AE23)</f>
        <v>2250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2200</v>
      </c>
      <c r="AP24" s="27">
        <f>SUM(AP18:AP23)</f>
        <v>2200</v>
      </c>
      <c r="AQ24" s="26">
        <f>SUM(AQ18:AQ23)</f>
        <v>0</v>
      </c>
      <c r="AS24" s="34"/>
      <c r="AT24" s="34"/>
      <c r="AU24" s="34"/>
      <c r="AV24" s="34"/>
      <c r="AW24" s="35"/>
      <c r="AX24" s="35"/>
      <c r="AY24" s="36"/>
      <c r="AZ24" s="26">
        <f>SUM(AZ18:AZ23)</f>
        <v>2200</v>
      </c>
      <c r="BA24" s="27">
        <f>SUM(BA18:BA23)</f>
        <v>2200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1550</v>
      </c>
      <c r="BL24" s="27">
        <f>SUM(BL18:BL23)</f>
        <v>1550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250061</v>
      </c>
      <c r="B29" s="24">
        <v>304</v>
      </c>
      <c r="C29" s="31">
        <v>0.6</v>
      </c>
      <c r="D29" s="31"/>
      <c r="E29" s="29" t="s">
        <v>418</v>
      </c>
      <c r="F29" s="32"/>
      <c r="G29" s="24"/>
      <c r="H29" s="26">
        <v>540</v>
      </c>
      <c r="I29" s="27"/>
      <c r="J29" s="26">
        <f>H29-I29</f>
        <v>540</v>
      </c>
      <c r="L29" s="24">
        <v>250061</v>
      </c>
      <c r="M29" s="24">
        <v>304</v>
      </c>
      <c r="N29" s="31">
        <v>0.6</v>
      </c>
      <c r="O29" s="31"/>
      <c r="P29" s="29" t="s">
        <v>417</v>
      </c>
      <c r="Q29" s="29"/>
      <c r="R29" s="24"/>
      <c r="S29" s="26">
        <v>540</v>
      </c>
      <c r="T29" s="27">
        <v>540</v>
      </c>
      <c r="U29" s="26">
        <f>S29-T29</f>
        <v>0</v>
      </c>
      <c r="W29" s="24">
        <v>250055</v>
      </c>
      <c r="X29" s="24">
        <v>304</v>
      </c>
      <c r="Y29" s="31">
        <v>0.6</v>
      </c>
      <c r="Z29" s="31"/>
      <c r="AA29" s="29" t="s">
        <v>425</v>
      </c>
      <c r="AB29" s="29"/>
      <c r="AC29" s="24"/>
      <c r="AD29" s="26">
        <v>830</v>
      </c>
      <c r="AE29" s="27">
        <v>830</v>
      </c>
      <c r="AF29" s="26">
        <f>AD29-AE29</f>
        <v>0</v>
      </c>
      <c r="AH29" s="24">
        <v>250055</v>
      </c>
      <c r="AI29" s="24">
        <v>304</v>
      </c>
      <c r="AJ29" s="31">
        <v>0.6</v>
      </c>
      <c r="AK29" s="31"/>
      <c r="AL29" s="29" t="s">
        <v>424</v>
      </c>
      <c r="AM29" s="29"/>
      <c r="AN29" s="24"/>
      <c r="AO29" s="26">
        <v>830</v>
      </c>
      <c r="AP29" s="27">
        <v>830</v>
      </c>
      <c r="AQ29" s="26">
        <f>AO29-AP29</f>
        <v>0</v>
      </c>
      <c r="AS29" s="24">
        <v>250057</v>
      </c>
      <c r="AT29" s="24">
        <v>304</v>
      </c>
      <c r="AU29" s="31">
        <v>0.6</v>
      </c>
      <c r="AV29" s="31"/>
      <c r="AW29" s="29" t="s">
        <v>413</v>
      </c>
      <c r="AX29" s="33"/>
      <c r="AY29" s="24"/>
      <c r="AZ29" s="26">
        <v>410</v>
      </c>
      <c r="BA29" s="27">
        <v>410</v>
      </c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>
        <v>250055</v>
      </c>
      <c r="B30" s="24">
        <v>304</v>
      </c>
      <c r="C30" s="31">
        <v>0.6</v>
      </c>
      <c r="D30" s="31"/>
      <c r="E30" s="29" t="s">
        <v>428</v>
      </c>
      <c r="F30" s="33"/>
      <c r="G30" s="24"/>
      <c r="H30" s="26">
        <v>830</v>
      </c>
      <c r="I30" s="27"/>
      <c r="J30" s="26">
        <f t="shared" ref="J30:J34" si="12">H30-I30</f>
        <v>830</v>
      </c>
      <c r="L30" s="24">
        <v>250057</v>
      </c>
      <c r="M30" s="24">
        <v>304</v>
      </c>
      <c r="N30" s="31">
        <v>0.6</v>
      </c>
      <c r="O30" s="31"/>
      <c r="P30" s="29" t="s">
        <v>411</v>
      </c>
      <c r="Q30" s="29"/>
      <c r="R30" s="24"/>
      <c r="S30" s="26">
        <v>410</v>
      </c>
      <c r="T30" s="27">
        <v>410</v>
      </c>
      <c r="U30" s="26">
        <f t="shared" ref="U30:U34" si="13">S30-T30</f>
        <v>0</v>
      </c>
      <c r="W30" s="24">
        <v>250052</v>
      </c>
      <c r="X30" s="24">
        <v>304</v>
      </c>
      <c r="Y30" s="31">
        <v>0.6</v>
      </c>
      <c r="Z30" s="31"/>
      <c r="AA30" s="29" t="s">
        <v>420</v>
      </c>
      <c r="AB30" s="29"/>
      <c r="AC30" s="24"/>
      <c r="AD30" s="26">
        <v>800</v>
      </c>
      <c r="AE30" s="27">
        <v>800</v>
      </c>
      <c r="AF30" s="26">
        <f t="shared" ref="AF30:AF34" si="14">AD30-AE30</f>
        <v>0</v>
      </c>
      <c r="AH30" s="24">
        <v>250052</v>
      </c>
      <c r="AI30" s="24">
        <v>304</v>
      </c>
      <c r="AJ30" s="31">
        <v>0.6</v>
      </c>
      <c r="AK30" s="31"/>
      <c r="AL30" s="29" t="s">
        <v>419</v>
      </c>
      <c r="AM30" s="29"/>
      <c r="AN30" s="24"/>
      <c r="AO30" s="26">
        <v>800</v>
      </c>
      <c r="AP30" s="27">
        <v>170</v>
      </c>
      <c r="AQ30" s="26">
        <f t="shared" ref="AQ30:AQ34" si="15">AO30-AP30</f>
        <v>630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>
        <v>250057</v>
      </c>
      <c r="B31" s="24">
        <v>304</v>
      </c>
      <c r="C31" s="31">
        <v>0.6</v>
      </c>
      <c r="D31" s="31"/>
      <c r="E31" s="29" t="s">
        <v>412</v>
      </c>
      <c r="F31" s="32"/>
      <c r="G31" s="24"/>
      <c r="H31" s="26">
        <v>410</v>
      </c>
      <c r="I31" s="27"/>
      <c r="J31" s="26">
        <f t="shared" si="12"/>
        <v>410</v>
      </c>
      <c r="L31" s="24">
        <v>250052</v>
      </c>
      <c r="M31" s="24">
        <v>304</v>
      </c>
      <c r="N31" s="31">
        <v>0.6</v>
      </c>
      <c r="O31" s="31"/>
      <c r="P31" s="29" t="s">
        <v>422</v>
      </c>
      <c r="Q31" s="32"/>
      <c r="R31" s="24"/>
      <c r="S31" s="26">
        <v>800</v>
      </c>
      <c r="T31" s="27">
        <v>800</v>
      </c>
      <c r="U31" s="26">
        <f t="shared" si="13"/>
        <v>0</v>
      </c>
      <c r="W31" s="24">
        <v>250057</v>
      </c>
      <c r="X31" s="24">
        <v>304</v>
      </c>
      <c r="Y31" s="31">
        <v>0.6</v>
      </c>
      <c r="Z31" s="31"/>
      <c r="AA31" s="29" t="s">
        <v>410</v>
      </c>
      <c r="AB31" s="29"/>
      <c r="AC31" s="24"/>
      <c r="AD31" s="26">
        <v>410</v>
      </c>
      <c r="AE31" s="27">
        <v>410</v>
      </c>
      <c r="AF31" s="26">
        <f t="shared" si="14"/>
        <v>0</v>
      </c>
      <c r="AH31" s="24">
        <v>250061</v>
      </c>
      <c r="AI31" s="24">
        <v>304</v>
      </c>
      <c r="AJ31" s="31">
        <v>0.6</v>
      </c>
      <c r="AK31" s="31"/>
      <c r="AL31" s="29" t="s">
        <v>415</v>
      </c>
      <c r="AM31" s="29"/>
      <c r="AN31" s="24"/>
      <c r="AO31" s="26">
        <v>540</v>
      </c>
      <c r="AP31" s="27"/>
      <c r="AQ31" s="26">
        <f t="shared" si="15"/>
        <v>540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32"/>
      <c r="G32" s="24"/>
      <c r="H32" s="26"/>
      <c r="I32" s="27"/>
      <c r="J32" s="26">
        <f t="shared" si="12"/>
        <v>0</v>
      </c>
      <c r="L32" s="24">
        <v>250055</v>
      </c>
      <c r="M32" s="24">
        <v>304</v>
      </c>
      <c r="N32" s="31">
        <v>0.6</v>
      </c>
      <c r="O32" s="31"/>
      <c r="P32" s="29" t="s">
        <v>427</v>
      </c>
      <c r="Q32" s="32"/>
      <c r="R32" s="24"/>
      <c r="S32" s="26">
        <v>830</v>
      </c>
      <c r="T32" s="27">
        <v>830</v>
      </c>
      <c r="U32" s="26">
        <f t="shared" si="13"/>
        <v>0</v>
      </c>
      <c r="W32" s="24">
        <v>250061</v>
      </c>
      <c r="X32" s="24">
        <v>304</v>
      </c>
      <c r="Y32" s="31">
        <v>0.6</v>
      </c>
      <c r="Z32" s="31"/>
      <c r="AA32" s="29" t="s">
        <v>416</v>
      </c>
      <c r="AB32" s="29"/>
      <c r="AC32" s="24"/>
      <c r="AD32" s="26">
        <v>540</v>
      </c>
      <c r="AE32" s="27">
        <v>540</v>
      </c>
      <c r="AF32" s="26">
        <f t="shared" si="14"/>
        <v>0</v>
      </c>
      <c r="AH32" s="24">
        <v>250057</v>
      </c>
      <c r="AI32" s="24">
        <v>304</v>
      </c>
      <c r="AJ32" s="31">
        <v>0.6</v>
      </c>
      <c r="AK32" s="31"/>
      <c r="AL32" s="29" t="s">
        <v>409</v>
      </c>
      <c r="AM32" s="29"/>
      <c r="AN32" s="24"/>
      <c r="AO32" s="26">
        <v>410</v>
      </c>
      <c r="AP32" s="27"/>
      <c r="AQ32" s="26">
        <f t="shared" si="15"/>
        <v>410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33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31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31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24"/>
      <c r="Z34" s="24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24"/>
      <c r="AV34" s="24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1780</v>
      </c>
      <c r="I35" s="27">
        <f>SUM(I29:I34)</f>
        <v>0</v>
      </c>
      <c r="J35" s="26">
        <f>SUM(J29:J34)</f>
        <v>1780</v>
      </c>
      <c r="L35" s="34"/>
      <c r="M35" s="34"/>
      <c r="N35" s="34"/>
      <c r="O35" s="34"/>
      <c r="P35" s="35"/>
      <c r="Q35" s="35"/>
      <c r="R35" s="36"/>
      <c r="S35" s="26">
        <f>SUM(S29:S34)</f>
        <v>2580</v>
      </c>
      <c r="T35" s="27">
        <f>SUM(T29:T34)</f>
        <v>2580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2580</v>
      </c>
      <c r="AE35" s="27">
        <f>SUM(AE29:AE34)</f>
        <v>2580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2580</v>
      </c>
      <c r="AP35" s="27">
        <f>SUM(AP29:AP34)</f>
        <v>1000</v>
      </c>
      <c r="AQ35" s="26">
        <f>SUM(AQ29:AQ34)</f>
        <v>1580</v>
      </c>
      <c r="AS35" s="34"/>
      <c r="AT35" s="34"/>
      <c r="AU35" s="34"/>
      <c r="AV35" s="34"/>
      <c r="AW35" s="35"/>
      <c r="AX35" s="35"/>
      <c r="AY35" s="36"/>
      <c r="AZ35" s="26">
        <f>SUM(AZ29:AZ34)</f>
        <v>410</v>
      </c>
      <c r="BA35" s="27">
        <f>SUM(BA29:BA34)</f>
        <v>410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10925</v>
      </c>
      <c r="B40" s="24">
        <v>304</v>
      </c>
      <c r="C40" s="24">
        <v>0.8</v>
      </c>
      <c r="D40" s="24">
        <v>430</v>
      </c>
      <c r="E40" s="29" t="s">
        <v>288</v>
      </c>
      <c r="F40" s="29"/>
      <c r="G40" s="24">
        <v>430</v>
      </c>
      <c r="H40" s="26">
        <v>1500</v>
      </c>
      <c r="I40" s="27">
        <v>1500</v>
      </c>
      <c r="J40" s="26">
        <f>H40-I40</f>
        <v>0</v>
      </c>
      <c r="L40" s="24">
        <v>10925</v>
      </c>
      <c r="M40" s="24">
        <v>430</v>
      </c>
      <c r="N40" s="31">
        <v>0.8</v>
      </c>
      <c r="O40" s="26"/>
      <c r="P40" s="29" t="s">
        <v>287</v>
      </c>
      <c r="Q40" s="29"/>
      <c r="R40" s="24"/>
      <c r="S40" s="26">
        <v>2000</v>
      </c>
      <c r="T40" s="27">
        <v>2000</v>
      </c>
      <c r="U40" s="26">
        <f>S40-T40</f>
        <v>0</v>
      </c>
      <c r="W40" s="24">
        <v>10925</v>
      </c>
      <c r="X40" s="24">
        <v>430</v>
      </c>
      <c r="Y40" s="31">
        <v>0.8</v>
      </c>
      <c r="Z40" s="26"/>
      <c r="AA40" s="29" t="s">
        <v>287</v>
      </c>
      <c r="AB40" s="29"/>
      <c r="AC40" s="24"/>
      <c r="AD40" s="26">
        <v>800</v>
      </c>
      <c r="AE40" s="27">
        <v>800</v>
      </c>
      <c r="AF40" s="26">
        <f>AD40-AE40</f>
        <v>0</v>
      </c>
      <c r="AH40" s="24">
        <v>10925</v>
      </c>
      <c r="AI40" s="24">
        <v>304</v>
      </c>
      <c r="AJ40" s="31">
        <v>0.8</v>
      </c>
      <c r="AK40" s="24"/>
      <c r="AL40" s="29" t="s">
        <v>289</v>
      </c>
      <c r="AM40" s="29"/>
      <c r="AN40" s="24"/>
      <c r="AO40" s="26">
        <v>2000</v>
      </c>
      <c r="AP40" s="27">
        <v>2000</v>
      </c>
      <c r="AQ40" s="26">
        <f>AO40-AP40</f>
        <v>0</v>
      </c>
      <c r="AS40" s="44">
        <v>100925</v>
      </c>
      <c r="AT40" s="44">
        <v>304</v>
      </c>
      <c r="AU40" s="45">
        <v>0.9</v>
      </c>
      <c r="AV40" s="46">
        <v>430</v>
      </c>
      <c r="AW40" s="32" t="s">
        <v>408</v>
      </c>
      <c r="AX40" s="29"/>
      <c r="AY40" s="44">
        <v>430</v>
      </c>
      <c r="AZ40" s="46">
        <v>1200</v>
      </c>
      <c r="BA40" s="27">
        <v>1200</v>
      </c>
      <c r="BB40" s="26">
        <f>AZ40-BA40</f>
        <v>0</v>
      </c>
      <c r="BD40" s="44">
        <v>100925</v>
      </c>
      <c r="BE40" s="44">
        <v>304</v>
      </c>
      <c r="BF40" s="45">
        <v>0.9</v>
      </c>
      <c r="BG40" s="46">
        <v>430</v>
      </c>
      <c r="BH40" s="32" t="s">
        <v>294</v>
      </c>
      <c r="BI40" s="32"/>
      <c r="BJ40" s="44">
        <v>430</v>
      </c>
      <c r="BK40" s="46">
        <v>400</v>
      </c>
      <c r="BL40" s="27">
        <v>480</v>
      </c>
      <c r="BM40" s="26">
        <f>BK40-BL40</f>
        <v>-80</v>
      </c>
    </row>
    <row r="41" spans="1:65" s="30" customFormat="1" ht="20.100000000000001" customHeight="1" x14ac:dyDescent="0.3">
      <c r="A41" s="24">
        <v>10925</v>
      </c>
      <c r="B41" s="24">
        <v>430</v>
      </c>
      <c r="C41" s="31">
        <v>0.8</v>
      </c>
      <c r="D41" s="26"/>
      <c r="E41" s="29" t="s">
        <v>287</v>
      </c>
      <c r="F41" s="29"/>
      <c r="G41" s="24"/>
      <c r="H41" s="26">
        <v>500</v>
      </c>
      <c r="I41" s="27">
        <v>500</v>
      </c>
      <c r="J41" s="26">
        <f t="shared" ref="J41:J45" si="18">H41-I41</f>
        <v>0</v>
      </c>
      <c r="L41" s="44"/>
      <c r="M41" s="44"/>
      <c r="N41" s="45"/>
      <c r="O41" s="46"/>
      <c r="P41" s="32"/>
      <c r="Q41" s="32"/>
      <c r="R41" s="44"/>
      <c r="S41" s="46"/>
      <c r="T41" s="27"/>
      <c r="U41" s="26">
        <f t="shared" ref="U41:U45" si="19">S41-T41</f>
        <v>0</v>
      </c>
      <c r="W41" s="24">
        <v>10925</v>
      </c>
      <c r="X41" s="24">
        <v>304</v>
      </c>
      <c r="Y41" s="31">
        <v>0.8</v>
      </c>
      <c r="Z41" s="24"/>
      <c r="AA41" s="29" t="s">
        <v>289</v>
      </c>
      <c r="AB41" s="29"/>
      <c r="AC41" s="24"/>
      <c r="AD41" s="26">
        <v>1200</v>
      </c>
      <c r="AE41" s="27">
        <v>1200</v>
      </c>
      <c r="AF41" s="26">
        <f t="shared" ref="AF41:AF45" si="20">AD41-AE41</f>
        <v>0</v>
      </c>
      <c r="AH41" s="44">
        <v>250074</v>
      </c>
      <c r="AI41" s="44">
        <v>304</v>
      </c>
      <c r="AJ41" s="45">
        <v>0.7</v>
      </c>
      <c r="AK41" s="45" t="s">
        <v>27</v>
      </c>
      <c r="AL41" s="32" t="s">
        <v>47</v>
      </c>
      <c r="AM41" s="29"/>
      <c r="AN41" s="44">
        <v>430</v>
      </c>
      <c r="AO41" s="46">
        <v>708</v>
      </c>
      <c r="AP41" s="27">
        <v>708</v>
      </c>
      <c r="AQ41" s="26">
        <f t="shared" ref="AQ41:AQ45" si="21">AO41-AP41</f>
        <v>0</v>
      </c>
      <c r="AS41" s="44">
        <v>100925</v>
      </c>
      <c r="AT41" s="44">
        <v>304</v>
      </c>
      <c r="AU41" s="45">
        <v>0.9</v>
      </c>
      <c r="AV41" s="46">
        <v>430</v>
      </c>
      <c r="AW41" s="32" t="s">
        <v>294</v>
      </c>
      <c r="AX41" s="32"/>
      <c r="AY41" s="44">
        <v>430</v>
      </c>
      <c r="AZ41" s="46">
        <v>800</v>
      </c>
      <c r="BA41" s="27">
        <f>300+500</f>
        <v>800</v>
      </c>
      <c r="BB41" s="26">
        <f t="shared" ref="BB41:BB45" si="22">AZ41-BA41</f>
        <v>0</v>
      </c>
      <c r="BD41" s="44">
        <v>100925</v>
      </c>
      <c r="BE41" s="44">
        <v>304</v>
      </c>
      <c r="BF41" s="45">
        <v>0.9</v>
      </c>
      <c r="BG41" s="46">
        <v>430</v>
      </c>
      <c r="BH41" s="32" t="s">
        <v>291</v>
      </c>
      <c r="BI41" s="32"/>
      <c r="BJ41" s="44">
        <v>430</v>
      </c>
      <c r="BK41" s="46">
        <v>500</v>
      </c>
      <c r="BL41" s="27">
        <v>250</v>
      </c>
      <c r="BM41" s="26">
        <f t="shared" ref="BM41:BM45" si="23">BK41-BL41</f>
        <v>250</v>
      </c>
    </row>
    <row r="42" spans="1:65" s="30" customFormat="1" ht="20.100000000000001" customHeight="1" x14ac:dyDescent="0.3">
      <c r="A42" s="44"/>
      <c r="B42" s="44"/>
      <c r="C42" s="45"/>
      <c r="D42" s="45"/>
      <c r="E42" s="32"/>
      <c r="F42" s="32"/>
      <c r="G42" s="44"/>
      <c r="H42" s="46"/>
      <c r="I42" s="27"/>
      <c r="J42" s="26">
        <f t="shared" si="18"/>
        <v>0</v>
      </c>
      <c r="L42" s="24"/>
      <c r="M42" s="24"/>
      <c r="N42" s="24"/>
      <c r="O42" s="24"/>
      <c r="P42" s="29"/>
      <c r="Q42" s="32"/>
      <c r="R42" s="24"/>
      <c r="S42" s="26"/>
      <c r="T42" s="27"/>
      <c r="U42" s="26">
        <f t="shared" si="19"/>
        <v>0</v>
      </c>
      <c r="W42" s="44"/>
      <c r="X42" s="44"/>
      <c r="Y42" s="45"/>
      <c r="Z42" s="46"/>
      <c r="AA42" s="32"/>
      <c r="AB42" s="29"/>
      <c r="AC42" s="44"/>
      <c r="AD42" s="46"/>
      <c r="AE42" s="27"/>
      <c r="AF42" s="26">
        <f t="shared" si="20"/>
        <v>0</v>
      </c>
      <c r="AH42" s="44">
        <v>250074</v>
      </c>
      <c r="AI42" s="44">
        <v>304</v>
      </c>
      <c r="AJ42" s="45">
        <v>0.7</v>
      </c>
      <c r="AK42" s="45" t="s">
        <v>27</v>
      </c>
      <c r="AL42" s="32" t="s">
        <v>48</v>
      </c>
      <c r="AM42" s="29"/>
      <c r="AN42" s="44">
        <v>430</v>
      </c>
      <c r="AO42" s="46">
        <v>708</v>
      </c>
      <c r="AP42" s="27">
        <v>708</v>
      </c>
      <c r="AQ42" s="26">
        <f t="shared" si="21"/>
        <v>0</v>
      </c>
      <c r="AS42" s="44"/>
      <c r="AT42" s="44"/>
      <c r="AU42" s="45"/>
      <c r="AV42" s="46"/>
      <c r="AW42" s="32"/>
      <c r="AX42" s="29"/>
      <c r="AY42" s="44"/>
      <c r="AZ42" s="46"/>
      <c r="BA42" s="27"/>
      <c r="BB42" s="26">
        <f t="shared" si="22"/>
        <v>0</v>
      </c>
      <c r="BD42" s="24"/>
      <c r="BE42" s="24"/>
      <c r="BF42" s="24"/>
      <c r="BG42" s="24"/>
      <c r="BH42" s="29"/>
      <c r="BI42" s="32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24"/>
      <c r="D43" s="24"/>
      <c r="E43" s="29"/>
      <c r="F43" s="29"/>
      <c r="G43" s="24"/>
      <c r="H43" s="26"/>
      <c r="I43" s="27"/>
      <c r="J43" s="26">
        <f t="shared" si="18"/>
        <v>0</v>
      </c>
      <c r="L43" s="24"/>
      <c r="M43" s="24"/>
      <c r="N43" s="24"/>
      <c r="O43" s="24"/>
      <c r="P43" s="29"/>
      <c r="Q43" s="29"/>
      <c r="R43" s="24"/>
      <c r="S43" s="26"/>
      <c r="T43" s="27"/>
      <c r="U43" s="26">
        <f t="shared" si="19"/>
        <v>0</v>
      </c>
      <c r="W43" s="44"/>
      <c r="X43" s="44"/>
      <c r="Y43" s="45"/>
      <c r="Z43" s="46"/>
      <c r="AA43" s="32"/>
      <c r="AB43" s="32"/>
      <c r="AC43" s="44"/>
      <c r="AD43" s="46"/>
      <c r="AE43" s="27"/>
      <c r="AF43" s="26">
        <f t="shared" si="20"/>
        <v>0</v>
      </c>
      <c r="AH43" s="44">
        <v>250074</v>
      </c>
      <c r="AI43" s="44">
        <v>304</v>
      </c>
      <c r="AJ43" s="45">
        <v>0.7</v>
      </c>
      <c r="AK43" s="45" t="s">
        <v>27</v>
      </c>
      <c r="AL43" s="32" t="s">
        <v>49</v>
      </c>
      <c r="AM43" s="29"/>
      <c r="AN43" s="44">
        <v>430</v>
      </c>
      <c r="AO43" s="46">
        <v>708</v>
      </c>
      <c r="AP43" s="27">
        <v>708</v>
      </c>
      <c r="AQ43" s="26">
        <f t="shared" si="21"/>
        <v>0</v>
      </c>
      <c r="AS43" s="44"/>
      <c r="AT43" s="44"/>
      <c r="AU43" s="45"/>
      <c r="AV43" s="46"/>
      <c r="AW43" s="32"/>
      <c r="AX43" s="32"/>
      <c r="AY43" s="44"/>
      <c r="AZ43" s="46"/>
      <c r="BA43" s="27"/>
      <c r="BB43" s="26">
        <f t="shared" si="22"/>
        <v>0</v>
      </c>
      <c r="BD43" s="24"/>
      <c r="BE43" s="24"/>
      <c r="BF43" s="24"/>
      <c r="BG43" s="24"/>
      <c r="BH43" s="29"/>
      <c r="BI43" s="29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24"/>
      <c r="D44" s="24"/>
      <c r="E44" s="29"/>
      <c r="F44" s="29"/>
      <c r="G44" s="24"/>
      <c r="H44" s="26"/>
      <c r="I44" s="27"/>
      <c r="J44" s="26">
        <f t="shared" si="18"/>
        <v>0</v>
      </c>
      <c r="L44" s="24"/>
      <c r="M44" s="24"/>
      <c r="N44" s="24"/>
      <c r="O44" s="24"/>
      <c r="P44" s="29"/>
      <c r="Q44" s="29"/>
      <c r="R44" s="24"/>
      <c r="S44" s="26"/>
      <c r="T44" s="27"/>
      <c r="U44" s="26">
        <f t="shared" si="19"/>
        <v>0</v>
      </c>
      <c r="W44" s="24"/>
      <c r="X44" s="24"/>
      <c r="Y44" s="24"/>
      <c r="Z44" s="24"/>
      <c r="AA44" s="29"/>
      <c r="AB44" s="29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29"/>
      <c r="AN44" s="24"/>
      <c r="AO44" s="26"/>
      <c r="AP44" s="27"/>
      <c r="AQ44" s="26">
        <f t="shared" si="21"/>
        <v>0</v>
      </c>
      <c r="AS44" s="24"/>
      <c r="AT44" s="24"/>
      <c r="AU44" s="31"/>
      <c r="AV44" s="24"/>
      <c r="AW44" s="29"/>
      <c r="AX44" s="29"/>
      <c r="AY44" s="24"/>
      <c r="AZ44" s="26"/>
      <c r="BA44" s="27"/>
      <c r="BB44" s="26">
        <f t="shared" si="22"/>
        <v>0</v>
      </c>
      <c r="BD44" s="24"/>
      <c r="BE44" s="24"/>
      <c r="BF44" s="24"/>
      <c r="BG44" s="24"/>
      <c r="BH44" s="29"/>
      <c r="BI44" s="29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29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29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29"/>
      <c r="AC45" s="24"/>
      <c r="AD45" s="26"/>
      <c r="AE45" s="27"/>
      <c r="AF45" s="26">
        <f t="shared" si="20"/>
        <v>0</v>
      </c>
      <c r="AH45" s="44"/>
      <c r="AI45" s="44"/>
      <c r="AJ45" s="45"/>
      <c r="AK45" s="46"/>
      <c r="AL45" s="32"/>
      <c r="AM45" s="32"/>
      <c r="AN45" s="44"/>
      <c r="AO45" s="46"/>
      <c r="AP45" s="27"/>
      <c r="AQ45" s="26">
        <f t="shared" si="21"/>
        <v>0</v>
      </c>
      <c r="AS45" s="44"/>
      <c r="AT45" s="44"/>
      <c r="AU45" s="45"/>
      <c r="AV45" s="46"/>
      <c r="AW45" s="32"/>
      <c r="AX45" s="32"/>
      <c r="AY45" s="44"/>
      <c r="AZ45" s="46"/>
      <c r="BA45" s="27"/>
      <c r="BB45" s="26">
        <f t="shared" si="22"/>
        <v>0</v>
      </c>
      <c r="BD45" s="24"/>
      <c r="BE45" s="24"/>
      <c r="BF45" s="24"/>
      <c r="BG45" s="24"/>
      <c r="BH45" s="29"/>
      <c r="BI45" s="29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2000</v>
      </c>
      <c r="I46" s="27">
        <f>SUM(I40:I45)</f>
        <v>2000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2000</v>
      </c>
      <c r="T46" s="27">
        <f>SUM(T40:T45)</f>
        <v>2000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2000</v>
      </c>
      <c r="AE46" s="27">
        <f>SUM(AE40:AE45)</f>
        <v>2000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4124</v>
      </c>
      <c r="AP46" s="27">
        <f>SUM(AP40:AP45)</f>
        <v>4124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2000</v>
      </c>
      <c r="BA46" s="27">
        <f>SUM(BA40:BA45)</f>
        <v>2000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900</v>
      </c>
      <c r="BL46" s="27">
        <f>SUM(BL40:BL45)</f>
        <v>730</v>
      </c>
      <c r="BM46" s="26">
        <f>SUM(BM40:BM45)</f>
        <v>170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>
        <v>10925</v>
      </c>
      <c r="B51" s="24">
        <v>304</v>
      </c>
      <c r="C51" s="24">
        <v>0.8</v>
      </c>
      <c r="D51" s="24">
        <v>430</v>
      </c>
      <c r="E51" s="29" t="s">
        <v>288</v>
      </c>
      <c r="F51" s="29"/>
      <c r="G51" s="24">
        <v>430</v>
      </c>
      <c r="H51" s="26">
        <v>1500</v>
      </c>
      <c r="I51" s="27">
        <v>1500</v>
      </c>
      <c r="J51" s="26">
        <f>H51-I51</f>
        <v>0</v>
      </c>
      <c r="L51" s="24">
        <v>10925</v>
      </c>
      <c r="M51" s="24">
        <v>430</v>
      </c>
      <c r="N51" s="31">
        <v>0.8</v>
      </c>
      <c r="O51" s="26"/>
      <c r="P51" s="29" t="s">
        <v>287</v>
      </c>
      <c r="Q51" s="29"/>
      <c r="R51" s="24"/>
      <c r="S51" s="26">
        <v>2000</v>
      </c>
      <c r="T51" s="27">
        <v>2000</v>
      </c>
      <c r="U51" s="26">
        <f>S51-T51</f>
        <v>0</v>
      </c>
      <c r="W51" s="24">
        <v>10925</v>
      </c>
      <c r="X51" s="24">
        <v>430</v>
      </c>
      <c r="Y51" s="31">
        <v>0.8</v>
      </c>
      <c r="Z51" s="26"/>
      <c r="AA51" s="29" t="s">
        <v>287</v>
      </c>
      <c r="AB51" s="29"/>
      <c r="AC51" s="24"/>
      <c r="AD51" s="26">
        <v>800</v>
      </c>
      <c r="AE51" s="27">
        <v>800</v>
      </c>
      <c r="AF51" s="26">
        <f>AD51-AE51</f>
        <v>0</v>
      </c>
      <c r="AH51" s="24">
        <v>10925</v>
      </c>
      <c r="AI51" s="24">
        <v>304</v>
      </c>
      <c r="AJ51" s="31">
        <v>0.8</v>
      </c>
      <c r="AK51" s="24"/>
      <c r="AL51" s="29" t="s">
        <v>289</v>
      </c>
      <c r="AM51" s="29"/>
      <c r="AN51" s="24"/>
      <c r="AO51" s="26">
        <v>2000</v>
      </c>
      <c r="AP51" s="27">
        <v>2000</v>
      </c>
      <c r="AQ51" s="26">
        <f>AO51-AP51</f>
        <v>0</v>
      </c>
      <c r="AS51" s="44">
        <v>100925</v>
      </c>
      <c r="AT51" s="44">
        <v>304</v>
      </c>
      <c r="AU51" s="45">
        <v>0.9</v>
      </c>
      <c r="AV51" s="46">
        <v>430</v>
      </c>
      <c r="AW51" s="32" t="s">
        <v>408</v>
      </c>
      <c r="AX51" s="29"/>
      <c r="AY51" s="44">
        <v>430</v>
      </c>
      <c r="AZ51" s="46">
        <v>1200</v>
      </c>
      <c r="BA51" s="27">
        <v>1200</v>
      </c>
      <c r="BB51" s="26">
        <f>AZ51-BA51</f>
        <v>0</v>
      </c>
      <c r="BD51" s="44">
        <v>100925</v>
      </c>
      <c r="BE51" s="44">
        <v>304</v>
      </c>
      <c r="BF51" s="45">
        <v>0.9</v>
      </c>
      <c r="BG51" s="46">
        <v>430</v>
      </c>
      <c r="BH51" s="32" t="s">
        <v>294</v>
      </c>
      <c r="BI51" s="32"/>
      <c r="BJ51" s="44">
        <v>430</v>
      </c>
      <c r="BK51" s="46">
        <v>400</v>
      </c>
      <c r="BL51" s="27">
        <v>400</v>
      </c>
      <c r="BM51" s="26">
        <f>BK51-BL51</f>
        <v>0</v>
      </c>
    </row>
    <row r="52" spans="1:65" s="30" customFormat="1" ht="20.100000000000001" customHeight="1" x14ac:dyDescent="0.3">
      <c r="A52" s="24">
        <v>10925</v>
      </c>
      <c r="B52" s="24">
        <v>430</v>
      </c>
      <c r="C52" s="31">
        <v>0.8</v>
      </c>
      <c r="D52" s="26"/>
      <c r="E52" s="29" t="s">
        <v>287</v>
      </c>
      <c r="F52" s="29"/>
      <c r="G52" s="24"/>
      <c r="H52" s="26">
        <v>500</v>
      </c>
      <c r="I52" s="27">
        <v>500</v>
      </c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>
        <v>10925</v>
      </c>
      <c r="X52" s="24">
        <v>304</v>
      </c>
      <c r="Y52" s="31">
        <v>0.8</v>
      </c>
      <c r="Z52" s="24"/>
      <c r="AA52" s="29" t="s">
        <v>289</v>
      </c>
      <c r="AB52" s="29"/>
      <c r="AC52" s="24"/>
      <c r="AD52" s="26">
        <v>1200</v>
      </c>
      <c r="AE52" s="27">
        <v>1200</v>
      </c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44">
        <v>100925</v>
      </c>
      <c r="AT52" s="44">
        <v>304</v>
      </c>
      <c r="AU52" s="45">
        <v>0.9</v>
      </c>
      <c r="AV52" s="46">
        <v>430</v>
      </c>
      <c r="AW52" s="32" t="s">
        <v>294</v>
      </c>
      <c r="AX52" s="32"/>
      <c r="AY52" s="44">
        <v>430</v>
      </c>
      <c r="AZ52" s="46">
        <v>800</v>
      </c>
      <c r="BA52" s="27">
        <v>800</v>
      </c>
      <c r="BB52" s="26">
        <f t="shared" ref="BB52:BB56" si="28">AZ52-BA52</f>
        <v>0</v>
      </c>
      <c r="BD52" s="44">
        <v>100925</v>
      </c>
      <c r="BE52" s="44">
        <v>304</v>
      </c>
      <c r="BF52" s="45">
        <v>0.9</v>
      </c>
      <c r="BG52" s="46">
        <v>430</v>
      </c>
      <c r="BH52" s="32" t="s">
        <v>291</v>
      </c>
      <c r="BI52" s="32"/>
      <c r="BJ52" s="44">
        <v>430</v>
      </c>
      <c r="BK52" s="46">
        <v>500</v>
      </c>
      <c r="BL52" s="27">
        <v>500</v>
      </c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44"/>
      <c r="AT53" s="44"/>
      <c r="AU53" s="45"/>
      <c r="AV53" s="46"/>
      <c r="AW53" s="32"/>
      <c r="AX53" s="29"/>
      <c r="AY53" s="44"/>
      <c r="AZ53" s="4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44"/>
      <c r="AT54" s="44"/>
      <c r="AU54" s="45"/>
      <c r="AV54" s="46"/>
      <c r="AW54" s="32"/>
      <c r="AX54" s="32"/>
      <c r="AY54" s="44"/>
      <c r="AZ54" s="4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44"/>
      <c r="AT55" s="44"/>
      <c r="AU55" s="45"/>
      <c r="AV55" s="46"/>
      <c r="AW55" s="32"/>
      <c r="AX55" s="29"/>
      <c r="AY55" s="44"/>
      <c r="AZ55" s="4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44"/>
      <c r="AT56" s="44"/>
      <c r="AU56" s="45"/>
      <c r="AV56" s="46"/>
      <c r="AW56" s="32"/>
      <c r="AX56" s="32"/>
      <c r="AY56" s="44"/>
      <c r="AZ56" s="4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2000</v>
      </c>
      <c r="I57" s="27">
        <f>SUM(I51:I56)</f>
        <v>2000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2000</v>
      </c>
      <c r="T57" s="27">
        <f>SUM(T51:T56)</f>
        <v>2000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2000</v>
      </c>
      <c r="AE57" s="27">
        <f>SUM(AE51:AE56)</f>
        <v>2000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2000</v>
      </c>
      <c r="AP57" s="27">
        <f>SUM(AP51:AP56)</f>
        <v>2000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2000</v>
      </c>
      <c r="BA57" s="27">
        <f>SUM(BA51:BA56)</f>
        <v>2000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900</v>
      </c>
      <c r="BL57" s="27">
        <f>SUM(BL51:BL56)</f>
        <v>900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10925</v>
      </c>
      <c r="B62" s="24">
        <v>304</v>
      </c>
      <c r="C62" s="24">
        <v>0.8</v>
      </c>
      <c r="D62" s="24"/>
      <c r="E62" s="29" t="s">
        <v>340</v>
      </c>
      <c r="F62" s="29"/>
      <c r="G62" s="24"/>
      <c r="H62" s="26">
        <v>3200</v>
      </c>
      <c r="I62" s="27">
        <v>3200</v>
      </c>
      <c r="J62" s="26">
        <f>H62-I62</f>
        <v>0</v>
      </c>
      <c r="L62" s="24">
        <v>250045</v>
      </c>
      <c r="M62" s="24">
        <v>304</v>
      </c>
      <c r="N62" s="31">
        <v>0.7</v>
      </c>
      <c r="O62" s="31"/>
      <c r="P62" s="25" t="s">
        <v>299</v>
      </c>
      <c r="Q62" s="29"/>
      <c r="R62" s="24"/>
      <c r="S62" s="26">
        <v>825</v>
      </c>
      <c r="T62" s="27">
        <v>825</v>
      </c>
      <c r="U62" s="26">
        <f>S62-T62</f>
        <v>0</v>
      </c>
      <c r="W62" s="24">
        <v>100925</v>
      </c>
      <c r="X62" s="24">
        <v>304</v>
      </c>
      <c r="Y62" s="31">
        <v>0.6</v>
      </c>
      <c r="Z62" s="31"/>
      <c r="AA62" s="29" t="s">
        <v>341</v>
      </c>
      <c r="AB62" s="29"/>
      <c r="AC62" s="24"/>
      <c r="AD62" s="26">
        <v>600</v>
      </c>
      <c r="AE62" s="27">
        <v>600</v>
      </c>
      <c r="AF62" s="26">
        <f>AD62-AE62</f>
        <v>0</v>
      </c>
      <c r="AH62" s="24">
        <v>100925</v>
      </c>
      <c r="AI62" s="24">
        <v>304</v>
      </c>
      <c r="AJ62" s="31">
        <v>0.6</v>
      </c>
      <c r="AK62" s="31"/>
      <c r="AL62" s="29" t="s">
        <v>345</v>
      </c>
      <c r="AM62" s="29"/>
      <c r="AN62" s="24"/>
      <c r="AO62" s="26">
        <v>1200</v>
      </c>
      <c r="AP62" s="27">
        <v>1200</v>
      </c>
      <c r="AQ62" s="26">
        <f>AO62-AP62</f>
        <v>0</v>
      </c>
      <c r="AS62" s="24">
        <v>100925</v>
      </c>
      <c r="AT62" s="24">
        <v>304</v>
      </c>
      <c r="AU62" s="31">
        <v>0.6</v>
      </c>
      <c r="AV62" s="31"/>
      <c r="AW62" s="29" t="s">
        <v>343</v>
      </c>
      <c r="AX62" s="29"/>
      <c r="AY62" s="24"/>
      <c r="AZ62" s="26">
        <v>750</v>
      </c>
      <c r="BA62" s="27"/>
      <c r="BB62" s="26">
        <f>AZ62-BA62</f>
        <v>750</v>
      </c>
      <c r="BD62" s="24" t="s">
        <v>458</v>
      </c>
      <c r="BE62" s="24">
        <v>304</v>
      </c>
      <c r="BF62" s="31">
        <v>0.6</v>
      </c>
      <c r="BG62" s="31"/>
      <c r="BH62" s="29" t="s">
        <v>465</v>
      </c>
      <c r="BI62" s="29"/>
      <c r="BJ62" s="24"/>
      <c r="BK62" s="26">
        <v>1200</v>
      </c>
      <c r="BL62" s="27"/>
      <c r="BM62" s="26">
        <f>BK62-BL62</f>
        <v>1200</v>
      </c>
    </row>
    <row r="63" spans="1:65" s="30" customFormat="1" ht="20.100000000000001" customHeight="1" x14ac:dyDescent="0.3">
      <c r="A63" s="24"/>
      <c r="B63" s="24"/>
      <c r="C63" s="31"/>
      <c r="D63" s="24"/>
      <c r="E63" s="29"/>
      <c r="F63" s="29"/>
      <c r="G63" s="24"/>
      <c r="H63" s="26"/>
      <c r="I63" s="27"/>
      <c r="J63" s="26">
        <f t="shared" ref="J63:J67" si="30">H63-I63</f>
        <v>0</v>
      </c>
      <c r="L63" s="24">
        <v>250044</v>
      </c>
      <c r="M63" s="24">
        <v>304</v>
      </c>
      <c r="N63" s="31">
        <v>0.7</v>
      </c>
      <c r="O63" s="24"/>
      <c r="P63" s="24" t="s">
        <v>300</v>
      </c>
      <c r="Q63" s="57"/>
      <c r="R63" s="24"/>
      <c r="S63" s="26">
        <v>540</v>
      </c>
      <c r="T63" s="27">
        <v>540</v>
      </c>
      <c r="U63" s="26">
        <f t="shared" ref="U63:U67" si="31">S63-T63</f>
        <v>0</v>
      </c>
      <c r="W63" s="24">
        <v>100925</v>
      </c>
      <c r="X63" s="24">
        <v>304</v>
      </c>
      <c r="Y63" s="31">
        <v>0.6</v>
      </c>
      <c r="Z63" s="31"/>
      <c r="AA63" s="29" t="s">
        <v>342</v>
      </c>
      <c r="AB63" s="29"/>
      <c r="AC63" s="24"/>
      <c r="AD63" s="26">
        <v>600</v>
      </c>
      <c r="AE63" s="27">
        <v>600</v>
      </c>
      <c r="AF63" s="26">
        <f t="shared" ref="AF63:AF67" si="32">AD63-AE63</f>
        <v>0</v>
      </c>
      <c r="AH63" s="24">
        <v>100925</v>
      </c>
      <c r="AI63" s="24">
        <v>304</v>
      </c>
      <c r="AJ63" s="31">
        <v>0.6</v>
      </c>
      <c r="AK63" s="31"/>
      <c r="AL63" s="29" t="s">
        <v>346</v>
      </c>
      <c r="AM63" s="29"/>
      <c r="AN63" s="24"/>
      <c r="AO63" s="26">
        <v>1200</v>
      </c>
      <c r="AP63" s="27">
        <v>1200</v>
      </c>
      <c r="AQ63" s="26">
        <f t="shared" ref="AQ63:AQ67" si="33">AO63-AP63</f>
        <v>0</v>
      </c>
      <c r="AS63" s="24">
        <v>10925</v>
      </c>
      <c r="AT63" s="24">
        <v>304</v>
      </c>
      <c r="AU63" s="24">
        <v>0.8</v>
      </c>
      <c r="AV63" s="24"/>
      <c r="AW63" s="29" t="s">
        <v>339</v>
      </c>
      <c r="AX63" s="29"/>
      <c r="AY63" s="24"/>
      <c r="AZ63" s="26">
        <v>3200</v>
      </c>
      <c r="BA63" s="27"/>
      <c r="BB63" s="26">
        <f t="shared" ref="BB63:BB67" si="34">AZ63-BA63</f>
        <v>3200</v>
      </c>
      <c r="BD63" s="24" t="s">
        <v>458</v>
      </c>
      <c r="BE63" s="24">
        <v>304</v>
      </c>
      <c r="BF63" s="31">
        <v>0.6</v>
      </c>
      <c r="BG63" s="31"/>
      <c r="BH63" s="29" t="s">
        <v>466</v>
      </c>
      <c r="BI63" s="29"/>
      <c r="BJ63" s="24"/>
      <c r="BK63" s="26">
        <v>1500</v>
      </c>
      <c r="BL63" s="27"/>
      <c r="BM63" s="26">
        <f t="shared" ref="BM63:BM67" si="35">BK63-BL63</f>
        <v>1500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>
        <v>100925</v>
      </c>
      <c r="X64" s="24">
        <v>304</v>
      </c>
      <c r="Y64" s="31">
        <v>0.6</v>
      </c>
      <c r="Z64" s="31"/>
      <c r="AA64" s="29" t="s">
        <v>344</v>
      </c>
      <c r="AB64" s="29"/>
      <c r="AC64" s="24"/>
      <c r="AD64" s="26">
        <v>1500</v>
      </c>
      <c r="AE64" s="27"/>
      <c r="AF64" s="26">
        <f t="shared" si="32"/>
        <v>1500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 t="s">
        <v>458</v>
      </c>
      <c r="BE64" s="24">
        <v>304</v>
      </c>
      <c r="BF64" s="31">
        <v>0.6</v>
      </c>
      <c r="BG64" s="31"/>
      <c r="BH64" s="29" t="s">
        <v>467</v>
      </c>
      <c r="BI64" s="29"/>
      <c r="BJ64" s="24"/>
      <c r="BK64" s="26">
        <v>1500</v>
      </c>
      <c r="BL64" s="27"/>
      <c r="BM64" s="26">
        <f t="shared" si="35"/>
        <v>1500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>
        <v>100925</v>
      </c>
      <c r="X65" s="24">
        <v>304</v>
      </c>
      <c r="Y65" s="31">
        <v>0.6</v>
      </c>
      <c r="Z65" s="31"/>
      <c r="AA65" s="29" t="s">
        <v>343</v>
      </c>
      <c r="AB65" s="29"/>
      <c r="AC65" s="24"/>
      <c r="AD65" s="26">
        <v>750</v>
      </c>
      <c r="AE65" s="27"/>
      <c r="AF65" s="26">
        <f t="shared" si="32"/>
        <v>750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24"/>
      <c r="AV65" s="24"/>
      <c r="AW65" s="29"/>
      <c r="AX65" s="29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3200</v>
      </c>
      <c r="I68" s="27">
        <f>SUM(I62:I67)</f>
        <v>3200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1365</v>
      </c>
      <c r="T68" s="27">
        <f>SUM(T62:T67)</f>
        <v>1365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3450</v>
      </c>
      <c r="AE68" s="27">
        <f>SUM(AE62:AE67)</f>
        <v>1200</v>
      </c>
      <c r="AF68" s="26">
        <f>SUM(AF62:AF67)</f>
        <v>2250</v>
      </c>
      <c r="AH68" s="34"/>
      <c r="AI68" s="34"/>
      <c r="AJ68" s="34"/>
      <c r="AK68" s="34"/>
      <c r="AL68" s="35"/>
      <c r="AM68" s="35"/>
      <c r="AN68" s="36"/>
      <c r="AO68" s="26">
        <f>SUM(AO62:AO67)</f>
        <v>2400</v>
      </c>
      <c r="AP68" s="27">
        <f>SUM(AP62:AP67)</f>
        <v>2400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3950</v>
      </c>
      <c r="BA68" s="27">
        <f>SUM(BA62:BA67)</f>
        <v>0</v>
      </c>
      <c r="BB68" s="26">
        <f>SUM(BB62:BB67)</f>
        <v>3950</v>
      </c>
      <c r="BD68" s="34"/>
      <c r="BE68" s="34"/>
      <c r="BF68" s="34"/>
      <c r="BG68" s="34"/>
      <c r="BH68" s="35"/>
      <c r="BI68" s="35"/>
      <c r="BJ68" s="36"/>
      <c r="BK68" s="26">
        <f>SUM(BK62:BK67)</f>
        <v>4200</v>
      </c>
      <c r="BL68" s="27">
        <f>SUM(BL62:BL67)</f>
        <v>0</v>
      </c>
      <c r="BM68" s="26">
        <f>SUM(BM62:BM67)</f>
        <v>4200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>
        <v>290825</v>
      </c>
      <c r="B73" s="24">
        <v>430</v>
      </c>
      <c r="C73" s="31">
        <v>0.5</v>
      </c>
      <c r="D73" s="31" t="s">
        <v>27</v>
      </c>
      <c r="E73" s="29" t="s">
        <v>28</v>
      </c>
      <c r="F73" s="29"/>
      <c r="G73" s="24" t="s">
        <v>29</v>
      </c>
      <c r="H73" s="26">
        <v>1000</v>
      </c>
      <c r="I73" s="27">
        <v>1000</v>
      </c>
      <c r="J73" s="26">
        <f>H73-I73</f>
        <v>0</v>
      </c>
      <c r="L73" s="24">
        <v>290825</v>
      </c>
      <c r="M73" s="24">
        <v>430</v>
      </c>
      <c r="N73" s="31">
        <v>0.5</v>
      </c>
      <c r="O73" s="31" t="s">
        <v>27</v>
      </c>
      <c r="P73" s="29" t="s">
        <v>28</v>
      </c>
      <c r="Q73" s="29"/>
      <c r="R73" s="24" t="s">
        <v>29</v>
      </c>
      <c r="S73" s="26">
        <v>1000</v>
      </c>
      <c r="T73" s="27">
        <v>1000</v>
      </c>
      <c r="U73" s="26">
        <f>S73-T73</f>
        <v>0</v>
      </c>
      <c r="W73" s="24">
        <v>290825</v>
      </c>
      <c r="X73" s="24">
        <v>430</v>
      </c>
      <c r="Y73" s="31">
        <v>0.5</v>
      </c>
      <c r="Z73" s="31" t="s">
        <v>27</v>
      </c>
      <c r="AA73" s="29" t="s">
        <v>28</v>
      </c>
      <c r="AB73" s="29"/>
      <c r="AC73" s="24" t="s">
        <v>29</v>
      </c>
      <c r="AD73" s="26">
        <v>1000</v>
      </c>
      <c r="AE73" s="27">
        <v>1000</v>
      </c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>
        <v>290825</v>
      </c>
      <c r="B74" s="24">
        <v>430</v>
      </c>
      <c r="C74" s="31">
        <v>0.5</v>
      </c>
      <c r="D74" s="24" t="s">
        <v>27</v>
      </c>
      <c r="E74" s="29" t="s">
        <v>30</v>
      </c>
      <c r="F74" s="29"/>
      <c r="G74" s="24" t="s">
        <v>29</v>
      </c>
      <c r="H74" s="26">
        <v>1000</v>
      </c>
      <c r="I74" s="27">
        <v>1000</v>
      </c>
      <c r="J74" s="26">
        <f t="shared" ref="J74:J78" si="36">H74-I74</f>
        <v>0</v>
      </c>
      <c r="L74" s="24">
        <v>290825</v>
      </c>
      <c r="M74" s="24">
        <v>430</v>
      </c>
      <c r="N74" s="31">
        <v>0.5</v>
      </c>
      <c r="O74" s="24" t="s">
        <v>27</v>
      </c>
      <c r="P74" s="29" t="s">
        <v>30</v>
      </c>
      <c r="Q74" s="29"/>
      <c r="R74" s="24" t="s">
        <v>29</v>
      </c>
      <c r="S74" s="26">
        <v>1000</v>
      </c>
      <c r="T74" s="27">
        <v>1000</v>
      </c>
      <c r="U74" s="26">
        <f t="shared" ref="U74:U78" si="37">S74-T74</f>
        <v>0</v>
      </c>
      <c r="W74" s="24">
        <v>290825</v>
      </c>
      <c r="X74" s="24">
        <v>430</v>
      </c>
      <c r="Y74" s="31">
        <v>0.5</v>
      </c>
      <c r="Z74" s="24" t="s">
        <v>27</v>
      </c>
      <c r="AA74" s="29" t="s">
        <v>30</v>
      </c>
      <c r="AB74" s="29"/>
      <c r="AC74" s="24" t="s">
        <v>29</v>
      </c>
      <c r="AD74" s="26">
        <v>1000</v>
      </c>
      <c r="AE74" s="27">
        <v>1000</v>
      </c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>
        <v>290825</v>
      </c>
      <c r="B75" s="24">
        <v>430</v>
      </c>
      <c r="C75" s="31">
        <v>0.8</v>
      </c>
      <c r="D75" s="24" t="s">
        <v>27</v>
      </c>
      <c r="E75" s="29" t="s">
        <v>31</v>
      </c>
      <c r="F75" s="29"/>
      <c r="G75" s="24" t="s">
        <v>29</v>
      </c>
      <c r="H75" s="26">
        <v>1000</v>
      </c>
      <c r="I75" s="27">
        <v>1000</v>
      </c>
      <c r="J75" s="26">
        <f t="shared" si="36"/>
        <v>0</v>
      </c>
      <c r="L75" s="24">
        <v>290825</v>
      </c>
      <c r="M75" s="24">
        <v>430</v>
      </c>
      <c r="N75" s="31">
        <v>0.8</v>
      </c>
      <c r="O75" s="24" t="s">
        <v>27</v>
      </c>
      <c r="P75" s="29" t="s">
        <v>31</v>
      </c>
      <c r="Q75" s="29"/>
      <c r="R75" s="24" t="s">
        <v>29</v>
      </c>
      <c r="S75" s="26">
        <v>1000</v>
      </c>
      <c r="T75" s="27">
        <v>1000</v>
      </c>
      <c r="U75" s="26">
        <f t="shared" si="37"/>
        <v>0</v>
      </c>
      <c r="W75" s="24">
        <v>290825</v>
      </c>
      <c r="X75" s="24">
        <v>430</v>
      </c>
      <c r="Y75" s="31">
        <v>0.8</v>
      </c>
      <c r="Z75" s="24" t="s">
        <v>27</v>
      </c>
      <c r="AA75" s="29" t="s">
        <v>31</v>
      </c>
      <c r="AB75" s="29"/>
      <c r="AC75" s="24" t="s">
        <v>29</v>
      </c>
      <c r="AD75" s="26">
        <v>1000</v>
      </c>
      <c r="AE75" s="27">
        <v>1000</v>
      </c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3000</v>
      </c>
      <c r="I79" s="27">
        <f>SUM(I73:I78)</f>
        <v>3000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3000</v>
      </c>
      <c r="T79" s="27">
        <f>SUM(T73:T78)</f>
        <v>3000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3000</v>
      </c>
      <c r="AE79" s="27">
        <f>SUM(AE73:AE78)</f>
        <v>3000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37" zoomScale="70" zoomScaleNormal="70" workbookViewId="0">
      <selection activeCell="BS54" sqref="BS54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2.664062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1" customWidth="1"/>
    <col min="29" max="32" width="8.21875" style="1" customWidth="1"/>
    <col min="33" max="33" width="1.77734375" customWidth="1"/>
    <col min="34" max="34" width="8.5546875" style="1" customWidth="1"/>
    <col min="35" max="35" width="7.5546875" style="1" customWidth="1"/>
    <col min="36" max="36" width="9.6640625" style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10" style="1" bestFit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10" style="1" bestFit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221</v>
      </c>
      <c r="AD2" s="84"/>
      <c r="AE2" s="87" t="s">
        <v>321</v>
      </c>
      <c r="AF2" s="88"/>
      <c r="BJ2" s="83" t="s">
        <v>221</v>
      </c>
      <c r="BK2" s="84"/>
      <c r="BL2" s="87" t="s">
        <v>321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44"/>
      <c r="B7" s="44"/>
      <c r="C7" s="45"/>
      <c r="D7" s="45"/>
      <c r="E7" s="32"/>
      <c r="F7" s="32"/>
      <c r="G7" s="44"/>
      <c r="H7" s="4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44"/>
      <c r="B8" s="44"/>
      <c r="C8" s="45"/>
      <c r="D8" s="45"/>
      <c r="E8" s="32"/>
      <c r="F8" s="32"/>
      <c r="G8" s="44"/>
      <c r="H8" s="4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44"/>
      <c r="X10" s="44"/>
      <c r="Y10" s="45"/>
      <c r="Z10" s="45"/>
      <c r="AA10" s="32"/>
      <c r="AB10" s="32"/>
      <c r="AC10" s="44"/>
      <c r="AD10" s="46"/>
      <c r="AE10" s="27"/>
      <c r="AF10" s="26">
        <f t="shared" si="2"/>
        <v>0</v>
      </c>
      <c r="AH10" s="44"/>
      <c r="AI10" s="44"/>
      <c r="AJ10" s="45"/>
      <c r="AK10" s="45"/>
      <c r="AL10" s="32"/>
      <c r="AM10" s="32"/>
      <c r="AN10" s="44"/>
      <c r="AO10" s="46"/>
      <c r="AP10" s="53"/>
      <c r="AQ10" s="46">
        <f t="shared" si="3"/>
        <v>0</v>
      </c>
      <c r="AR10" s="54"/>
      <c r="AS10" s="44"/>
      <c r="AT10" s="44"/>
      <c r="AU10" s="45"/>
      <c r="AV10" s="45"/>
      <c r="AW10" s="32"/>
      <c r="AX10" s="32"/>
      <c r="AY10" s="44"/>
      <c r="AZ10" s="46"/>
      <c r="BA10" s="53"/>
      <c r="BB10" s="46">
        <f t="shared" si="4"/>
        <v>0</v>
      </c>
      <c r="BC10" s="54"/>
      <c r="BD10" s="44"/>
      <c r="BE10" s="44"/>
      <c r="BF10" s="45"/>
      <c r="BG10" s="45"/>
      <c r="BH10" s="32"/>
      <c r="BI10" s="32"/>
      <c r="BJ10" s="44"/>
      <c r="BK10" s="4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29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29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29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29"/>
      <c r="G12" s="24"/>
      <c r="H12" s="26"/>
      <c r="I12" s="27"/>
      <c r="J12" s="26">
        <f t="shared" si="0"/>
        <v>0</v>
      </c>
      <c r="L12" s="24"/>
      <c r="M12" s="24"/>
      <c r="N12" s="31"/>
      <c r="O12" s="31"/>
      <c r="P12" s="29"/>
      <c r="Q12" s="29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250041</v>
      </c>
      <c r="B18" s="24">
        <v>304</v>
      </c>
      <c r="C18" s="31">
        <v>0.7</v>
      </c>
      <c r="D18" s="31" t="s">
        <v>41</v>
      </c>
      <c r="E18" s="29" t="s">
        <v>159</v>
      </c>
      <c r="F18" s="29"/>
      <c r="G18" s="24">
        <v>304</v>
      </c>
      <c r="H18" s="26">
        <v>500</v>
      </c>
      <c r="I18" s="27">
        <v>500</v>
      </c>
      <c r="J18" s="26">
        <f>H18-I18</f>
        <v>0</v>
      </c>
      <c r="L18" s="24">
        <v>210825</v>
      </c>
      <c r="M18" s="24">
        <v>430</v>
      </c>
      <c r="N18" s="31">
        <v>0.6</v>
      </c>
      <c r="O18" s="31" t="s">
        <v>41</v>
      </c>
      <c r="P18" s="29" t="s">
        <v>42</v>
      </c>
      <c r="Q18" s="29"/>
      <c r="R18" s="24">
        <v>430</v>
      </c>
      <c r="S18" s="26">
        <v>1850</v>
      </c>
      <c r="T18" s="27">
        <v>1050</v>
      </c>
      <c r="U18" s="26">
        <f>S18-T18</f>
        <v>800</v>
      </c>
      <c r="W18" s="24">
        <v>250043</v>
      </c>
      <c r="X18" s="24">
        <v>304</v>
      </c>
      <c r="Y18" s="31">
        <v>0.6</v>
      </c>
      <c r="Z18" s="31" t="s">
        <v>41</v>
      </c>
      <c r="AA18" s="29" t="s">
        <v>154</v>
      </c>
      <c r="AB18" s="29"/>
      <c r="AC18" s="24">
        <v>304</v>
      </c>
      <c r="AD18" s="26">
        <v>750</v>
      </c>
      <c r="AE18" s="27">
        <v>750</v>
      </c>
      <c r="AF18" s="26">
        <f>AD18-AE18</f>
        <v>0</v>
      </c>
      <c r="AH18" s="24">
        <v>250043</v>
      </c>
      <c r="AI18" s="24">
        <v>304</v>
      </c>
      <c r="AJ18" s="31">
        <v>0.6</v>
      </c>
      <c r="AK18" s="31" t="s">
        <v>41</v>
      </c>
      <c r="AL18" s="29" t="s">
        <v>150</v>
      </c>
      <c r="AM18" s="29"/>
      <c r="AN18" s="24">
        <v>304</v>
      </c>
      <c r="AO18" s="26">
        <v>750</v>
      </c>
      <c r="AP18" s="27"/>
      <c r="AQ18" s="26">
        <f>AO18-AP18</f>
        <v>750</v>
      </c>
      <c r="AS18" s="44">
        <v>250070</v>
      </c>
      <c r="AT18" s="44">
        <v>304</v>
      </c>
      <c r="AU18" s="45">
        <v>0.6</v>
      </c>
      <c r="AV18" s="45" t="s">
        <v>25</v>
      </c>
      <c r="AW18" s="32" t="s">
        <v>433</v>
      </c>
      <c r="AX18" s="32"/>
      <c r="AY18" s="44">
        <v>430</v>
      </c>
      <c r="AZ18" s="46">
        <v>750</v>
      </c>
      <c r="BA18" s="27">
        <v>750</v>
      </c>
      <c r="BB18" s="26">
        <f>AZ18-BA18</f>
        <v>0</v>
      </c>
      <c r="BD18" s="44">
        <v>250072</v>
      </c>
      <c r="BE18" s="44">
        <v>304</v>
      </c>
      <c r="BF18" s="45">
        <v>0.7</v>
      </c>
      <c r="BG18" s="45" t="s">
        <v>25</v>
      </c>
      <c r="BH18" s="32" t="s">
        <v>53</v>
      </c>
      <c r="BI18" s="32"/>
      <c r="BJ18" s="44">
        <v>430</v>
      </c>
      <c r="BK18" s="46">
        <v>750</v>
      </c>
      <c r="BL18" s="27">
        <v>750</v>
      </c>
      <c r="BM18" s="26">
        <f>BK18-BL18</f>
        <v>0</v>
      </c>
    </row>
    <row r="19" spans="1:65" s="30" customFormat="1" ht="20.100000000000001" customHeight="1" x14ac:dyDescent="0.3">
      <c r="A19" s="24">
        <v>250041</v>
      </c>
      <c r="B19" s="24">
        <v>304</v>
      </c>
      <c r="C19" s="31">
        <v>0.7</v>
      </c>
      <c r="D19" s="31" t="s">
        <v>41</v>
      </c>
      <c r="E19" s="29" t="s">
        <v>160</v>
      </c>
      <c r="F19" s="29"/>
      <c r="G19" s="24">
        <v>304</v>
      </c>
      <c r="H19" s="26">
        <v>500</v>
      </c>
      <c r="I19" s="27">
        <v>500</v>
      </c>
      <c r="J19" s="26">
        <f t="shared" ref="J19:J23" si="6">H19-I19</f>
        <v>0</v>
      </c>
      <c r="L19" s="24">
        <v>250043</v>
      </c>
      <c r="M19" s="24">
        <v>304</v>
      </c>
      <c r="N19" s="31">
        <v>0.6</v>
      </c>
      <c r="O19" s="31" t="s">
        <v>41</v>
      </c>
      <c r="P19" s="29" t="s">
        <v>155</v>
      </c>
      <c r="Q19" s="29"/>
      <c r="R19" s="24">
        <v>304</v>
      </c>
      <c r="S19" s="26">
        <v>300</v>
      </c>
      <c r="T19" s="27">
        <v>300</v>
      </c>
      <c r="U19" s="26">
        <f t="shared" ref="U19:U23" si="7">S19-T19</f>
        <v>0</v>
      </c>
      <c r="W19" s="24">
        <v>250043</v>
      </c>
      <c r="X19" s="24">
        <v>304</v>
      </c>
      <c r="Y19" s="31">
        <v>0.6</v>
      </c>
      <c r="Z19" s="31" t="s">
        <v>41</v>
      </c>
      <c r="AA19" s="29" t="s">
        <v>153</v>
      </c>
      <c r="AB19" s="29"/>
      <c r="AC19" s="24">
        <v>304</v>
      </c>
      <c r="AD19" s="26">
        <v>300</v>
      </c>
      <c r="AE19" s="27">
        <v>300</v>
      </c>
      <c r="AF19" s="26">
        <f t="shared" ref="AF19:AF23" si="8">AD19-AE19</f>
        <v>0</v>
      </c>
      <c r="AH19" s="24">
        <v>250043</v>
      </c>
      <c r="AI19" s="24">
        <v>304</v>
      </c>
      <c r="AJ19" s="31">
        <v>0.6</v>
      </c>
      <c r="AK19" s="31" t="s">
        <v>41</v>
      </c>
      <c r="AL19" s="29" t="s">
        <v>152</v>
      </c>
      <c r="AM19" s="29"/>
      <c r="AN19" s="24">
        <v>304</v>
      </c>
      <c r="AO19" s="26">
        <v>300</v>
      </c>
      <c r="AP19" s="27"/>
      <c r="AQ19" s="26">
        <f t="shared" ref="AQ19:AQ23" si="9">AO19-AP19</f>
        <v>300</v>
      </c>
      <c r="AS19" s="44">
        <v>250071</v>
      </c>
      <c r="AT19" s="44">
        <v>304</v>
      </c>
      <c r="AU19" s="45">
        <v>0.7</v>
      </c>
      <c r="AV19" s="45" t="s">
        <v>25</v>
      </c>
      <c r="AW19" s="32" t="s">
        <v>65</v>
      </c>
      <c r="AX19" s="32"/>
      <c r="AY19" s="44">
        <v>430</v>
      </c>
      <c r="AZ19" s="46">
        <v>750</v>
      </c>
      <c r="BA19" s="27">
        <v>750</v>
      </c>
      <c r="BB19" s="26">
        <f t="shared" ref="BB19:BB23" si="10">AZ19-BA19</f>
        <v>0</v>
      </c>
      <c r="BD19" s="24">
        <v>250070</v>
      </c>
      <c r="BE19" s="24">
        <v>304</v>
      </c>
      <c r="BF19" s="31">
        <v>0.6</v>
      </c>
      <c r="BG19" s="31" t="s">
        <v>25</v>
      </c>
      <c r="BH19" s="29" t="s">
        <v>432</v>
      </c>
      <c r="BI19" s="29"/>
      <c r="BJ19" s="24">
        <v>430</v>
      </c>
      <c r="BK19" s="26">
        <v>750</v>
      </c>
      <c r="BL19" s="27">
        <v>750</v>
      </c>
      <c r="BM19" s="26">
        <f t="shared" ref="BM19:BM23" si="11">BK19-BL19</f>
        <v>0</v>
      </c>
    </row>
    <row r="20" spans="1:65" s="30" customFormat="1" ht="20.100000000000001" customHeight="1" x14ac:dyDescent="0.3">
      <c r="A20" s="24">
        <v>250041</v>
      </c>
      <c r="B20" s="24">
        <v>304</v>
      </c>
      <c r="C20" s="31">
        <v>0.7</v>
      </c>
      <c r="D20" s="31" t="s">
        <v>41</v>
      </c>
      <c r="E20" s="29" t="s">
        <v>161</v>
      </c>
      <c r="F20" s="29"/>
      <c r="G20" s="24">
        <v>304</v>
      </c>
      <c r="H20" s="26">
        <v>500</v>
      </c>
      <c r="I20" s="27">
        <v>500</v>
      </c>
      <c r="J20" s="26">
        <f t="shared" si="6"/>
        <v>0</v>
      </c>
      <c r="L20" s="24"/>
      <c r="M20" s="24"/>
      <c r="N20" s="31"/>
      <c r="O20" s="31"/>
      <c r="P20" s="29"/>
      <c r="Q20" s="29"/>
      <c r="R20" s="24"/>
      <c r="S20" s="26"/>
      <c r="T20" s="27"/>
      <c r="U20" s="26">
        <f t="shared" si="7"/>
        <v>0</v>
      </c>
      <c r="W20" s="24">
        <v>250043</v>
      </c>
      <c r="X20" s="24">
        <v>304</v>
      </c>
      <c r="Y20" s="31">
        <v>0.6</v>
      </c>
      <c r="Z20" s="31" t="s">
        <v>41</v>
      </c>
      <c r="AA20" s="29" t="s">
        <v>151</v>
      </c>
      <c r="AB20" s="29"/>
      <c r="AC20" s="24">
        <v>304</v>
      </c>
      <c r="AD20" s="26">
        <v>750</v>
      </c>
      <c r="AE20" s="27">
        <v>750</v>
      </c>
      <c r="AF20" s="26">
        <f t="shared" si="8"/>
        <v>0</v>
      </c>
      <c r="AH20" s="44">
        <v>250073</v>
      </c>
      <c r="AI20" s="44">
        <v>304</v>
      </c>
      <c r="AJ20" s="45">
        <v>0.6</v>
      </c>
      <c r="AK20" s="45" t="s">
        <v>25</v>
      </c>
      <c r="AL20" s="32" t="s">
        <v>53</v>
      </c>
      <c r="AM20" s="32"/>
      <c r="AN20" s="44">
        <v>430</v>
      </c>
      <c r="AO20" s="46">
        <v>750</v>
      </c>
      <c r="AP20" s="27"/>
      <c r="AQ20" s="26">
        <f t="shared" si="9"/>
        <v>750</v>
      </c>
      <c r="AS20" s="44">
        <v>250073</v>
      </c>
      <c r="AT20" s="44">
        <v>304</v>
      </c>
      <c r="AU20" s="45">
        <v>0.6</v>
      </c>
      <c r="AV20" s="45" t="s">
        <v>25</v>
      </c>
      <c r="AW20" s="32" t="s">
        <v>53</v>
      </c>
      <c r="AX20" s="32"/>
      <c r="AY20" s="44">
        <v>430</v>
      </c>
      <c r="AZ20" s="46">
        <v>750</v>
      </c>
      <c r="BA20" s="27">
        <v>750</v>
      </c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>
        <v>250041</v>
      </c>
      <c r="B21" s="24">
        <v>304</v>
      </c>
      <c r="C21" s="31">
        <v>0.7</v>
      </c>
      <c r="D21" s="31" t="s">
        <v>41</v>
      </c>
      <c r="E21" s="29" t="s">
        <v>162</v>
      </c>
      <c r="F21" s="29"/>
      <c r="G21" s="24">
        <v>304</v>
      </c>
      <c r="H21" s="26">
        <v>500</v>
      </c>
      <c r="I21" s="27">
        <v>500</v>
      </c>
      <c r="J21" s="26">
        <f t="shared" si="6"/>
        <v>0</v>
      </c>
      <c r="L21" s="24"/>
      <c r="M21" s="24"/>
      <c r="N21" s="31"/>
      <c r="O21" s="31"/>
      <c r="P21" s="29"/>
      <c r="Q21" s="29"/>
      <c r="R21" s="24"/>
      <c r="S21" s="26"/>
      <c r="T21" s="27"/>
      <c r="U21" s="26">
        <f t="shared" si="7"/>
        <v>0</v>
      </c>
      <c r="W21" s="24"/>
      <c r="X21" s="24"/>
      <c r="Y21" s="31"/>
      <c r="Z21" s="31"/>
      <c r="AA21" s="29"/>
      <c r="AB21" s="29"/>
      <c r="AC21" s="24"/>
      <c r="AD21" s="26"/>
      <c r="AE21" s="27"/>
      <c r="AF21" s="26">
        <f t="shared" si="8"/>
        <v>0</v>
      </c>
      <c r="AH21" s="44">
        <v>250072</v>
      </c>
      <c r="AI21" s="44">
        <v>304</v>
      </c>
      <c r="AJ21" s="45">
        <v>0.7</v>
      </c>
      <c r="AK21" s="45" t="s">
        <v>25</v>
      </c>
      <c r="AL21" s="32" t="s">
        <v>53</v>
      </c>
      <c r="AM21" s="32"/>
      <c r="AN21" s="44">
        <v>430</v>
      </c>
      <c r="AO21" s="46">
        <v>750</v>
      </c>
      <c r="AP21" s="27"/>
      <c r="AQ21" s="26">
        <f t="shared" si="9"/>
        <v>750</v>
      </c>
      <c r="AS21" s="44"/>
      <c r="AT21" s="44"/>
      <c r="AU21" s="45"/>
      <c r="AV21" s="45"/>
      <c r="AW21" s="32"/>
      <c r="AX21" s="32"/>
      <c r="AY21" s="44"/>
      <c r="AZ21" s="46"/>
      <c r="BA21" s="27"/>
      <c r="BB21" s="26">
        <f t="shared" si="10"/>
        <v>0</v>
      </c>
      <c r="BD21" s="24"/>
      <c r="BE21" s="24"/>
      <c r="BF21" s="31"/>
      <c r="BG21" s="31"/>
      <c r="BH21" s="29"/>
      <c r="BI21" s="29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29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24"/>
      <c r="AV22" s="24"/>
      <c r="AW22" s="29"/>
      <c r="AX22" s="29"/>
      <c r="AY22" s="24"/>
      <c r="AZ22" s="26"/>
      <c r="BA22" s="27"/>
      <c r="BB22" s="26">
        <f t="shared" si="10"/>
        <v>0</v>
      </c>
      <c r="BD22" s="24"/>
      <c r="BE22" s="24"/>
      <c r="BF22" s="24"/>
      <c r="BG22" s="24"/>
      <c r="BH22" s="29"/>
      <c r="BI22" s="29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29"/>
      <c r="G23" s="24"/>
      <c r="H23" s="26"/>
      <c r="I23" s="27"/>
      <c r="J23" s="26">
        <f t="shared" si="6"/>
        <v>0</v>
      </c>
      <c r="L23" s="24"/>
      <c r="M23" s="24"/>
      <c r="N23" s="31"/>
      <c r="O23" s="31"/>
      <c r="P23" s="29"/>
      <c r="Q23" s="29"/>
      <c r="R23" s="24"/>
      <c r="S23" s="26"/>
      <c r="T23" s="27"/>
      <c r="U23" s="26">
        <f t="shared" si="7"/>
        <v>0</v>
      </c>
      <c r="W23" s="24"/>
      <c r="X23" s="24"/>
      <c r="Y23" s="24"/>
      <c r="Z23" s="24"/>
      <c r="AA23" s="29"/>
      <c r="AB23" s="29"/>
      <c r="AC23" s="24"/>
      <c r="AD23" s="26"/>
      <c r="AE23" s="27"/>
      <c r="AF23" s="26">
        <f t="shared" si="8"/>
        <v>0</v>
      </c>
      <c r="AH23" s="24"/>
      <c r="AI23" s="24"/>
      <c r="AJ23" s="24"/>
      <c r="AK23" s="24"/>
      <c r="AL23" s="29"/>
      <c r="AM23" s="29"/>
      <c r="AN23" s="24"/>
      <c r="AO23" s="26"/>
      <c r="AP23" s="27"/>
      <c r="AQ23" s="26">
        <f t="shared" si="9"/>
        <v>0</v>
      </c>
      <c r="AS23" s="24"/>
      <c r="AT23" s="24"/>
      <c r="AU23" s="24"/>
      <c r="AV23" s="24"/>
      <c r="AW23" s="29"/>
      <c r="AX23" s="29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29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2000</v>
      </c>
      <c r="I24" s="27">
        <f>SUM(I18:I23)</f>
        <v>2000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2150</v>
      </c>
      <c r="T24" s="27">
        <f>SUM(T18:T23)</f>
        <v>1350</v>
      </c>
      <c r="U24" s="26">
        <f>SUM(U18:U23)</f>
        <v>800</v>
      </c>
      <c r="W24" s="34"/>
      <c r="X24" s="34"/>
      <c r="Y24" s="34"/>
      <c r="Z24" s="34"/>
      <c r="AA24" s="35"/>
      <c r="AB24" s="35"/>
      <c r="AC24" s="36"/>
      <c r="AD24" s="26">
        <f>SUM(AD18:AD23)</f>
        <v>1800</v>
      </c>
      <c r="AE24" s="27">
        <f>SUM(AE18:AE23)</f>
        <v>1800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2550</v>
      </c>
      <c r="AP24" s="27">
        <f>SUM(AP18:AP23)</f>
        <v>0</v>
      </c>
      <c r="AQ24" s="26">
        <f>SUM(AQ18:AQ23)</f>
        <v>2550</v>
      </c>
      <c r="AS24" s="34"/>
      <c r="AT24" s="34"/>
      <c r="AU24" s="34"/>
      <c r="AV24" s="34"/>
      <c r="AW24" s="35"/>
      <c r="AX24" s="35"/>
      <c r="AY24" s="36"/>
      <c r="AZ24" s="26">
        <f>SUM(AZ18:AZ23)</f>
        <v>2250</v>
      </c>
      <c r="BA24" s="27">
        <f>SUM(BA18:BA23)</f>
        <v>2250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1500</v>
      </c>
      <c r="BL24" s="27">
        <f>SUM(BL18:BL23)</f>
        <v>1500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250077</v>
      </c>
      <c r="B29" s="24">
        <v>430</v>
      </c>
      <c r="C29" s="31">
        <v>0.5</v>
      </c>
      <c r="D29" s="31"/>
      <c r="E29" s="29" t="s">
        <v>438</v>
      </c>
      <c r="F29" s="29"/>
      <c r="G29" s="24"/>
      <c r="H29" s="26">
        <v>1400</v>
      </c>
      <c r="I29" s="27"/>
      <c r="J29" s="26">
        <f>H29-I29</f>
        <v>1400</v>
      </c>
      <c r="L29" s="24">
        <v>250034</v>
      </c>
      <c r="M29" s="24">
        <v>304</v>
      </c>
      <c r="N29" s="31">
        <v>0.7</v>
      </c>
      <c r="O29" s="31"/>
      <c r="P29" s="29" t="s">
        <v>446</v>
      </c>
      <c r="Q29" s="29"/>
      <c r="R29" s="24"/>
      <c r="S29" s="26">
        <v>870</v>
      </c>
      <c r="T29" s="27"/>
      <c r="U29" s="26">
        <f>S29-T29</f>
        <v>870</v>
      </c>
      <c r="W29" s="24">
        <v>250034</v>
      </c>
      <c r="X29" s="24">
        <v>304</v>
      </c>
      <c r="Y29" s="31">
        <v>0.7</v>
      </c>
      <c r="Z29" s="31"/>
      <c r="AA29" s="29" t="s">
        <v>449</v>
      </c>
      <c r="AB29" s="32"/>
      <c r="AC29" s="24"/>
      <c r="AD29" s="26">
        <v>870</v>
      </c>
      <c r="AE29" s="27"/>
      <c r="AF29" s="26">
        <f>AD29-AE29</f>
        <v>870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>
        <v>250077</v>
      </c>
      <c r="B30" s="24">
        <v>430</v>
      </c>
      <c r="C30" s="31">
        <v>0.5</v>
      </c>
      <c r="D30" s="31"/>
      <c r="E30" s="29" t="s">
        <v>439</v>
      </c>
      <c r="F30" s="29"/>
      <c r="G30" s="24"/>
      <c r="H30" s="26">
        <v>1400</v>
      </c>
      <c r="I30" s="27"/>
      <c r="J30" s="26">
        <f t="shared" ref="J30:J34" si="12">H30-I30</f>
        <v>1400</v>
      </c>
      <c r="L30" s="24">
        <v>250034</v>
      </c>
      <c r="M30" s="24">
        <v>304</v>
      </c>
      <c r="N30" s="31">
        <v>0.7</v>
      </c>
      <c r="O30" s="31"/>
      <c r="P30" s="29" t="s">
        <v>447</v>
      </c>
      <c r="Q30" s="29"/>
      <c r="R30" s="24"/>
      <c r="S30" s="26">
        <v>870</v>
      </c>
      <c r="T30" s="27"/>
      <c r="U30" s="26">
        <f t="shared" ref="U30:U34" si="13">S30-T30</f>
        <v>870</v>
      </c>
      <c r="W30" s="24">
        <v>250034</v>
      </c>
      <c r="X30" s="24">
        <v>304</v>
      </c>
      <c r="Y30" s="31">
        <v>0.7</v>
      </c>
      <c r="Z30" s="31"/>
      <c r="AA30" s="29" t="s">
        <v>450</v>
      </c>
      <c r="AB30" s="33"/>
      <c r="AC30" s="24"/>
      <c r="AD30" s="26">
        <v>870</v>
      </c>
      <c r="AE30" s="27"/>
      <c r="AF30" s="26">
        <f t="shared" ref="AF30:AF34" si="14">AD30-AE30</f>
        <v>870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>
        <v>250034</v>
      </c>
      <c r="M31" s="24">
        <v>304</v>
      </c>
      <c r="N31" s="31">
        <v>0.7</v>
      </c>
      <c r="O31" s="31"/>
      <c r="P31" s="29" t="s">
        <v>448</v>
      </c>
      <c r="Q31" s="29"/>
      <c r="R31" s="24"/>
      <c r="S31" s="26">
        <v>870</v>
      </c>
      <c r="T31" s="27"/>
      <c r="U31" s="26">
        <f t="shared" si="13"/>
        <v>870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32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32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2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33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24"/>
      <c r="Z34" s="24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24"/>
      <c r="AV34" s="24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2800</v>
      </c>
      <c r="I35" s="27">
        <f>SUM(I29:I34)</f>
        <v>0</v>
      </c>
      <c r="J35" s="26">
        <f>SUM(J29:J34)</f>
        <v>2800</v>
      </c>
      <c r="L35" s="34"/>
      <c r="M35" s="34"/>
      <c r="N35" s="34"/>
      <c r="O35" s="34"/>
      <c r="P35" s="35"/>
      <c r="Q35" s="35"/>
      <c r="R35" s="36"/>
      <c r="S35" s="26">
        <f>SUM(S29:S34)</f>
        <v>2610</v>
      </c>
      <c r="T35" s="27">
        <f>SUM(T29:T34)</f>
        <v>0</v>
      </c>
      <c r="U35" s="26">
        <f>SUM(U29:U34)</f>
        <v>2610</v>
      </c>
      <c r="W35" s="34"/>
      <c r="X35" s="34"/>
      <c r="Y35" s="34"/>
      <c r="Z35" s="34"/>
      <c r="AA35" s="35"/>
      <c r="AB35" s="35"/>
      <c r="AC35" s="36"/>
      <c r="AD35" s="26">
        <f>SUM(AD29:AD34)</f>
        <v>1740</v>
      </c>
      <c r="AE35" s="27">
        <f>SUM(AE29:AE34)</f>
        <v>0</v>
      </c>
      <c r="AF35" s="26">
        <f>SUM(AF29:AF34)</f>
        <v>1740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44">
        <v>100925</v>
      </c>
      <c r="B40" s="44">
        <v>304</v>
      </c>
      <c r="C40" s="45">
        <v>0.9</v>
      </c>
      <c r="D40" s="46">
        <v>430</v>
      </c>
      <c r="E40" s="32" t="s">
        <v>291</v>
      </c>
      <c r="F40" s="32"/>
      <c r="G40" s="44">
        <v>430</v>
      </c>
      <c r="H40" s="46">
        <v>1000</v>
      </c>
      <c r="I40" s="27">
        <v>1000</v>
      </c>
      <c r="J40" s="26">
        <f>H40-I40</f>
        <v>0</v>
      </c>
      <c r="L40" s="44">
        <v>100925</v>
      </c>
      <c r="M40" s="44">
        <v>304</v>
      </c>
      <c r="N40" s="45">
        <v>0.9</v>
      </c>
      <c r="O40" s="46"/>
      <c r="P40" s="32" t="s">
        <v>293</v>
      </c>
      <c r="Q40" s="32"/>
      <c r="R40" s="44"/>
      <c r="S40" s="46">
        <v>1100</v>
      </c>
      <c r="T40" s="27">
        <v>1100</v>
      </c>
      <c r="U40" s="26">
        <f>S40-T40</f>
        <v>0</v>
      </c>
      <c r="W40" s="44">
        <v>100925</v>
      </c>
      <c r="X40" s="44">
        <v>304</v>
      </c>
      <c r="Y40" s="45">
        <v>0.9</v>
      </c>
      <c r="Z40" s="46"/>
      <c r="AA40" s="32" t="s">
        <v>292</v>
      </c>
      <c r="AB40" s="29"/>
      <c r="AC40" s="44"/>
      <c r="AD40" s="46">
        <v>600</v>
      </c>
      <c r="AE40" s="27">
        <v>600</v>
      </c>
      <c r="AF40" s="26">
        <f>AD40-AE40</f>
        <v>0</v>
      </c>
      <c r="AH40" s="44">
        <v>100925</v>
      </c>
      <c r="AI40" s="44">
        <v>304</v>
      </c>
      <c r="AJ40" s="45">
        <v>0.9</v>
      </c>
      <c r="AK40" s="46" t="s">
        <v>27</v>
      </c>
      <c r="AL40" s="32" t="s">
        <v>291</v>
      </c>
      <c r="AM40" s="32"/>
      <c r="AN40" s="44">
        <v>430</v>
      </c>
      <c r="AO40" s="46">
        <v>1500</v>
      </c>
      <c r="AP40" s="27">
        <v>1500</v>
      </c>
      <c r="AQ40" s="26">
        <f>AO40-AP40</f>
        <v>0</v>
      </c>
      <c r="AS40" s="24" t="s">
        <v>458</v>
      </c>
      <c r="AT40" s="24">
        <v>304</v>
      </c>
      <c r="AU40" s="31">
        <v>0.9</v>
      </c>
      <c r="AV40" s="31" t="s">
        <v>27</v>
      </c>
      <c r="AW40" s="29" t="s">
        <v>460</v>
      </c>
      <c r="AX40" s="29"/>
      <c r="AY40" s="24">
        <v>430</v>
      </c>
      <c r="AZ40" s="26">
        <v>400</v>
      </c>
      <c r="BA40" s="27">
        <v>400</v>
      </c>
      <c r="BB40" s="26">
        <f>AZ40-BA40</f>
        <v>0</v>
      </c>
      <c r="BD40" s="24" t="s">
        <v>458</v>
      </c>
      <c r="BE40" s="24">
        <v>304</v>
      </c>
      <c r="BF40" s="31">
        <v>0.9</v>
      </c>
      <c r="BG40" s="31" t="s">
        <v>27</v>
      </c>
      <c r="BH40" s="29" t="s">
        <v>461</v>
      </c>
      <c r="BI40" s="29"/>
      <c r="BJ40" s="24">
        <v>430</v>
      </c>
      <c r="BK40" s="26">
        <v>500</v>
      </c>
      <c r="BL40" s="27">
        <v>600</v>
      </c>
      <c r="BM40" s="26">
        <f>BK40-BL40</f>
        <v>-100</v>
      </c>
    </row>
    <row r="41" spans="1:65" s="30" customFormat="1" ht="20.100000000000001" customHeight="1" x14ac:dyDescent="0.3">
      <c r="A41" s="44">
        <v>100925</v>
      </c>
      <c r="B41" s="44">
        <v>304</v>
      </c>
      <c r="C41" s="45">
        <v>0.9</v>
      </c>
      <c r="D41" s="46">
        <v>430</v>
      </c>
      <c r="E41" s="32" t="s">
        <v>290</v>
      </c>
      <c r="F41" s="32"/>
      <c r="G41" s="44">
        <v>430</v>
      </c>
      <c r="H41" s="46">
        <v>600</v>
      </c>
      <c r="I41" s="27">
        <v>600</v>
      </c>
      <c r="J41" s="26">
        <f t="shared" ref="J41:J45" si="18">H41-I41</f>
        <v>0</v>
      </c>
      <c r="L41" s="44">
        <v>100925</v>
      </c>
      <c r="M41" s="44">
        <v>304</v>
      </c>
      <c r="N41" s="45">
        <v>0.9</v>
      </c>
      <c r="O41" s="46"/>
      <c r="P41" s="32" t="s">
        <v>292</v>
      </c>
      <c r="Q41" s="32"/>
      <c r="R41" s="44"/>
      <c r="S41" s="46">
        <v>600</v>
      </c>
      <c r="T41" s="27">
        <v>580</v>
      </c>
      <c r="U41" s="26">
        <f t="shared" ref="U41:U45" si="19">S41-T41</f>
        <v>20</v>
      </c>
      <c r="W41" s="44">
        <v>100925</v>
      </c>
      <c r="X41" s="44">
        <v>304</v>
      </c>
      <c r="Y41" s="45">
        <v>0.9</v>
      </c>
      <c r="Z41" s="46"/>
      <c r="AA41" s="32" t="s">
        <v>293</v>
      </c>
      <c r="AB41" s="32"/>
      <c r="AC41" s="44"/>
      <c r="AD41" s="46">
        <v>1500</v>
      </c>
      <c r="AE41" s="27">
        <v>1500</v>
      </c>
      <c r="AF41" s="26">
        <f t="shared" ref="AF41:AF45" si="20">AD41-AE41</f>
        <v>0</v>
      </c>
      <c r="AH41" s="24" t="s">
        <v>458</v>
      </c>
      <c r="AI41" s="24">
        <v>304</v>
      </c>
      <c r="AJ41" s="31">
        <v>0.9</v>
      </c>
      <c r="AK41" s="31" t="s">
        <v>27</v>
      </c>
      <c r="AL41" s="29" t="s">
        <v>459</v>
      </c>
      <c r="AM41" s="29"/>
      <c r="AN41" s="24">
        <v>430</v>
      </c>
      <c r="AO41" s="26">
        <v>800</v>
      </c>
      <c r="AP41" s="27">
        <v>800</v>
      </c>
      <c r="AQ41" s="26">
        <f t="shared" ref="AQ41:AQ45" si="21">AO41-AP41</f>
        <v>0</v>
      </c>
      <c r="AS41" s="24" t="s">
        <v>458</v>
      </c>
      <c r="AT41" s="24">
        <v>304</v>
      </c>
      <c r="AU41" s="31">
        <v>0.9</v>
      </c>
      <c r="AV41" s="31" t="s">
        <v>27</v>
      </c>
      <c r="AW41" s="29" t="s">
        <v>462</v>
      </c>
      <c r="AX41" s="29"/>
      <c r="AY41" s="24"/>
      <c r="AZ41" s="26">
        <v>1200</v>
      </c>
      <c r="BA41" s="27">
        <v>1200</v>
      </c>
      <c r="BB41" s="26">
        <f t="shared" ref="BB41:BB45" si="22">AZ41-BA41</f>
        <v>0</v>
      </c>
      <c r="BD41" s="24" t="s">
        <v>458</v>
      </c>
      <c r="BE41" s="24">
        <v>304</v>
      </c>
      <c r="BF41" s="31">
        <v>0.9</v>
      </c>
      <c r="BG41" s="31" t="s">
        <v>27</v>
      </c>
      <c r="BH41" s="29" t="s">
        <v>463</v>
      </c>
      <c r="BI41" s="29"/>
      <c r="BJ41" s="24"/>
      <c r="BK41" s="26">
        <v>1500</v>
      </c>
      <c r="BL41" s="27">
        <v>1400</v>
      </c>
      <c r="BM41" s="26">
        <f t="shared" ref="BM41:BM45" si="23">BK41-BL41</f>
        <v>100</v>
      </c>
    </row>
    <row r="42" spans="1:65" s="30" customFormat="1" ht="20.100000000000001" customHeight="1" x14ac:dyDescent="0.3">
      <c r="A42" s="44">
        <v>100925</v>
      </c>
      <c r="B42" s="44">
        <v>304</v>
      </c>
      <c r="C42" s="45">
        <v>0.9</v>
      </c>
      <c r="D42" s="46"/>
      <c r="E42" s="32" t="s">
        <v>293</v>
      </c>
      <c r="F42" s="32"/>
      <c r="G42" s="44"/>
      <c r="H42" s="46">
        <v>400</v>
      </c>
      <c r="I42" s="27">
        <v>400</v>
      </c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44"/>
      <c r="X42" s="44"/>
      <c r="Y42" s="45"/>
      <c r="Z42" s="46"/>
      <c r="AA42" s="32"/>
      <c r="AB42" s="29"/>
      <c r="AC42" s="44"/>
      <c r="AD42" s="4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 t="s">
        <v>458</v>
      </c>
      <c r="AT42" s="24">
        <v>304</v>
      </c>
      <c r="AU42" s="31">
        <v>0.9</v>
      </c>
      <c r="AV42" s="31" t="s">
        <v>27</v>
      </c>
      <c r="AW42" s="29" t="s">
        <v>461</v>
      </c>
      <c r="AX42" s="29"/>
      <c r="AY42" s="24">
        <v>430</v>
      </c>
      <c r="AZ42" s="26">
        <v>1000</v>
      </c>
      <c r="BA42" s="27">
        <v>1000</v>
      </c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29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44"/>
      <c r="X43" s="44"/>
      <c r="Y43" s="45"/>
      <c r="Z43" s="46"/>
      <c r="AA43" s="32"/>
      <c r="AB43" s="32"/>
      <c r="AC43" s="44"/>
      <c r="AD43" s="4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29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29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29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31"/>
      <c r="D45" s="31"/>
      <c r="E45" s="29"/>
      <c r="F45" s="29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31"/>
      <c r="Z45" s="31"/>
      <c r="AA45" s="29" t="s">
        <v>355</v>
      </c>
      <c r="AB45" s="29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2000</v>
      </c>
      <c r="I46" s="27">
        <f>SUM(I40:I45)</f>
        <v>2000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1700</v>
      </c>
      <c r="T46" s="27">
        <f>SUM(T40:T45)</f>
        <v>1680</v>
      </c>
      <c r="U46" s="26">
        <f>SUM(U40:U45)</f>
        <v>20</v>
      </c>
      <c r="W46" s="34"/>
      <c r="X46" s="34"/>
      <c r="Y46" s="34"/>
      <c r="Z46" s="34"/>
      <c r="AA46" s="35"/>
      <c r="AB46" s="35"/>
      <c r="AC46" s="36"/>
      <c r="AD46" s="26">
        <f>SUM(AD40:AD45)</f>
        <v>2100</v>
      </c>
      <c r="AE46" s="27">
        <f>SUM(AE40:AE45)</f>
        <v>2100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2300</v>
      </c>
      <c r="AP46" s="27">
        <f>SUM(AP40:AP45)</f>
        <v>2300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2600</v>
      </c>
      <c r="BA46" s="27">
        <f>SUM(BA40:BA45)</f>
        <v>2600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2000</v>
      </c>
      <c r="BL46" s="27">
        <f>SUM(BL40:BL45)</f>
        <v>2000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44">
        <v>100925</v>
      </c>
      <c r="B51" s="44">
        <v>304</v>
      </c>
      <c r="C51" s="45">
        <v>0.9</v>
      </c>
      <c r="D51" s="46">
        <v>430</v>
      </c>
      <c r="E51" s="32" t="s">
        <v>291</v>
      </c>
      <c r="F51" s="32"/>
      <c r="G51" s="44">
        <v>430</v>
      </c>
      <c r="H51" s="46">
        <v>1000</v>
      </c>
      <c r="I51" s="27">
        <v>1000</v>
      </c>
      <c r="J51" s="26">
        <f>H51-I51</f>
        <v>0</v>
      </c>
      <c r="L51" s="44">
        <v>100925</v>
      </c>
      <c r="M51" s="44">
        <v>304</v>
      </c>
      <c r="N51" s="45">
        <v>0.9</v>
      </c>
      <c r="O51" s="46"/>
      <c r="P51" s="32" t="s">
        <v>293</v>
      </c>
      <c r="Q51" s="32"/>
      <c r="R51" s="44"/>
      <c r="S51" s="46">
        <v>1100</v>
      </c>
      <c r="T51" s="27">
        <v>1100</v>
      </c>
      <c r="U51" s="26">
        <f>S51-T51</f>
        <v>0</v>
      </c>
      <c r="W51" s="44">
        <v>100925</v>
      </c>
      <c r="X51" s="44">
        <v>304</v>
      </c>
      <c r="Y51" s="45">
        <v>0.9</v>
      </c>
      <c r="Z51" s="46"/>
      <c r="AA51" s="32" t="s">
        <v>292</v>
      </c>
      <c r="AB51" s="29"/>
      <c r="AC51" s="44"/>
      <c r="AD51" s="46">
        <v>600</v>
      </c>
      <c r="AE51" s="27">
        <v>600</v>
      </c>
      <c r="AF51" s="26">
        <f>AD51-AE51</f>
        <v>0</v>
      </c>
      <c r="AH51" s="44">
        <v>100925</v>
      </c>
      <c r="AI51" s="44">
        <v>304</v>
      </c>
      <c r="AJ51" s="45">
        <v>0.9</v>
      </c>
      <c r="AK51" s="46" t="s">
        <v>27</v>
      </c>
      <c r="AL51" s="32" t="s">
        <v>291</v>
      </c>
      <c r="AM51" s="32"/>
      <c r="AN51" s="44">
        <v>430</v>
      </c>
      <c r="AO51" s="46">
        <v>1500</v>
      </c>
      <c r="AP51" s="27">
        <v>1500</v>
      </c>
      <c r="AQ51" s="26">
        <f>AO51-AP51</f>
        <v>0</v>
      </c>
      <c r="AS51" s="24" t="s">
        <v>458</v>
      </c>
      <c r="AT51" s="24">
        <v>304</v>
      </c>
      <c r="AU51" s="31">
        <v>0.9</v>
      </c>
      <c r="AV51" s="31" t="s">
        <v>27</v>
      </c>
      <c r="AW51" s="29" t="s">
        <v>460</v>
      </c>
      <c r="AX51" s="29"/>
      <c r="AY51" s="24">
        <v>430</v>
      </c>
      <c r="AZ51" s="26">
        <v>400</v>
      </c>
      <c r="BA51" s="27">
        <v>400</v>
      </c>
      <c r="BB51" s="26">
        <f>AZ51-BA51</f>
        <v>0</v>
      </c>
      <c r="BD51" s="24" t="s">
        <v>458</v>
      </c>
      <c r="BE51" s="24">
        <v>304</v>
      </c>
      <c r="BF51" s="31">
        <v>0.9</v>
      </c>
      <c r="BG51" s="31" t="s">
        <v>27</v>
      </c>
      <c r="BH51" s="29" t="s">
        <v>461</v>
      </c>
      <c r="BI51" s="29"/>
      <c r="BJ51" s="24">
        <v>430</v>
      </c>
      <c r="BK51" s="26">
        <v>500</v>
      </c>
      <c r="BL51" s="27">
        <v>500</v>
      </c>
      <c r="BM51" s="26">
        <f>BK51-BL51</f>
        <v>0</v>
      </c>
    </row>
    <row r="52" spans="1:65" s="30" customFormat="1" ht="20.100000000000001" customHeight="1" x14ac:dyDescent="0.3">
      <c r="A52" s="44">
        <v>100925</v>
      </c>
      <c r="B52" s="44">
        <v>304</v>
      </c>
      <c r="C52" s="45">
        <v>0.9</v>
      </c>
      <c r="D52" s="46">
        <v>430</v>
      </c>
      <c r="E52" s="32" t="s">
        <v>290</v>
      </c>
      <c r="F52" s="32"/>
      <c r="G52" s="44">
        <v>430</v>
      </c>
      <c r="H52" s="46">
        <v>600</v>
      </c>
      <c r="I52" s="27">
        <v>600</v>
      </c>
      <c r="J52" s="26">
        <f t="shared" ref="J52:J56" si="24">H52-I52</f>
        <v>0</v>
      </c>
      <c r="L52" s="44">
        <v>100925</v>
      </c>
      <c r="M52" s="44">
        <v>304</v>
      </c>
      <c r="N52" s="45">
        <v>0.9</v>
      </c>
      <c r="O52" s="46"/>
      <c r="P52" s="32" t="s">
        <v>292</v>
      </c>
      <c r="Q52" s="32"/>
      <c r="R52" s="44"/>
      <c r="S52" s="46">
        <v>600</v>
      </c>
      <c r="T52" s="27">
        <v>600</v>
      </c>
      <c r="U52" s="26">
        <f t="shared" ref="U52:U56" si="25">S52-T52</f>
        <v>0</v>
      </c>
      <c r="W52" s="44">
        <v>100925</v>
      </c>
      <c r="X52" s="44">
        <v>304</v>
      </c>
      <c r="Y52" s="45">
        <v>0.9</v>
      </c>
      <c r="Z52" s="46"/>
      <c r="AA52" s="32" t="s">
        <v>293</v>
      </c>
      <c r="AB52" s="32"/>
      <c r="AC52" s="44"/>
      <c r="AD52" s="46">
        <v>1500</v>
      </c>
      <c r="AE52" s="27">
        <v>1500</v>
      </c>
      <c r="AF52" s="26">
        <f t="shared" ref="AF52:AF56" si="26">AD52-AE52</f>
        <v>0</v>
      </c>
      <c r="AH52" s="24" t="s">
        <v>458</v>
      </c>
      <c r="AI52" s="24">
        <v>304</v>
      </c>
      <c r="AJ52" s="31">
        <v>0.9</v>
      </c>
      <c r="AK52" s="31" t="s">
        <v>27</v>
      </c>
      <c r="AL52" s="29" t="s">
        <v>459</v>
      </c>
      <c r="AM52" s="29"/>
      <c r="AN52" s="24">
        <v>430</v>
      </c>
      <c r="AO52" s="26">
        <v>800</v>
      </c>
      <c r="AP52" s="27">
        <v>800</v>
      </c>
      <c r="AQ52" s="26">
        <f t="shared" ref="AQ52:AQ56" si="27">AO52-AP52</f>
        <v>0</v>
      </c>
      <c r="AS52" s="24" t="s">
        <v>458</v>
      </c>
      <c r="AT52" s="24">
        <v>304</v>
      </c>
      <c r="AU52" s="31">
        <v>0.9</v>
      </c>
      <c r="AV52" s="31" t="s">
        <v>27</v>
      </c>
      <c r="AW52" s="29" t="s">
        <v>462</v>
      </c>
      <c r="AX52" s="29"/>
      <c r="AY52" s="24"/>
      <c r="AZ52" s="26">
        <v>1200</v>
      </c>
      <c r="BA52" s="27">
        <v>1200</v>
      </c>
      <c r="BB52" s="26">
        <f t="shared" ref="BB52:BB56" si="28">AZ52-BA52</f>
        <v>0</v>
      </c>
      <c r="BD52" s="24" t="s">
        <v>458</v>
      </c>
      <c r="BE52" s="24">
        <v>304</v>
      </c>
      <c r="BF52" s="31">
        <v>0.9</v>
      </c>
      <c r="BG52" s="31" t="s">
        <v>27</v>
      </c>
      <c r="BH52" s="29" t="s">
        <v>463</v>
      </c>
      <c r="BI52" s="29"/>
      <c r="BJ52" s="24"/>
      <c r="BK52" s="26">
        <v>1500</v>
      </c>
      <c r="BL52" s="27">
        <v>1500</v>
      </c>
      <c r="BM52" s="26">
        <f t="shared" ref="BM52:BM56" si="29">BK52-BL52</f>
        <v>0</v>
      </c>
    </row>
    <row r="53" spans="1:65" s="30" customFormat="1" ht="20.100000000000001" customHeight="1" x14ac:dyDescent="0.3">
      <c r="A53" s="44">
        <v>100925</v>
      </c>
      <c r="B53" s="44">
        <v>304</v>
      </c>
      <c r="C53" s="45">
        <v>0.9</v>
      </c>
      <c r="D53" s="46"/>
      <c r="E53" s="32" t="s">
        <v>293</v>
      </c>
      <c r="F53" s="32"/>
      <c r="G53" s="44"/>
      <c r="H53" s="46">
        <v>400</v>
      </c>
      <c r="I53" s="27">
        <v>400</v>
      </c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44"/>
      <c r="X53" s="44"/>
      <c r="Y53" s="45"/>
      <c r="Z53" s="46"/>
      <c r="AA53" s="32"/>
      <c r="AB53" s="29"/>
      <c r="AC53" s="44"/>
      <c r="AD53" s="4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 t="s">
        <v>458</v>
      </c>
      <c r="AT53" s="24">
        <v>304</v>
      </c>
      <c r="AU53" s="31">
        <v>0.9</v>
      </c>
      <c r="AV53" s="31" t="s">
        <v>27</v>
      </c>
      <c r="AW53" s="29" t="s">
        <v>461</v>
      </c>
      <c r="AX53" s="29"/>
      <c r="AY53" s="24">
        <v>430</v>
      </c>
      <c r="AZ53" s="26">
        <v>1000</v>
      </c>
      <c r="BA53" s="27">
        <v>1000</v>
      </c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44"/>
      <c r="X54" s="44"/>
      <c r="Y54" s="45"/>
      <c r="Z54" s="46"/>
      <c r="AA54" s="32"/>
      <c r="AB54" s="32"/>
      <c r="AC54" s="44"/>
      <c r="AD54" s="4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2000</v>
      </c>
      <c r="I57" s="27">
        <f>SUM(I51:I56)</f>
        <v>2000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1700</v>
      </c>
      <c r="T57" s="27">
        <f>SUM(T51:T56)</f>
        <v>1700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2100</v>
      </c>
      <c r="AE57" s="27">
        <f>SUM(AE51:AE56)</f>
        <v>2100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2300</v>
      </c>
      <c r="AP57" s="27">
        <f>SUM(AP51:AP56)</f>
        <v>2300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2600</v>
      </c>
      <c r="BA57" s="27">
        <f>SUM(BA51:BA56)</f>
        <v>2600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2000</v>
      </c>
      <c r="BL57" s="27">
        <f>SUM(BL51:BL56)</f>
        <v>2000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160925</v>
      </c>
      <c r="B62" s="24">
        <v>304</v>
      </c>
      <c r="C62" s="31">
        <v>0.7</v>
      </c>
      <c r="D62" s="31" t="s">
        <v>27</v>
      </c>
      <c r="E62" s="29" t="s">
        <v>356</v>
      </c>
      <c r="F62" s="29"/>
      <c r="G62" s="24"/>
      <c r="H62" s="26">
        <v>1100</v>
      </c>
      <c r="I62" s="27"/>
      <c r="J62" s="26">
        <f>H62-I62</f>
        <v>1100</v>
      </c>
      <c r="L62" s="24">
        <v>290925</v>
      </c>
      <c r="M62" s="24">
        <v>304</v>
      </c>
      <c r="N62" s="31">
        <v>0.6</v>
      </c>
      <c r="O62" s="31"/>
      <c r="P62" s="29" t="s">
        <v>469</v>
      </c>
      <c r="Q62" s="29"/>
      <c r="R62" s="24"/>
      <c r="S62" s="26">
        <v>3000</v>
      </c>
      <c r="T62" s="27"/>
      <c r="U62" s="26">
        <f>S62-T62</f>
        <v>3000</v>
      </c>
      <c r="W62" s="24">
        <v>290925</v>
      </c>
      <c r="X62" s="24">
        <v>304</v>
      </c>
      <c r="Y62" s="31">
        <v>0.9</v>
      </c>
      <c r="Z62" s="31" t="s">
        <v>27</v>
      </c>
      <c r="AA62" s="29" t="s">
        <v>470</v>
      </c>
      <c r="AB62" s="29"/>
      <c r="AC62" s="24">
        <v>430</v>
      </c>
      <c r="AD62" s="26">
        <v>4000</v>
      </c>
      <c r="AE62" s="27"/>
      <c r="AF62" s="26">
        <f>AD62-AE62</f>
        <v>4000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>
        <v>160925</v>
      </c>
      <c r="B63" s="24">
        <v>304</v>
      </c>
      <c r="C63" s="31">
        <v>0.7</v>
      </c>
      <c r="D63" s="31" t="s">
        <v>27</v>
      </c>
      <c r="E63" s="29" t="s">
        <v>357</v>
      </c>
      <c r="F63" s="29"/>
      <c r="G63" s="24"/>
      <c r="H63" s="26">
        <v>1100</v>
      </c>
      <c r="I63" s="27"/>
      <c r="J63" s="26">
        <f t="shared" ref="J63:J67" si="30">H63-I63</f>
        <v>1100</v>
      </c>
      <c r="L63" s="24">
        <v>290925</v>
      </c>
      <c r="M63" s="24">
        <v>304</v>
      </c>
      <c r="N63" s="31">
        <v>0.6</v>
      </c>
      <c r="O63" s="31"/>
      <c r="P63" s="29" t="s">
        <v>468</v>
      </c>
      <c r="Q63" s="29"/>
      <c r="R63" s="24"/>
      <c r="S63" s="26">
        <v>3000</v>
      </c>
      <c r="T63" s="27"/>
      <c r="U63" s="26">
        <f t="shared" ref="U63:U67" si="31">S63-T63</f>
        <v>3000</v>
      </c>
      <c r="W63" s="24">
        <v>290925</v>
      </c>
      <c r="X63" s="24">
        <v>304</v>
      </c>
      <c r="Y63" s="31">
        <v>0.9</v>
      </c>
      <c r="Z63" s="31" t="s">
        <v>27</v>
      </c>
      <c r="AA63" s="29" t="s">
        <v>471</v>
      </c>
      <c r="AB63" s="29"/>
      <c r="AC63" s="24"/>
      <c r="AD63" s="26">
        <v>4000</v>
      </c>
      <c r="AE63" s="27"/>
      <c r="AF63" s="26">
        <f t="shared" ref="AF63:AF67" si="32">AD63-AE63</f>
        <v>4000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2200</v>
      </c>
      <c r="I68" s="27">
        <f>SUM(I62:I67)</f>
        <v>0</v>
      </c>
      <c r="J68" s="26">
        <f>SUM(J62:J67)</f>
        <v>2200</v>
      </c>
      <c r="L68" s="34"/>
      <c r="M68" s="34"/>
      <c r="N68" s="34"/>
      <c r="O68" s="34"/>
      <c r="P68" s="35"/>
      <c r="Q68" s="35"/>
      <c r="R68" s="36"/>
      <c r="S68" s="26">
        <f>SUM(S62:S67)</f>
        <v>6000</v>
      </c>
      <c r="T68" s="27">
        <f>SUM(T62:T67)</f>
        <v>0</v>
      </c>
      <c r="U68" s="26">
        <f>SUM(U62:U67)</f>
        <v>6000</v>
      </c>
      <c r="W68" s="34"/>
      <c r="X68" s="34"/>
      <c r="Y68" s="34"/>
      <c r="Z68" s="34"/>
      <c r="AA68" s="35"/>
      <c r="AB68" s="35"/>
      <c r="AC68" s="36"/>
      <c r="AD68" s="26">
        <f>SUM(AD62:AD67)</f>
        <v>8000</v>
      </c>
      <c r="AE68" s="27">
        <f>SUM(AE62:AE67)</f>
        <v>0</v>
      </c>
      <c r="AF68" s="26">
        <f>SUM(AF62:AF67)</f>
        <v>8000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>
        <v>180925</v>
      </c>
      <c r="B73" s="24">
        <v>430</v>
      </c>
      <c r="C73" s="31">
        <v>0.5</v>
      </c>
      <c r="D73" s="31" t="s">
        <v>27</v>
      </c>
      <c r="E73" s="29" t="s">
        <v>440</v>
      </c>
      <c r="F73" s="29"/>
      <c r="G73" s="24"/>
      <c r="H73" s="26">
        <v>1400</v>
      </c>
      <c r="I73" s="27"/>
      <c r="J73" s="26">
        <f>H73-I73</f>
        <v>1400</v>
      </c>
      <c r="L73" s="24">
        <v>180925</v>
      </c>
      <c r="M73" s="24">
        <v>430</v>
      </c>
      <c r="N73" s="31">
        <v>0.5</v>
      </c>
      <c r="O73" s="31" t="s">
        <v>27</v>
      </c>
      <c r="P73" s="29" t="s">
        <v>442</v>
      </c>
      <c r="Q73" s="29"/>
      <c r="R73" s="24"/>
      <c r="S73" s="26">
        <v>1400</v>
      </c>
      <c r="T73" s="27"/>
      <c r="U73" s="26">
        <f>S73-T73</f>
        <v>1400</v>
      </c>
      <c r="W73" s="24">
        <v>180925</v>
      </c>
      <c r="X73" s="24">
        <v>430</v>
      </c>
      <c r="Y73" s="31">
        <v>0.5</v>
      </c>
      <c r="Z73" s="31" t="s">
        <v>27</v>
      </c>
      <c r="AA73" s="29" t="s">
        <v>443</v>
      </c>
      <c r="AB73" s="32"/>
      <c r="AC73" s="24"/>
      <c r="AD73" s="26">
        <v>1000</v>
      </c>
      <c r="AE73" s="27"/>
      <c r="AF73" s="26">
        <f>AD73-AE73</f>
        <v>1000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>
        <v>180925</v>
      </c>
      <c r="B74" s="24">
        <v>430</v>
      </c>
      <c r="C74" s="31">
        <v>0.5</v>
      </c>
      <c r="D74" s="31" t="s">
        <v>27</v>
      </c>
      <c r="E74" s="29" t="s">
        <v>441</v>
      </c>
      <c r="F74" s="29"/>
      <c r="G74" s="24"/>
      <c r="H74" s="26">
        <v>1400</v>
      </c>
      <c r="I74" s="27"/>
      <c r="J74" s="26">
        <f t="shared" ref="J74:J78" si="36">H74-I74</f>
        <v>1400</v>
      </c>
      <c r="L74" s="24">
        <v>180925</v>
      </c>
      <c r="M74" s="24">
        <v>430</v>
      </c>
      <c r="N74" s="31">
        <v>0.5</v>
      </c>
      <c r="O74" s="31" t="s">
        <v>27</v>
      </c>
      <c r="P74" s="29" t="s">
        <v>443</v>
      </c>
      <c r="Q74" s="32"/>
      <c r="R74" s="24"/>
      <c r="S74" s="26">
        <v>400</v>
      </c>
      <c r="T74" s="27"/>
      <c r="U74" s="26">
        <f t="shared" ref="U74:U78" si="37">S74-T74</f>
        <v>400</v>
      </c>
      <c r="W74" s="24">
        <v>180925</v>
      </c>
      <c r="X74" s="24">
        <v>430</v>
      </c>
      <c r="Y74" s="31">
        <v>0.5</v>
      </c>
      <c r="Z74" s="31" t="s">
        <v>27</v>
      </c>
      <c r="AA74" s="29" t="s">
        <v>444</v>
      </c>
      <c r="AB74" s="33"/>
      <c r="AC74" s="24"/>
      <c r="AD74" s="26">
        <v>1400</v>
      </c>
      <c r="AE74" s="27"/>
      <c r="AF74" s="26">
        <f t="shared" ref="AF74:AF78" si="38">AD74-AE74</f>
        <v>1400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33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2800</v>
      </c>
      <c r="I79" s="27">
        <f>SUM(I73:I78)</f>
        <v>0</v>
      </c>
      <c r="J79" s="26">
        <f>SUM(J73:J78)</f>
        <v>2800</v>
      </c>
      <c r="L79" s="34"/>
      <c r="M79" s="34"/>
      <c r="N79" s="34"/>
      <c r="O79" s="34"/>
      <c r="P79" s="35"/>
      <c r="Q79" s="35"/>
      <c r="R79" s="36"/>
      <c r="S79" s="26">
        <f>SUM(S73:S78)</f>
        <v>1800</v>
      </c>
      <c r="T79" s="27">
        <f>SUM(T73:T78)</f>
        <v>0</v>
      </c>
      <c r="U79" s="26">
        <f>SUM(U73:U78)</f>
        <v>1800</v>
      </c>
      <c r="W79" s="34"/>
      <c r="X79" s="34"/>
      <c r="Y79" s="34"/>
      <c r="Z79" s="34"/>
      <c r="AA79" s="35"/>
      <c r="AB79" s="35"/>
      <c r="AC79" s="36"/>
      <c r="AD79" s="26">
        <f>SUM(AD73:AD78)</f>
        <v>2400</v>
      </c>
      <c r="AE79" s="27">
        <f>SUM(AE73:AE78)</f>
        <v>0</v>
      </c>
      <c r="AF79" s="26">
        <f>SUM(AF73:AF78)</f>
        <v>2400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M22" zoomScale="70" zoomScaleNormal="70" workbookViewId="0">
      <selection activeCell="BH55" sqref="BH55"/>
    </sheetView>
  </sheetViews>
  <sheetFormatPr defaultRowHeight="14.4" x14ac:dyDescent="0.3"/>
  <cols>
    <col min="1" max="1" width="10" style="1" bestFit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1.77734375" customWidth="1"/>
    <col min="12" max="12" width="10" style="1" bestFit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1" customWidth="1"/>
    <col min="29" max="32" width="8.21875" style="1" customWidth="1"/>
    <col min="33" max="33" width="2.6640625" customWidth="1"/>
    <col min="34" max="34" width="8.5546875" style="1" customWidth="1"/>
    <col min="35" max="35" width="7.5546875" style="1" customWidth="1"/>
    <col min="36" max="36" width="9.21875" style="1" bestFit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322</v>
      </c>
      <c r="AD2" s="84"/>
      <c r="AE2" s="87" t="s">
        <v>323</v>
      </c>
      <c r="AF2" s="88"/>
      <c r="BJ2" s="83" t="s">
        <v>322</v>
      </c>
      <c r="BK2" s="84"/>
      <c r="BL2" s="87" t="s">
        <v>323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44">
        <v>250077</v>
      </c>
      <c r="B7" s="44">
        <v>430</v>
      </c>
      <c r="C7" s="45">
        <v>0.5</v>
      </c>
      <c r="D7" s="45" t="s">
        <v>25</v>
      </c>
      <c r="E7" s="32" t="s">
        <v>434</v>
      </c>
      <c r="F7" s="32"/>
      <c r="G7" s="44"/>
      <c r="H7" s="46">
        <v>1400</v>
      </c>
      <c r="I7" s="27">
        <v>1400</v>
      </c>
      <c r="J7" s="26">
        <f>H7-I7</f>
        <v>0</v>
      </c>
      <c r="L7" s="44"/>
      <c r="M7" s="44"/>
      <c r="N7" s="45"/>
      <c r="O7" s="45"/>
      <c r="P7" s="32"/>
      <c r="Q7" s="32"/>
      <c r="R7" s="44"/>
      <c r="S7" s="46"/>
      <c r="T7" s="27"/>
      <c r="U7" s="26">
        <f>S7-T7</f>
        <v>0</v>
      </c>
      <c r="W7" s="44"/>
      <c r="X7" s="44"/>
      <c r="Y7" s="45"/>
      <c r="Z7" s="45"/>
      <c r="AA7" s="32"/>
      <c r="AB7" s="32"/>
      <c r="AC7" s="44"/>
      <c r="AD7" s="46"/>
      <c r="AE7" s="27"/>
      <c r="AF7" s="26">
        <f>AD7-AE7</f>
        <v>0</v>
      </c>
      <c r="AH7" s="44"/>
      <c r="AI7" s="44"/>
      <c r="AJ7" s="45"/>
      <c r="AK7" s="45"/>
      <c r="AL7" s="32"/>
      <c r="AM7" s="32"/>
      <c r="AN7" s="44"/>
      <c r="AO7" s="46"/>
      <c r="AP7" s="27"/>
      <c r="AQ7" s="26">
        <f>AO7-AP7</f>
        <v>0</v>
      </c>
      <c r="AS7" s="44"/>
      <c r="AT7" s="44"/>
      <c r="AU7" s="45"/>
      <c r="AV7" s="45"/>
      <c r="AW7" s="32"/>
      <c r="AX7" s="32"/>
      <c r="AY7" s="44"/>
      <c r="AZ7" s="46"/>
      <c r="BA7" s="27"/>
      <c r="BB7" s="26">
        <f>AZ7-BA7</f>
        <v>0</v>
      </c>
      <c r="BD7" s="44"/>
      <c r="BE7" s="44"/>
      <c r="BF7" s="45"/>
      <c r="BG7" s="45"/>
      <c r="BH7" s="32"/>
      <c r="BI7" s="32"/>
      <c r="BJ7" s="44"/>
      <c r="BK7" s="46"/>
      <c r="BL7" s="27"/>
      <c r="BM7" s="26">
        <f>BK7-BL7</f>
        <v>0</v>
      </c>
    </row>
    <row r="8" spans="1:65" s="30" customFormat="1" ht="20.100000000000001" customHeight="1" x14ac:dyDescent="0.3">
      <c r="A8" s="44">
        <v>250077</v>
      </c>
      <c r="B8" s="44">
        <v>430</v>
      </c>
      <c r="C8" s="45">
        <v>0.5</v>
      </c>
      <c r="D8" s="45" t="s">
        <v>25</v>
      </c>
      <c r="E8" s="32" t="s">
        <v>435</v>
      </c>
      <c r="F8" s="32"/>
      <c r="G8" s="44"/>
      <c r="H8" s="46">
        <v>1400</v>
      </c>
      <c r="I8" s="27">
        <v>1400</v>
      </c>
      <c r="J8" s="26">
        <f t="shared" ref="J8:J12" si="0">H8-I8</f>
        <v>0</v>
      </c>
      <c r="L8" s="44"/>
      <c r="M8" s="44"/>
      <c r="N8" s="45"/>
      <c r="O8" s="45"/>
      <c r="P8" s="32"/>
      <c r="Q8" s="32"/>
      <c r="R8" s="44"/>
      <c r="S8" s="46"/>
      <c r="T8" s="27"/>
      <c r="U8" s="26">
        <f t="shared" ref="U8:U12" si="1">S8-T8</f>
        <v>0</v>
      </c>
      <c r="W8" s="44"/>
      <c r="X8" s="44"/>
      <c r="Y8" s="45"/>
      <c r="Z8" s="45"/>
      <c r="AA8" s="32"/>
      <c r="AB8" s="32"/>
      <c r="AC8" s="44"/>
      <c r="AD8" s="46"/>
      <c r="AE8" s="27"/>
      <c r="AF8" s="26">
        <f t="shared" ref="AF8:AF12" si="2">AD8-AE8</f>
        <v>0</v>
      </c>
      <c r="AH8" s="44"/>
      <c r="AI8" s="44"/>
      <c r="AJ8" s="45"/>
      <c r="AK8" s="45"/>
      <c r="AL8" s="32"/>
      <c r="AM8" s="32"/>
      <c r="AN8" s="44"/>
      <c r="AO8" s="46"/>
      <c r="AP8" s="27"/>
      <c r="AQ8" s="26">
        <f t="shared" ref="AQ8:AQ12" si="3">AO8-AP8</f>
        <v>0</v>
      </c>
      <c r="AS8" s="44"/>
      <c r="AT8" s="44"/>
      <c r="AU8" s="45"/>
      <c r="AV8" s="45"/>
      <c r="AW8" s="32"/>
      <c r="AX8" s="32"/>
      <c r="AY8" s="44"/>
      <c r="AZ8" s="46"/>
      <c r="BA8" s="27"/>
      <c r="BB8" s="26">
        <f t="shared" ref="BB8:BB12" si="4">AZ8-BA8</f>
        <v>0</v>
      </c>
      <c r="BD8" s="44"/>
      <c r="BE8" s="44"/>
      <c r="BF8" s="45"/>
      <c r="BG8" s="45"/>
      <c r="BH8" s="32"/>
      <c r="BI8" s="32"/>
      <c r="BJ8" s="44"/>
      <c r="BK8" s="4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44"/>
      <c r="X9" s="44"/>
      <c r="Y9" s="45"/>
      <c r="Z9" s="45"/>
      <c r="AA9" s="32"/>
      <c r="AB9" s="32"/>
      <c r="AC9" s="44"/>
      <c r="AD9" s="46"/>
      <c r="AE9" s="27"/>
      <c r="AF9" s="26">
        <f t="shared" si="2"/>
        <v>0</v>
      </c>
      <c r="AH9" s="44"/>
      <c r="AI9" s="44"/>
      <c r="AJ9" s="45"/>
      <c r="AK9" s="45"/>
      <c r="AL9" s="32"/>
      <c r="AM9" s="32"/>
      <c r="AN9" s="44"/>
      <c r="AO9" s="46"/>
      <c r="AP9" s="27"/>
      <c r="AQ9" s="26">
        <f t="shared" si="3"/>
        <v>0</v>
      </c>
      <c r="AS9" s="44"/>
      <c r="AT9" s="44"/>
      <c r="AU9" s="45"/>
      <c r="AV9" s="45"/>
      <c r="AW9" s="32"/>
      <c r="AX9" s="32"/>
      <c r="AY9" s="44"/>
      <c r="AZ9" s="46"/>
      <c r="BA9" s="27"/>
      <c r="BB9" s="26">
        <f t="shared" si="4"/>
        <v>0</v>
      </c>
      <c r="BD9" s="44"/>
      <c r="BE9" s="44"/>
      <c r="BF9" s="45"/>
      <c r="BG9" s="45"/>
      <c r="BH9" s="32"/>
      <c r="BI9" s="32"/>
      <c r="BJ9" s="44"/>
      <c r="BK9" s="4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44"/>
      <c r="AT10" s="44"/>
      <c r="AU10" s="45"/>
      <c r="AV10" s="45"/>
      <c r="AW10" s="32"/>
      <c r="AX10" s="32"/>
      <c r="AY10" s="44"/>
      <c r="AZ10" s="46"/>
      <c r="BA10" s="27"/>
      <c r="BB10" s="26">
        <f t="shared" si="4"/>
        <v>0</v>
      </c>
      <c r="BD10" s="44"/>
      <c r="BE10" s="44"/>
      <c r="BF10" s="44"/>
      <c r="BG10" s="44"/>
      <c r="BH10" s="32"/>
      <c r="BI10" s="32"/>
      <c r="BJ10" s="44"/>
      <c r="BK10" s="4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29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29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29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44"/>
      <c r="AT11" s="44"/>
      <c r="AU11" s="45"/>
      <c r="AV11" s="45"/>
      <c r="AW11" s="32"/>
      <c r="AX11" s="33"/>
      <c r="AY11" s="44"/>
      <c r="AZ11" s="46"/>
      <c r="BA11" s="27"/>
      <c r="BB11" s="26">
        <f t="shared" si="4"/>
        <v>0</v>
      </c>
      <c r="BD11" s="44"/>
      <c r="BE11" s="44"/>
      <c r="BF11" s="45"/>
      <c r="BG11" s="45"/>
      <c r="BH11" s="32"/>
      <c r="BI11" s="33"/>
      <c r="BJ11" s="44"/>
      <c r="BK11" s="4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29"/>
      <c r="G12" s="24"/>
      <c r="H12" s="26"/>
      <c r="I12" s="27"/>
      <c r="J12" s="26">
        <f t="shared" si="0"/>
        <v>0</v>
      </c>
      <c r="L12" s="24"/>
      <c r="M12" s="24"/>
      <c r="N12" s="31"/>
      <c r="O12" s="31"/>
      <c r="P12" s="29"/>
      <c r="Q12" s="29"/>
      <c r="R12" s="24"/>
      <c r="S12" s="26"/>
      <c r="T12" s="27"/>
      <c r="U12" s="26">
        <f t="shared" si="1"/>
        <v>0</v>
      </c>
      <c r="W12" s="24"/>
      <c r="X12" s="24"/>
      <c r="Y12" s="31"/>
      <c r="Z12" s="31"/>
      <c r="AA12" s="29"/>
      <c r="AB12" s="29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44"/>
      <c r="AT12" s="44"/>
      <c r="AU12" s="44"/>
      <c r="AV12" s="44"/>
      <c r="AW12" s="32"/>
      <c r="AX12" s="33"/>
      <c r="AY12" s="44"/>
      <c r="AZ12" s="46"/>
      <c r="BA12" s="27"/>
      <c r="BB12" s="26">
        <f t="shared" si="4"/>
        <v>0</v>
      </c>
      <c r="BD12" s="44"/>
      <c r="BE12" s="44"/>
      <c r="BF12" s="44"/>
      <c r="BG12" s="44"/>
      <c r="BH12" s="32"/>
      <c r="BI12" s="33"/>
      <c r="BJ12" s="44"/>
      <c r="BK12" s="4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2800</v>
      </c>
      <c r="I13" s="27">
        <f>SUM(I7:I12)</f>
        <v>2800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250072</v>
      </c>
      <c r="B18" s="24">
        <v>304</v>
      </c>
      <c r="C18" s="31">
        <v>0.7</v>
      </c>
      <c r="D18" s="31" t="s">
        <v>25</v>
      </c>
      <c r="E18" s="29" t="s">
        <v>52</v>
      </c>
      <c r="F18" s="29"/>
      <c r="G18" s="24">
        <v>430</v>
      </c>
      <c r="H18" s="26">
        <v>750</v>
      </c>
      <c r="I18" s="27">
        <v>750</v>
      </c>
      <c r="J18" s="26">
        <f>H18-I18</f>
        <v>0</v>
      </c>
      <c r="L18" s="24">
        <v>250073</v>
      </c>
      <c r="M18" s="24">
        <v>304</v>
      </c>
      <c r="N18" s="31">
        <v>0.6</v>
      </c>
      <c r="O18" s="31" t="s">
        <v>25</v>
      </c>
      <c r="P18" s="29" t="s">
        <v>51</v>
      </c>
      <c r="Q18" s="29"/>
      <c r="R18" s="24">
        <v>430</v>
      </c>
      <c r="S18" s="26">
        <v>750</v>
      </c>
      <c r="T18" s="53">
        <v>750</v>
      </c>
      <c r="U18" s="26">
        <f>S18-T18</f>
        <v>0</v>
      </c>
      <c r="W18" s="24">
        <v>250071</v>
      </c>
      <c r="X18" s="24">
        <v>304</v>
      </c>
      <c r="Y18" s="31">
        <v>0.7</v>
      </c>
      <c r="Z18" s="31" t="s">
        <v>25</v>
      </c>
      <c r="AA18" s="29" t="s">
        <v>63</v>
      </c>
      <c r="AB18" s="29"/>
      <c r="AC18" s="24">
        <v>430</v>
      </c>
      <c r="AD18" s="26">
        <v>750</v>
      </c>
      <c r="AE18" s="27">
        <v>770</v>
      </c>
      <c r="AF18" s="26">
        <f>AD18-AE18</f>
        <v>-20</v>
      </c>
      <c r="AH18" s="24">
        <v>250073</v>
      </c>
      <c r="AI18" s="24">
        <v>304</v>
      </c>
      <c r="AJ18" s="31">
        <v>0.6</v>
      </c>
      <c r="AK18" s="31" t="s">
        <v>25</v>
      </c>
      <c r="AL18" s="29" t="s">
        <v>50</v>
      </c>
      <c r="AM18" s="29"/>
      <c r="AN18" s="24">
        <v>430</v>
      </c>
      <c r="AO18" s="26">
        <v>750</v>
      </c>
      <c r="AP18" s="53">
        <v>755</v>
      </c>
      <c r="AQ18" s="26">
        <f>AO18-AP18</f>
        <v>-5</v>
      </c>
      <c r="AS18" s="44">
        <v>250077</v>
      </c>
      <c r="AT18" s="44">
        <v>430</v>
      </c>
      <c r="AU18" s="45">
        <v>0.5</v>
      </c>
      <c r="AV18" s="45" t="s">
        <v>25</v>
      </c>
      <c r="AW18" s="32" t="s">
        <v>437</v>
      </c>
      <c r="AX18" s="32"/>
      <c r="AY18" s="44">
        <v>430</v>
      </c>
      <c r="AZ18" s="46">
        <v>600</v>
      </c>
      <c r="BA18" s="27">
        <v>670</v>
      </c>
      <c r="BB18" s="26">
        <f>AZ18-BA18</f>
        <v>-70</v>
      </c>
      <c r="BD18" s="44">
        <v>160925</v>
      </c>
      <c r="BE18" s="44">
        <v>304</v>
      </c>
      <c r="BF18" s="45">
        <v>0.7</v>
      </c>
      <c r="BG18" s="45" t="s">
        <v>41</v>
      </c>
      <c r="BH18" s="32" t="s">
        <v>351</v>
      </c>
      <c r="BI18" s="32"/>
      <c r="BJ18" s="44">
        <v>430</v>
      </c>
      <c r="BK18" s="46">
        <v>600</v>
      </c>
      <c r="BL18" s="53">
        <v>600</v>
      </c>
      <c r="BM18" s="26">
        <f>BK18-BL18</f>
        <v>0</v>
      </c>
    </row>
    <row r="19" spans="1:65" s="30" customFormat="1" ht="20.100000000000001" customHeight="1" x14ac:dyDescent="0.3">
      <c r="A19" s="24">
        <v>250071</v>
      </c>
      <c r="B19" s="24">
        <v>304</v>
      </c>
      <c r="C19" s="31">
        <v>0.7</v>
      </c>
      <c r="D19" s="31" t="s">
        <v>25</v>
      </c>
      <c r="E19" s="29" t="s">
        <v>64</v>
      </c>
      <c r="F19" s="29"/>
      <c r="G19" s="24">
        <v>430</v>
      </c>
      <c r="H19" s="26">
        <v>750</v>
      </c>
      <c r="I19" s="27">
        <v>800</v>
      </c>
      <c r="J19" s="26">
        <f t="shared" ref="J19:J21" si="6">H19-I19</f>
        <v>-50</v>
      </c>
      <c r="L19" s="24">
        <v>250072</v>
      </c>
      <c r="M19" s="24">
        <v>304</v>
      </c>
      <c r="N19" s="31">
        <v>0.7</v>
      </c>
      <c r="O19" s="31" t="s">
        <v>25</v>
      </c>
      <c r="P19" s="29" t="s">
        <v>51</v>
      </c>
      <c r="Q19" s="29"/>
      <c r="R19" s="24">
        <v>430</v>
      </c>
      <c r="S19" s="26">
        <v>750</v>
      </c>
      <c r="T19" s="53">
        <v>750</v>
      </c>
      <c r="U19" s="26">
        <f t="shared" ref="U19:U21" si="7">S19-T19</f>
        <v>0</v>
      </c>
      <c r="W19" s="24">
        <v>250071</v>
      </c>
      <c r="X19" s="24">
        <v>304</v>
      </c>
      <c r="Y19" s="31">
        <v>0.7</v>
      </c>
      <c r="Z19" s="31" t="s">
        <v>25</v>
      </c>
      <c r="AA19" s="29" t="s">
        <v>62</v>
      </c>
      <c r="AB19" s="29"/>
      <c r="AC19" s="24">
        <v>430</v>
      </c>
      <c r="AD19" s="26">
        <v>750</v>
      </c>
      <c r="AE19" s="27">
        <v>755</v>
      </c>
      <c r="AF19" s="26">
        <f t="shared" ref="AF19:AF21" si="8">AD19-AE19</f>
        <v>-5</v>
      </c>
      <c r="AH19" s="24">
        <v>250072</v>
      </c>
      <c r="AI19" s="24">
        <v>304</v>
      </c>
      <c r="AJ19" s="31">
        <v>0.7</v>
      </c>
      <c r="AK19" s="31" t="s">
        <v>25</v>
      </c>
      <c r="AL19" s="29" t="s">
        <v>50</v>
      </c>
      <c r="AM19" s="29"/>
      <c r="AN19" s="24">
        <v>430</v>
      </c>
      <c r="AO19" s="26">
        <v>750</v>
      </c>
      <c r="AP19" s="53">
        <v>755</v>
      </c>
      <c r="AQ19" s="26">
        <f t="shared" ref="AQ19:AQ21" si="9">AO19-AP19</f>
        <v>-5</v>
      </c>
      <c r="AS19" s="44">
        <v>250077</v>
      </c>
      <c r="AT19" s="44">
        <v>430</v>
      </c>
      <c r="AU19" s="45">
        <v>0.5</v>
      </c>
      <c r="AV19" s="45" t="s">
        <v>25</v>
      </c>
      <c r="AW19" s="32" t="s">
        <v>436</v>
      </c>
      <c r="AX19" s="32"/>
      <c r="AY19" s="44">
        <v>430</v>
      </c>
      <c r="AZ19" s="46">
        <v>1400</v>
      </c>
      <c r="BA19" s="27">
        <v>700</v>
      </c>
      <c r="BB19" s="26">
        <f t="shared" ref="BB19:BB21" si="10">AZ19-BA19</f>
        <v>700</v>
      </c>
      <c r="BD19" s="44">
        <v>160925</v>
      </c>
      <c r="BE19" s="44">
        <v>304</v>
      </c>
      <c r="BF19" s="45">
        <v>0.7</v>
      </c>
      <c r="BG19" s="45" t="s">
        <v>41</v>
      </c>
      <c r="BH19" s="32" t="s">
        <v>352</v>
      </c>
      <c r="BI19" s="32"/>
      <c r="BJ19" s="44">
        <v>430</v>
      </c>
      <c r="BK19" s="46">
        <v>1100</v>
      </c>
      <c r="BL19" s="53">
        <v>1100</v>
      </c>
      <c r="BM19" s="26">
        <f t="shared" ref="BM19:BM21" si="11">BK19-BL19</f>
        <v>0</v>
      </c>
    </row>
    <row r="20" spans="1:65" s="30" customFormat="1" ht="20.100000000000001" customHeight="1" x14ac:dyDescent="0.3">
      <c r="A20" s="24">
        <v>250073</v>
      </c>
      <c r="B20" s="24">
        <v>304</v>
      </c>
      <c r="C20" s="31">
        <v>0.6</v>
      </c>
      <c r="D20" s="31" t="s">
        <v>25</v>
      </c>
      <c r="E20" s="29" t="s">
        <v>52</v>
      </c>
      <c r="F20" s="29"/>
      <c r="G20" s="24">
        <v>430</v>
      </c>
      <c r="H20" s="26">
        <v>750</v>
      </c>
      <c r="I20" s="27">
        <v>800</v>
      </c>
      <c r="J20" s="26">
        <f t="shared" si="6"/>
        <v>-50</v>
      </c>
      <c r="L20" s="24">
        <v>250070</v>
      </c>
      <c r="M20" s="24">
        <v>304</v>
      </c>
      <c r="N20" s="31">
        <v>0.6</v>
      </c>
      <c r="O20" s="31" t="s">
        <v>25</v>
      </c>
      <c r="P20" s="29" t="s">
        <v>431</v>
      </c>
      <c r="Q20" s="29"/>
      <c r="R20" s="24">
        <v>430</v>
      </c>
      <c r="S20" s="26">
        <v>750</v>
      </c>
      <c r="T20" s="53">
        <v>770</v>
      </c>
      <c r="U20" s="26">
        <f t="shared" si="7"/>
        <v>-20</v>
      </c>
      <c r="W20" s="24">
        <v>250070</v>
      </c>
      <c r="X20" s="24">
        <v>304</v>
      </c>
      <c r="Y20" s="31">
        <v>0.6</v>
      </c>
      <c r="Z20" s="31" t="s">
        <v>25</v>
      </c>
      <c r="AA20" s="29" t="s">
        <v>430</v>
      </c>
      <c r="AB20" s="29"/>
      <c r="AC20" s="24">
        <v>430</v>
      </c>
      <c r="AD20" s="26">
        <v>750</v>
      </c>
      <c r="AE20" s="27">
        <v>755</v>
      </c>
      <c r="AF20" s="26">
        <f t="shared" si="8"/>
        <v>-5</v>
      </c>
      <c r="AH20" s="44">
        <v>250077</v>
      </c>
      <c r="AI20" s="44">
        <v>430</v>
      </c>
      <c r="AJ20" s="45">
        <v>0.5</v>
      </c>
      <c r="AK20" s="45" t="s">
        <v>25</v>
      </c>
      <c r="AL20" s="32" t="s">
        <v>437</v>
      </c>
      <c r="AM20" s="32"/>
      <c r="AN20" s="44">
        <v>430</v>
      </c>
      <c r="AO20" s="46">
        <v>800</v>
      </c>
      <c r="AP20" s="53">
        <v>800</v>
      </c>
      <c r="AQ20" s="26">
        <f t="shared" si="9"/>
        <v>0</v>
      </c>
      <c r="AS20" s="44">
        <v>160925</v>
      </c>
      <c r="AT20" s="44">
        <v>304</v>
      </c>
      <c r="AU20" s="45">
        <v>0.7</v>
      </c>
      <c r="AV20" s="45" t="s">
        <v>41</v>
      </c>
      <c r="AW20" s="32" t="s">
        <v>351</v>
      </c>
      <c r="AX20" s="32"/>
      <c r="AY20" s="44">
        <v>430</v>
      </c>
      <c r="AZ20" s="46">
        <v>500</v>
      </c>
      <c r="BA20" s="27">
        <v>500</v>
      </c>
      <c r="BB20" s="26">
        <f t="shared" si="10"/>
        <v>0</v>
      </c>
      <c r="BD20" s="44"/>
      <c r="BE20" s="44"/>
      <c r="BF20" s="45"/>
      <c r="BG20" s="45"/>
      <c r="BH20" s="32"/>
      <c r="BI20" s="32"/>
      <c r="BJ20" s="44"/>
      <c r="BK20" s="46"/>
      <c r="BL20" s="53"/>
      <c r="BM20" s="26">
        <f t="shared" si="11"/>
        <v>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27"/>
      <c r="J21" s="26">
        <f t="shared" si="6"/>
        <v>0</v>
      </c>
      <c r="L21" s="24"/>
      <c r="M21" s="24"/>
      <c r="N21" s="31"/>
      <c r="O21" s="31"/>
      <c r="P21" s="29"/>
      <c r="Q21" s="29"/>
      <c r="R21" s="24"/>
      <c r="S21" s="26"/>
      <c r="T21" s="53"/>
      <c r="U21" s="26">
        <f t="shared" si="7"/>
        <v>0</v>
      </c>
      <c r="W21" s="44"/>
      <c r="X21" s="44"/>
      <c r="Y21" s="45"/>
      <c r="Z21" s="45"/>
      <c r="AA21" s="32"/>
      <c r="AB21" s="32"/>
      <c r="AC21" s="44"/>
      <c r="AD21" s="46"/>
      <c r="AE21" s="27"/>
      <c r="AF21" s="26">
        <f t="shared" si="8"/>
        <v>0</v>
      </c>
      <c r="AH21" s="44"/>
      <c r="AI21" s="44"/>
      <c r="AJ21" s="45"/>
      <c r="AK21" s="45"/>
      <c r="AL21" s="32"/>
      <c r="AM21" s="32"/>
      <c r="AN21" s="44"/>
      <c r="AO21" s="46"/>
      <c r="AP21" s="53"/>
      <c r="AQ21" s="26">
        <f t="shared" si="9"/>
        <v>0</v>
      </c>
      <c r="AS21" s="44"/>
      <c r="AT21" s="44"/>
      <c r="AU21" s="45"/>
      <c r="AV21" s="45"/>
      <c r="AW21" s="32"/>
      <c r="AX21" s="32"/>
      <c r="AY21" s="44"/>
      <c r="AZ21" s="46"/>
      <c r="BA21" s="27"/>
      <c r="BB21" s="26">
        <f t="shared" si="10"/>
        <v>0</v>
      </c>
      <c r="BD21" s="44"/>
      <c r="BE21" s="44"/>
      <c r="BF21" s="44"/>
      <c r="BG21" s="44"/>
      <c r="BH21" s="32"/>
      <c r="BI21" s="32"/>
      <c r="BJ21" s="44"/>
      <c r="BK21" s="46"/>
      <c r="BL21" s="53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ref="J22:J23" si="12">H22-I22</f>
        <v>0</v>
      </c>
      <c r="L22" s="44"/>
      <c r="M22" s="44"/>
      <c r="N22" s="45"/>
      <c r="O22" s="45"/>
      <c r="P22" s="32"/>
      <c r="Q22" s="32"/>
      <c r="R22" s="44"/>
      <c r="S22" s="46"/>
      <c r="T22" s="53"/>
      <c r="U22" s="26">
        <f t="shared" ref="U22:U23" si="13">S22-T22</f>
        <v>0</v>
      </c>
      <c r="W22" s="24"/>
      <c r="X22" s="24"/>
      <c r="Y22" s="31"/>
      <c r="Z22" s="31"/>
      <c r="AA22" s="29"/>
      <c r="AB22" s="29"/>
      <c r="AC22" s="24"/>
      <c r="AD22" s="26"/>
      <c r="AE22" s="27"/>
      <c r="AF22" s="26">
        <f t="shared" ref="AF22:AF23" si="14">AD22-AE22</f>
        <v>0</v>
      </c>
      <c r="AH22" s="24"/>
      <c r="AI22" s="24"/>
      <c r="AJ22" s="31"/>
      <c r="AK22" s="31"/>
      <c r="AL22" s="29"/>
      <c r="AM22" s="33"/>
      <c r="AN22" s="24"/>
      <c r="AO22" s="26"/>
      <c r="AP22" s="27"/>
      <c r="AQ22" s="26">
        <f t="shared" ref="AQ22:AQ23" si="15">AO22-AP22</f>
        <v>0</v>
      </c>
      <c r="AS22" s="44"/>
      <c r="AT22" s="44"/>
      <c r="AU22" s="45"/>
      <c r="AV22" s="45"/>
      <c r="AW22" s="32"/>
      <c r="AX22" s="33"/>
      <c r="AY22" s="44"/>
      <c r="AZ22" s="46"/>
      <c r="BA22" s="27"/>
      <c r="BB22" s="26">
        <f t="shared" ref="BB22:BB23" si="16">AZ22-BA22</f>
        <v>0</v>
      </c>
      <c r="BD22" s="44"/>
      <c r="BE22" s="44"/>
      <c r="BF22" s="45"/>
      <c r="BG22" s="45"/>
      <c r="BH22" s="32"/>
      <c r="BI22" s="33"/>
      <c r="BJ22" s="44"/>
      <c r="BK22" s="46"/>
      <c r="BL22" s="53"/>
      <c r="BM22" s="26">
        <f t="shared" ref="BM22:BM23" si="17">BK22-BL22</f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29"/>
      <c r="G23" s="24"/>
      <c r="H23" s="26"/>
      <c r="I23" s="27"/>
      <c r="J23" s="26">
        <f t="shared" si="12"/>
        <v>0</v>
      </c>
      <c r="L23" s="24"/>
      <c r="M23" s="24"/>
      <c r="N23" s="31"/>
      <c r="O23" s="31"/>
      <c r="P23" s="29"/>
      <c r="Q23" s="29"/>
      <c r="R23" s="24"/>
      <c r="S23" s="26"/>
      <c r="T23" s="27"/>
      <c r="U23" s="26">
        <f t="shared" si="13"/>
        <v>0</v>
      </c>
      <c r="W23" s="24"/>
      <c r="X23" s="24"/>
      <c r="Y23" s="24"/>
      <c r="Z23" s="24"/>
      <c r="AA23" s="29"/>
      <c r="AB23" s="29"/>
      <c r="AC23" s="24"/>
      <c r="AD23" s="26"/>
      <c r="AE23" s="27"/>
      <c r="AF23" s="26">
        <f t="shared" si="14"/>
        <v>0</v>
      </c>
      <c r="AH23" s="24"/>
      <c r="AI23" s="24"/>
      <c r="AJ23" s="24"/>
      <c r="AK23" s="24"/>
      <c r="AL23" s="29"/>
      <c r="AM23" s="33"/>
      <c r="AN23" s="24"/>
      <c r="AO23" s="26"/>
      <c r="AP23" s="27"/>
      <c r="AQ23" s="26">
        <f t="shared" si="15"/>
        <v>0</v>
      </c>
      <c r="AS23" s="44"/>
      <c r="AT23" s="44"/>
      <c r="AU23" s="44"/>
      <c r="AV23" s="44"/>
      <c r="AW23" s="32"/>
      <c r="AX23" s="33"/>
      <c r="AY23" s="44"/>
      <c r="AZ23" s="46"/>
      <c r="BA23" s="27"/>
      <c r="BB23" s="26">
        <f t="shared" si="16"/>
        <v>0</v>
      </c>
      <c r="BD23" s="44"/>
      <c r="BE23" s="44"/>
      <c r="BF23" s="44"/>
      <c r="BG23" s="44"/>
      <c r="BH23" s="32"/>
      <c r="BI23" s="33"/>
      <c r="BJ23" s="44"/>
      <c r="BK23" s="46"/>
      <c r="BL23" s="53"/>
      <c r="BM23" s="26">
        <f t="shared" si="17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2250</v>
      </c>
      <c r="I24" s="27">
        <f>SUM(I18:I23)</f>
        <v>2350</v>
      </c>
      <c r="J24" s="26">
        <f>SUM(J18:J23)</f>
        <v>-100</v>
      </c>
      <c r="L24" s="34"/>
      <c r="M24" s="34"/>
      <c r="N24" s="34"/>
      <c r="O24" s="34"/>
      <c r="P24" s="35"/>
      <c r="Q24" s="35"/>
      <c r="R24" s="36"/>
      <c r="S24" s="26">
        <f>SUM(S18:S23)</f>
        <v>2250</v>
      </c>
      <c r="T24" s="27">
        <f>SUM(T18:T23)</f>
        <v>2270</v>
      </c>
      <c r="U24" s="26">
        <f>SUM(U18:U23)</f>
        <v>-20</v>
      </c>
      <c r="W24" s="34"/>
      <c r="X24" s="34"/>
      <c r="Y24" s="34"/>
      <c r="Z24" s="34"/>
      <c r="AA24" s="35"/>
      <c r="AB24" s="35"/>
      <c r="AC24" s="36"/>
      <c r="AD24" s="26">
        <f>SUM(AD18:AD23)</f>
        <v>2250</v>
      </c>
      <c r="AE24" s="27">
        <f>SUM(AE18:AE23)</f>
        <v>2280</v>
      </c>
      <c r="AF24" s="26">
        <f>SUM(AF18:AF23)</f>
        <v>-30</v>
      </c>
      <c r="AH24" s="34"/>
      <c r="AI24" s="34"/>
      <c r="AJ24" s="34"/>
      <c r="AK24" s="34"/>
      <c r="AL24" s="35"/>
      <c r="AM24" s="35"/>
      <c r="AN24" s="36"/>
      <c r="AO24" s="26">
        <f>SUM(AO18:AO23)</f>
        <v>2300</v>
      </c>
      <c r="AP24" s="27">
        <f>SUM(AP18:AP23)</f>
        <v>2310</v>
      </c>
      <c r="AQ24" s="26">
        <f>SUM(AQ18:AQ23)</f>
        <v>-10</v>
      </c>
      <c r="AS24" s="34"/>
      <c r="AT24" s="34"/>
      <c r="AU24" s="34"/>
      <c r="AV24" s="34"/>
      <c r="AW24" s="35"/>
      <c r="AX24" s="35"/>
      <c r="AY24" s="36"/>
      <c r="AZ24" s="26">
        <f>SUM(AZ18:AZ23)</f>
        <v>2500</v>
      </c>
      <c r="BA24" s="27">
        <f>SUM(BA18:BA23)</f>
        <v>1870</v>
      </c>
      <c r="BB24" s="26">
        <f>SUM(BB18:BB23)</f>
        <v>630</v>
      </c>
      <c r="BD24" s="34"/>
      <c r="BE24" s="34"/>
      <c r="BF24" s="34"/>
      <c r="BG24" s="34"/>
      <c r="BH24" s="35"/>
      <c r="BI24" s="35"/>
      <c r="BJ24" s="36"/>
      <c r="BK24" s="26">
        <f>SUM(BK18:BK23)</f>
        <v>1700</v>
      </c>
      <c r="BL24" s="27">
        <f>SUM(BL18:BL23)</f>
        <v>1700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8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9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20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21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22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23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8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9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20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21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22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23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32"/>
      <c r="G32" s="24"/>
      <c r="H32" s="26"/>
      <c r="I32" s="27"/>
      <c r="J32" s="26">
        <f t="shared" si="18"/>
        <v>0</v>
      </c>
      <c r="L32" s="24"/>
      <c r="M32" s="24"/>
      <c r="N32" s="31"/>
      <c r="O32" s="31"/>
      <c r="P32" s="29"/>
      <c r="Q32" s="32"/>
      <c r="R32" s="24"/>
      <c r="S32" s="26"/>
      <c r="T32" s="27"/>
      <c r="U32" s="26">
        <f t="shared" si="19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20"/>
        <v>0</v>
      </c>
      <c r="AH32" s="24"/>
      <c r="AI32" s="24"/>
      <c r="AJ32" s="31"/>
      <c r="AK32" s="31"/>
      <c r="AL32" s="29"/>
      <c r="AM32" s="32"/>
      <c r="AN32" s="24"/>
      <c r="AO32" s="26"/>
      <c r="AP32" s="27"/>
      <c r="AQ32" s="26">
        <f t="shared" si="21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22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23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33"/>
      <c r="G33" s="24"/>
      <c r="H33" s="26"/>
      <c r="I33" s="27"/>
      <c r="J33" s="26">
        <f t="shared" si="18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9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20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21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22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23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8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9"/>
        <v>0</v>
      </c>
      <c r="W34" s="24"/>
      <c r="X34" s="24"/>
      <c r="Y34" s="24"/>
      <c r="Z34" s="24"/>
      <c r="AA34" s="29"/>
      <c r="AB34" s="33"/>
      <c r="AC34" s="24"/>
      <c r="AD34" s="26"/>
      <c r="AE34" s="27"/>
      <c r="AF34" s="26">
        <f t="shared" si="20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21"/>
        <v>0</v>
      </c>
      <c r="AS34" s="24"/>
      <c r="AT34" s="24"/>
      <c r="AU34" s="24"/>
      <c r="AV34" s="24"/>
      <c r="AW34" s="29"/>
      <c r="AX34" s="33"/>
      <c r="AY34" s="24"/>
      <c r="AZ34" s="26"/>
      <c r="BA34" s="27"/>
      <c r="BB34" s="26">
        <f t="shared" si="22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23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 t="s">
        <v>458</v>
      </c>
      <c r="B40" s="24">
        <v>304</v>
      </c>
      <c r="C40" s="31">
        <v>0.9</v>
      </c>
      <c r="D40" s="31" t="s">
        <v>27</v>
      </c>
      <c r="E40" s="29" t="s">
        <v>464</v>
      </c>
      <c r="F40" s="29"/>
      <c r="G40" s="24">
        <v>430</v>
      </c>
      <c r="H40" s="26">
        <v>1500</v>
      </c>
      <c r="I40" s="27">
        <v>1500</v>
      </c>
      <c r="J40" s="26">
        <f>H40-I40</f>
        <v>0</v>
      </c>
      <c r="L40" s="24" t="s">
        <v>458</v>
      </c>
      <c r="M40" s="24">
        <v>304</v>
      </c>
      <c r="N40" s="31">
        <v>0.9</v>
      </c>
      <c r="O40" s="31" t="s">
        <v>27</v>
      </c>
      <c r="P40" s="29" t="s">
        <v>463</v>
      </c>
      <c r="Q40" s="29"/>
      <c r="R40" s="24"/>
      <c r="S40" s="26">
        <v>700</v>
      </c>
      <c r="T40" s="27">
        <v>700</v>
      </c>
      <c r="U40" s="26">
        <f>S40-T40</f>
        <v>0</v>
      </c>
      <c r="W40" s="24">
        <v>160925</v>
      </c>
      <c r="X40" s="24">
        <v>304</v>
      </c>
      <c r="Y40" s="31">
        <v>0.9</v>
      </c>
      <c r="Z40" s="31" t="s">
        <v>27</v>
      </c>
      <c r="AA40" s="29" t="s">
        <v>354</v>
      </c>
      <c r="AB40" s="29"/>
      <c r="AC40" s="24"/>
      <c r="AD40" s="26">
        <v>300</v>
      </c>
      <c r="AE40" s="27">
        <v>300</v>
      </c>
      <c r="AF40" s="26">
        <f>AD40-AE40</f>
        <v>0</v>
      </c>
      <c r="AH40" s="24">
        <v>290925</v>
      </c>
      <c r="AI40" s="24">
        <v>304</v>
      </c>
      <c r="AJ40" s="31">
        <v>0.9</v>
      </c>
      <c r="AK40" s="31" t="s">
        <v>27</v>
      </c>
      <c r="AL40" s="29" t="s">
        <v>457</v>
      </c>
      <c r="AM40" s="29"/>
      <c r="AN40" s="24">
        <v>430</v>
      </c>
      <c r="AO40" s="26">
        <v>2100</v>
      </c>
      <c r="AP40" s="27">
        <f>450+1650</f>
        <v>2100</v>
      </c>
      <c r="AQ40" s="26">
        <f>AO40-AP40</f>
        <v>0</v>
      </c>
      <c r="AS40" s="24">
        <v>290925</v>
      </c>
      <c r="AT40" s="24">
        <v>304</v>
      </c>
      <c r="AU40" s="31">
        <v>0.9</v>
      </c>
      <c r="AV40" s="31" t="s">
        <v>27</v>
      </c>
      <c r="AW40" s="29" t="s">
        <v>457</v>
      </c>
      <c r="AX40" s="29"/>
      <c r="AY40" s="24">
        <v>430</v>
      </c>
      <c r="AZ40" s="26">
        <v>200</v>
      </c>
      <c r="BA40" s="27">
        <v>350</v>
      </c>
      <c r="BB40" s="26">
        <f>AZ40-BA40</f>
        <v>-150</v>
      </c>
      <c r="BD40" s="24">
        <v>290925</v>
      </c>
      <c r="BE40" s="24">
        <v>304</v>
      </c>
      <c r="BF40" s="31">
        <v>0.9</v>
      </c>
      <c r="BG40" s="31" t="s">
        <v>27</v>
      </c>
      <c r="BH40" s="29" t="s">
        <v>506</v>
      </c>
      <c r="BI40" s="29"/>
      <c r="BJ40" s="24">
        <v>430</v>
      </c>
      <c r="BK40" s="26">
        <v>1200</v>
      </c>
      <c r="BL40" s="27">
        <v>1000</v>
      </c>
      <c r="BM40" s="26">
        <f>BK40-BL40</f>
        <v>200</v>
      </c>
    </row>
    <row r="41" spans="1:65" s="30" customFormat="1" ht="20.100000000000001" customHeight="1" x14ac:dyDescent="0.3">
      <c r="A41" s="24" t="s">
        <v>458</v>
      </c>
      <c r="B41" s="24">
        <v>304</v>
      </c>
      <c r="C41" s="31">
        <v>0.9</v>
      </c>
      <c r="D41" s="31" t="s">
        <v>27</v>
      </c>
      <c r="E41" s="29" t="s">
        <v>463</v>
      </c>
      <c r="F41" s="29"/>
      <c r="G41" s="24"/>
      <c r="H41" s="26">
        <v>800</v>
      </c>
      <c r="I41" s="27">
        <v>200</v>
      </c>
      <c r="J41" s="26">
        <f t="shared" ref="J41:J45" si="24">H41-I41</f>
        <v>600</v>
      </c>
      <c r="L41" s="24">
        <v>160925</v>
      </c>
      <c r="M41" s="24">
        <v>304</v>
      </c>
      <c r="N41" s="31">
        <v>0.9</v>
      </c>
      <c r="O41" s="31" t="s">
        <v>27</v>
      </c>
      <c r="P41" s="29" t="s">
        <v>353</v>
      </c>
      <c r="Q41" s="29"/>
      <c r="R41" s="24">
        <v>430</v>
      </c>
      <c r="S41" s="26">
        <v>1100</v>
      </c>
      <c r="T41" s="27">
        <v>200</v>
      </c>
      <c r="U41" s="26">
        <f t="shared" ref="U41:U45" si="25">S41-T41</f>
        <v>900</v>
      </c>
      <c r="W41" s="24">
        <v>290925</v>
      </c>
      <c r="X41" s="24">
        <v>304</v>
      </c>
      <c r="Y41" s="31">
        <v>0.9</v>
      </c>
      <c r="Z41" s="31" t="s">
        <v>27</v>
      </c>
      <c r="AA41" s="29" t="s">
        <v>457</v>
      </c>
      <c r="AB41" s="29"/>
      <c r="AC41" s="24">
        <v>430</v>
      </c>
      <c r="AD41" s="26">
        <v>1700</v>
      </c>
      <c r="AE41" s="27">
        <f>100+1600</f>
        <v>1700</v>
      </c>
      <c r="AF41" s="26">
        <f t="shared" ref="AF41:AF45" si="26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7">AO41-AP41</f>
        <v>0</v>
      </c>
      <c r="AS41" s="24">
        <v>290925</v>
      </c>
      <c r="AT41" s="24">
        <v>304</v>
      </c>
      <c r="AU41" s="31">
        <v>0.9</v>
      </c>
      <c r="AV41" s="31" t="s">
        <v>27</v>
      </c>
      <c r="AW41" s="29" t="s">
        <v>506</v>
      </c>
      <c r="AX41" s="29"/>
      <c r="AY41" s="24">
        <v>430</v>
      </c>
      <c r="AZ41" s="26">
        <v>2100</v>
      </c>
      <c r="BA41" s="27">
        <v>1200</v>
      </c>
      <c r="BB41" s="26">
        <f t="shared" ref="BB41:BB45" si="28">AZ41-BA41</f>
        <v>900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9">BK41-BL41</f>
        <v>0</v>
      </c>
    </row>
    <row r="42" spans="1:65" s="30" customFormat="1" ht="20.100000000000001" customHeight="1" x14ac:dyDescent="0.3">
      <c r="A42" s="24" t="s">
        <v>458</v>
      </c>
      <c r="B42" s="24">
        <v>304</v>
      </c>
      <c r="C42" s="31">
        <v>0.9</v>
      </c>
      <c r="D42" s="31" t="s">
        <v>27</v>
      </c>
      <c r="E42" s="29" t="s">
        <v>480</v>
      </c>
      <c r="F42" s="29"/>
      <c r="G42" s="24">
        <v>430</v>
      </c>
      <c r="H42" s="26">
        <v>1500</v>
      </c>
      <c r="I42" s="27">
        <v>1500</v>
      </c>
      <c r="J42" s="26">
        <f t="shared" si="24"/>
        <v>0</v>
      </c>
      <c r="L42" s="24">
        <v>160925</v>
      </c>
      <c r="M42" s="24">
        <v>304</v>
      </c>
      <c r="N42" s="31">
        <v>0.9</v>
      </c>
      <c r="O42" s="31" t="s">
        <v>27</v>
      </c>
      <c r="P42" s="29" t="s">
        <v>354</v>
      </c>
      <c r="Q42" s="29"/>
      <c r="R42" s="24"/>
      <c r="S42" s="26">
        <v>800</v>
      </c>
      <c r="T42" s="27">
        <v>800</v>
      </c>
      <c r="U42" s="26">
        <f t="shared" si="25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6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7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8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9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24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25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6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7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8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9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24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25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6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7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8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9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24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25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6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7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8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9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3800</v>
      </c>
      <c r="I46" s="27">
        <f>SUM(I40:I45)</f>
        <v>3200</v>
      </c>
      <c r="J46" s="26">
        <f>SUM(J40:J45)</f>
        <v>600</v>
      </c>
      <c r="L46" s="34"/>
      <c r="M46" s="34"/>
      <c r="N46" s="34"/>
      <c r="O46" s="34"/>
      <c r="P46" s="35"/>
      <c r="Q46" s="35"/>
      <c r="R46" s="36"/>
      <c r="S46" s="26">
        <f>SUM(S40:S45)</f>
        <v>2600</v>
      </c>
      <c r="T46" s="27">
        <f>SUM(T40:T45)</f>
        <v>1700</v>
      </c>
      <c r="U46" s="26">
        <f>SUM(U40:U45)</f>
        <v>900</v>
      </c>
      <c r="W46" s="34"/>
      <c r="X46" s="34"/>
      <c r="Y46" s="34"/>
      <c r="Z46" s="34"/>
      <c r="AA46" s="35"/>
      <c r="AB46" s="35"/>
      <c r="AC46" s="36"/>
      <c r="AD46" s="26">
        <f>SUM(AD40:AD45)</f>
        <v>2000</v>
      </c>
      <c r="AE46" s="27">
        <f>SUM(AE40:AE45)</f>
        <v>2000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2100</v>
      </c>
      <c r="AP46" s="27">
        <f>SUM(AP40:AP45)</f>
        <v>2100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2300</v>
      </c>
      <c r="BA46" s="27">
        <f>SUM(BA40:BA45)</f>
        <v>1550</v>
      </c>
      <c r="BB46" s="26">
        <f>SUM(BB40:BB45)</f>
        <v>750</v>
      </c>
      <c r="BD46" s="34"/>
      <c r="BE46" s="34"/>
      <c r="BF46" s="34"/>
      <c r="BG46" s="34"/>
      <c r="BH46" s="35"/>
      <c r="BI46" s="35"/>
      <c r="BJ46" s="36"/>
      <c r="BK46" s="26">
        <f>SUM(BK40:BK45)</f>
        <v>1200</v>
      </c>
      <c r="BL46" s="27">
        <f>SUM(BL40:BL45)</f>
        <v>1000</v>
      </c>
      <c r="BM46" s="26">
        <f>SUM(BM40:BM45)</f>
        <v>200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 t="s">
        <v>458</v>
      </c>
      <c r="B51" s="24">
        <v>304</v>
      </c>
      <c r="C51" s="31">
        <v>0.9</v>
      </c>
      <c r="D51" s="31" t="s">
        <v>27</v>
      </c>
      <c r="E51" s="29" t="s">
        <v>464</v>
      </c>
      <c r="F51" s="29"/>
      <c r="G51" s="24">
        <v>430</v>
      </c>
      <c r="H51" s="26">
        <v>1500</v>
      </c>
      <c r="I51" s="27">
        <v>1500</v>
      </c>
      <c r="J51" s="26">
        <f>H51-I51</f>
        <v>0</v>
      </c>
      <c r="L51" s="24" t="s">
        <v>458</v>
      </c>
      <c r="M51" s="24">
        <v>304</v>
      </c>
      <c r="N51" s="31">
        <v>0.9</v>
      </c>
      <c r="O51" s="31" t="s">
        <v>27</v>
      </c>
      <c r="P51" s="29" t="s">
        <v>463</v>
      </c>
      <c r="Q51" s="29"/>
      <c r="R51" s="24"/>
      <c r="S51" s="26">
        <v>700</v>
      </c>
      <c r="T51" s="27">
        <v>700</v>
      </c>
      <c r="U51" s="26">
        <f>S51-T51</f>
        <v>0</v>
      </c>
      <c r="W51" s="24">
        <v>160925</v>
      </c>
      <c r="X51" s="24">
        <v>304</v>
      </c>
      <c r="Y51" s="31">
        <v>0.9</v>
      </c>
      <c r="Z51" s="31" t="s">
        <v>27</v>
      </c>
      <c r="AA51" s="29" t="s">
        <v>354</v>
      </c>
      <c r="AB51" s="29"/>
      <c r="AC51" s="24"/>
      <c r="AD51" s="26">
        <v>1100</v>
      </c>
      <c r="AE51" s="27">
        <v>1100</v>
      </c>
      <c r="AF51" s="26">
        <f>AD51-AE51</f>
        <v>0</v>
      </c>
      <c r="AH51" s="24">
        <v>290925</v>
      </c>
      <c r="AI51" s="24">
        <v>304</v>
      </c>
      <c r="AJ51" s="31">
        <v>0.8</v>
      </c>
      <c r="AK51" s="31" t="s">
        <v>27</v>
      </c>
      <c r="AL51" s="29" t="s">
        <v>455</v>
      </c>
      <c r="AM51" s="29"/>
      <c r="AN51" s="24">
        <v>430</v>
      </c>
      <c r="AO51" s="26">
        <v>800</v>
      </c>
      <c r="AP51" s="27"/>
      <c r="AQ51" s="26">
        <f>AO51-AP51</f>
        <v>800</v>
      </c>
      <c r="AS51" s="24">
        <v>290925</v>
      </c>
      <c r="AT51" s="24">
        <v>304</v>
      </c>
      <c r="AU51" s="31">
        <v>0.9</v>
      </c>
      <c r="AV51" s="31" t="s">
        <v>27</v>
      </c>
      <c r="AW51" s="29" t="s">
        <v>457</v>
      </c>
      <c r="AX51" s="29"/>
      <c r="AY51" s="24">
        <v>430</v>
      </c>
      <c r="AZ51" s="26">
        <v>2600</v>
      </c>
      <c r="BA51" s="27">
        <v>1850</v>
      </c>
      <c r="BB51" s="26">
        <f>AZ51-BA51</f>
        <v>750</v>
      </c>
      <c r="BD51" s="24">
        <v>290925</v>
      </c>
      <c r="BE51" s="24">
        <v>304</v>
      </c>
      <c r="BF51" s="31">
        <v>0.9</v>
      </c>
      <c r="BG51" s="31" t="s">
        <v>27</v>
      </c>
      <c r="BH51" s="29" t="s">
        <v>457</v>
      </c>
      <c r="BI51" s="29"/>
      <c r="BJ51" s="24">
        <v>430</v>
      </c>
      <c r="BK51" s="26">
        <v>1200</v>
      </c>
      <c r="BL51" s="27"/>
      <c r="BM51" s="26">
        <f>BK51-BL51</f>
        <v>1200</v>
      </c>
    </row>
    <row r="52" spans="1:65" s="30" customFormat="1" ht="20.100000000000001" customHeight="1" x14ac:dyDescent="0.3">
      <c r="A52" s="24" t="s">
        <v>458</v>
      </c>
      <c r="B52" s="24">
        <v>304</v>
      </c>
      <c r="C52" s="31">
        <v>0.9</v>
      </c>
      <c r="D52" s="31" t="s">
        <v>27</v>
      </c>
      <c r="E52" s="29" t="s">
        <v>463</v>
      </c>
      <c r="F52" s="29"/>
      <c r="G52" s="24"/>
      <c r="H52" s="26">
        <v>800</v>
      </c>
      <c r="I52" s="27">
        <v>800</v>
      </c>
      <c r="J52" s="26">
        <f t="shared" ref="J52:J56" si="30">H52-I52</f>
        <v>0</v>
      </c>
      <c r="L52" s="24" t="s">
        <v>458</v>
      </c>
      <c r="M52" s="24">
        <v>304</v>
      </c>
      <c r="N52" s="31">
        <v>0.9</v>
      </c>
      <c r="O52" s="31" t="s">
        <v>27</v>
      </c>
      <c r="P52" s="29" t="s">
        <v>480</v>
      </c>
      <c r="Q52" s="29"/>
      <c r="R52" s="24">
        <v>430</v>
      </c>
      <c r="S52" s="26">
        <v>1500</v>
      </c>
      <c r="T52" s="27">
        <v>1500</v>
      </c>
      <c r="U52" s="26">
        <f t="shared" ref="U52:U56" si="31">S52-T52</f>
        <v>0</v>
      </c>
      <c r="W52" s="24">
        <v>160925</v>
      </c>
      <c r="X52" s="24">
        <v>304</v>
      </c>
      <c r="Y52" s="31">
        <v>0.9</v>
      </c>
      <c r="Z52" s="31" t="s">
        <v>27</v>
      </c>
      <c r="AA52" s="29" t="s">
        <v>353</v>
      </c>
      <c r="AB52" s="29"/>
      <c r="AC52" s="24">
        <v>430</v>
      </c>
      <c r="AD52" s="26">
        <v>1100</v>
      </c>
      <c r="AE52" s="27">
        <v>1100</v>
      </c>
      <c r="AF52" s="26">
        <f t="shared" ref="AF52:AF56" si="32">AD52-AE52</f>
        <v>0</v>
      </c>
      <c r="AH52" s="24">
        <v>290925</v>
      </c>
      <c r="AI52" s="24">
        <v>304</v>
      </c>
      <c r="AJ52" s="31">
        <v>0.8</v>
      </c>
      <c r="AK52" s="31" t="s">
        <v>27</v>
      </c>
      <c r="AL52" s="29" t="s">
        <v>454</v>
      </c>
      <c r="AM52" s="29"/>
      <c r="AN52" s="24"/>
      <c r="AO52" s="26">
        <v>1800</v>
      </c>
      <c r="AP52" s="27"/>
      <c r="AQ52" s="26">
        <f t="shared" ref="AQ52:AQ56" si="33">AO52-AP52</f>
        <v>1800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34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35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30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31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32"/>
        <v>0</v>
      </c>
      <c r="AH53" s="24">
        <v>290925</v>
      </c>
      <c r="AI53" s="24">
        <v>304</v>
      </c>
      <c r="AJ53" s="31">
        <v>0.8</v>
      </c>
      <c r="AK53" s="31" t="s">
        <v>27</v>
      </c>
      <c r="AL53" s="29" t="s">
        <v>455</v>
      </c>
      <c r="AM53" s="29"/>
      <c r="AN53" s="24"/>
      <c r="AO53" s="26">
        <v>2200</v>
      </c>
      <c r="AP53" s="27"/>
      <c r="AQ53" s="26">
        <f t="shared" si="33"/>
        <v>2200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34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35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30"/>
        <v>0</v>
      </c>
      <c r="L54" s="24"/>
      <c r="M54" s="24"/>
      <c r="N54" s="31"/>
      <c r="O54" s="31"/>
      <c r="P54" s="29"/>
      <c r="Q54" s="29"/>
      <c r="R54" s="24"/>
      <c r="S54" s="26"/>
      <c r="T54" s="27"/>
      <c r="U54" s="26">
        <f t="shared" si="31"/>
        <v>0</v>
      </c>
      <c r="W54" s="24"/>
      <c r="X54" s="24"/>
      <c r="Y54" s="31"/>
      <c r="Z54" s="31"/>
      <c r="AA54" s="29"/>
      <c r="AB54" s="29"/>
      <c r="AC54" s="24"/>
      <c r="AD54" s="26"/>
      <c r="AE54" s="27"/>
      <c r="AF54" s="26">
        <f t="shared" si="32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33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34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35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30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31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32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33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34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35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30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31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32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33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34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35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2300</v>
      </c>
      <c r="I57" s="27">
        <f>SUM(I51:I56)</f>
        <v>2300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2200</v>
      </c>
      <c r="T57" s="27">
        <f>SUM(T51:T56)</f>
        <v>2200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2200</v>
      </c>
      <c r="AE57" s="27">
        <f>SUM(AE51:AE56)</f>
        <v>2200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4800</v>
      </c>
      <c r="AP57" s="27">
        <f>SUM(AP51:AP56)</f>
        <v>0</v>
      </c>
      <c r="AQ57" s="26">
        <f>SUM(AQ51:AQ56)</f>
        <v>4800</v>
      </c>
      <c r="AS57" s="34"/>
      <c r="AT57" s="34"/>
      <c r="AU57" s="34"/>
      <c r="AV57" s="34"/>
      <c r="AW57" s="35"/>
      <c r="AX57" s="35"/>
      <c r="AY57" s="36"/>
      <c r="AZ57" s="26">
        <f>SUM(AZ51:AZ56)</f>
        <v>2600</v>
      </c>
      <c r="BA57" s="27">
        <f>SUM(BA51:BA56)</f>
        <v>1850</v>
      </c>
      <c r="BB57" s="26">
        <f>SUM(BB51:BB56)</f>
        <v>750</v>
      </c>
      <c r="BD57" s="34"/>
      <c r="BE57" s="34"/>
      <c r="BF57" s="34"/>
      <c r="BG57" s="34"/>
      <c r="BH57" s="35"/>
      <c r="BI57" s="35"/>
      <c r="BJ57" s="36"/>
      <c r="BK57" s="26">
        <f>SUM(BK51:BK56)</f>
        <v>1200</v>
      </c>
      <c r="BL57" s="27">
        <f>SUM(BL51:BL56)</f>
        <v>0</v>
      </c>
      <c r="BM57" s="26">
        <f>SUM(BM51:BM56)</f>
        <v>1200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6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7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8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9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40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41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6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7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8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9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40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41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6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7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8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9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40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41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6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7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8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9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40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41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6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7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8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9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40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41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42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43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44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45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6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7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42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43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44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45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6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7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42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43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44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45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6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7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42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43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44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45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6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7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42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43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44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45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6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7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5:BM5"/>
    <mergeCell ref="BJ2:BK3"/>
    <mergeCell ref="BL2:BM3"/>
    <mergeCell ref="A4:J4"/>
    <mergeCell ref="L4:U4"/>
    <mergeCell ref="W4:AF4"/>
    <mergeCell ref="AH4:AQ4"/>
    <mergeCell ref="AS4:BB4"/>
    <mergeCell ref="BD4:BM4"/>
    <mergeCell ref="A5:J5"/>
    <mergeCell ref="L5:U5"/>
    <mergeCell ref="W5:AF5"/>
    <mergeCell ref="AH5:AQ5"/>
    <mergeCell ref="AS5:BB5"/>
    <mergeCell ref="AC2:AD3"/>
    <mergeCell ref="AE2:AF3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43" zoomScale="40" zoomScaleNormal="40" workbookViewId="0">
      <selection activeCell="A62" sqref="A62"/>
    </sheetView>
  </sheetViews>
  <sheetFormatPr defaultRowHeight="14.4" x14ac:dyDescent="0.3"/>
  <cols>
    <col min="1" max="1" width="8.5546875" style="1" customWidth="1"/>
    <col min="2" max="2" width="7.5546875" style="1" customWidth="1"/>
    <col min="3" max="3" width="10.5546875" style="1" customWidth="1"/>
    <col min="4" max="4" width="9.5546875" style="1" customWidth="1"/>
    <col min="5" max="5" width="60.5546875" style="1" customWidth="1"/>
    <col min="6" max="6" width="0.77734375" style="1" customWidth="1"/>
    <col min="7" max="10" width="8.21875" style="1" customWidth="1"/>
    <col min="11" max="11" width="1.77734375" customWidth="1"/>
    <col min="12" max="12" width="8.5546875" style="1" customWidth="1"/>
    <col min="13" max="13" width="7.5546875" style="1" customWidth="1"/>
    <col min="14" max="14" width="10.5546875" style="1" customWidth="1"/>
    <col min="15" max="15" width="9.5546875" style="1" customWidth="1"/>
    <col min="16" max="16" width="60.5546875" style="1" customWidth="1"/>
    <col min="17" max="17" width="0.77734375" style="1" customWidth="1"/>
    <col min="18" max="21" width="8.21875" style="1" customWidth="1"/>
    <col min="22" max="22" width="1.77734375" customWidth="1"/>
    <col min="23" max="23" width="8.5546875" style="1" customWidth="1"/>
    <col min="24" max="24" width="7.5546875" style="1" customWidth="1"/>
    <col min="25" max="25" width="10.5546875" style="1" customWidth="1"/>
    <col min="26" max="26" width="9.5546875" style="1" customWidth="1"/>
    <col min="27" max="27" width="60.5546875" style="1" customWidth="1"/>
    <col min="28" max="28" width="0.77734375" style="1" customWidth="1"/>
    <col min="29" max="32" width="8.21875" style="1" customWidth="1"/>
    <col min="33" max="33" width="2.6640625" customWidth="1"/>
    <col min="34" max="34" width="8.5546875" style="1" customWidth="1"/>
    <col min="35" max="35" width="7.5546875" style="1" customWidth="1"/>
    <col min="36" max="36" width="9.21875" style="1" bestFit="1" customWidth="1"/>
    <col min="37" max="37" width="9.5546875" style="1" customWidth="1"/>
    <col min="38" max="38" width="60.5546875" style="1" customWidth="1"/>
    <col min="39" max="39" width="0.77734375" style="1" customWidth="1"/>
    <col min="40" max="43" width="8.21875" style="1" customWidth="1"/>
    <col min="44" max="44" width="1.77734375" customWidth="1"/>
    <col min="45" max="45" width="8.5546875" style="1" customWidth="1"/>
    <col min="46" max="46" width="7.5546875" style="1" customWidth="1"/>
    <col min="47" max="47" width="10.5546875" style="1" customWidth="1"/>
    <col min="48" max="48" width="9.5546875" style="1" customWidth="1"/>
    <col min="49" max="49" width="60.5546875" style="1" customWidth="1"/>
    <col min="50" max="50" width="0.77734375" style="1" customWidth="1"/>
    <col min="51" max="54" width="8.21875" style="1" customWidth="1"/>
    <col min="55" max="55" width="1.77734375" customWidth="1"/>
    <col min="56" max="56" width="8.5546875" style="1" customWidth="1"/>
    <col min="57" max="57" width="7.5546875" style="1" customWidth="1"/>
    <col min="58" max="58" width="10.5546875" style="1" customWidth="1"/>
    <col min="59" max="59" width="9.5546875" style="1" customWidth="1"/>
    <col min="60" max="60" width="60.5546875" style="1" customWidth="1"/>
    <col min="61" max="61" width="0.77734375" style="1" customWidth="1"/>
    <col min="62" max="65" width="8.21875" style="1" customWidth="1"/>
  </cols>
  <sheetData>
    <row r="2" spans="1:65" x14ac:dyDescent="0.3">
      <c r="AC2" s="83" t="s">
        <v>222</v>
      </c>
      <c r="AD2" s="84"/>
      <c r="AE2" s="87" t="s">
        <v>26</v>
      </c>
      <c r="AF2" s="88"/>
      <c r="BJ2" s="83" t="s">
        <v>222</v>
      </c>
      <c r="BK2" s="84"/>
      <c r="BL2" s="87" t="s">
        <v>26</v>
      </c>
      <c r="BM2" s="88"/>
    </row>
    <row r="3" spans="1:65" x14ac:dyDescent="0.3">
      <c r="E3" s="22"/>
      <c r="F3" s="23"/>
      <c r="G3" s="22"/>
      <c r="P3" s="22"/>
      <c r="Q3" s="23"/>
      <c r="R3" s="22"/>
      <c r="AA3" s="22"/>
      <c r="AB3" s="23"/>
      <c r="AC3" s="85"/>
      <c r="AD3" s="86"/>
      <c r="AE3" s="89"/>
      <c r="AF3" s="90"/>
      <c r="AL3" s="22"/>
      <c r="AM3" s="23"/>
      <c r="AN3" s="22"/>
      <c r="AW3" s="22"/>
      <c r="AX3" s="23"/>
      <c r="AY3" s="22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44"/>
      <c r="B7" s="44"/>
      <c r="C7" s="45"/>
      <c r="D7" s="45"/>
      <c r="E7" s="32"/>
      <c r="F7" s="32"/>
      <c r="G7" s="44"/>
      <c r="H7" s="46"/>
      <c r="I7" s="27"/>
      <c r="J7" s="26">
        <f>H7-I7</f>
        <v>0</v>
      </c>
      <c r="L7" s="44"/>
      <c r="M7" s="44"/>
      <c r="N7" s="45"/>
      <c r="O7" s="45"/>
      <c r="P7" s="32"/>
      <c r="Q7" s="32"/>
      <c r="R7" s="44"/>
      <c r="S7" s="46"/>
      <c r="T7" s="27"/>
      <c r="U7" s="26">
        <f t="shared" ref="U7:U12" si="0">S7-T7</f>
        <v>0</v>
      </c>
      <c r="W7" s="44"/>
      <c r="X7" s="44"/>
      <c r="Y7" s="45"/>
      <c r="Z7" s="45"/>
      <c r="AA7" s="32"/>
      <c r="AB7" s="32"/>
      <c r="AC7" s="44"/>
      <c r="AD7" s="4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44"/>
      <c r="B8" s="44"/>
      <c r="C8" s="45"/>
      <c r="D8" s="45"/>
      <c r="E8" s="32"/>
      <c r="F8" s="32"/>
      <c r="G8" s="44"/>
      <c r="H8" s="46"/>
      <c r="I8" s="27"/>
      <c r="J8" s="26">
        <f t="shared" ref="J8:J12" si="1">H8-I8</f>
        <v>0</v>
      </c>
      <c r="L8" s="44"/>
      <c r="M8" s="44"/>
      <c r="N8" s="45"/>
      <c r="O8" s="45"/>
      <c r="P8" s="32"/>
      <c r="Q8" s="32"/>
      <c r="R8" s="44"/>
      <c r="S8" s="46"/>
      <c r="T8" s="27"/>
      <c r="U8" s="26">
        <f t="shared" si="0"/>
        <v>0</v>
      </c>
      <c r="W8" s="44"/>
      <c r="X8" s="44"/>
      <c r="Y8" s="45"/>
      <c r="Z8" s="45"/>
      <c r="AA8" s="32"/>
      <c r="AB8" s="32"/>
      <c r="AC8" s="44"/>
      <c r="AD8" s="4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44"/>
      <c r="BE8" s="44"/>
      <c r="BF8" s="45"/>
      <c r="BG8" s="45"/>
      <c r="BH8" s="32"/>
      <c r="BI8" s="32"/>
      <c r="BJ8" s="44"/>
      <c r="BK8" s="4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44"/>
      <c r="B9" s="44"/>
      <c r="C9" s="45"/>
      <c r="D9" s="45"/>
      <c r="E9" s="32"/>
      <c r="F9" s="32"/>
      <c r="G9" s="44"/>
      <c r="H9" s="46"/>
      <c r="I9" s="27"/>
      <c r="J9" s="26">
        <f t="shared" si="1"/>
        <v>0</v>
      </c>
      <c r="L9" s="44"/>
      <c r="M9" s="44"/>
      <c r="N9" s="45"/>
      <c r="O9" s="45"/>
      <c r="P9" s="32"/>
      <c r="Q9" s="32"/>
      <c r="R9" s="44"/>
      <c r="S9" s="46"/>
      <c r="T9" s="27"/>
      <c r="U9" s="26">
        <f t="shared" si="0"/>
        <v>0</v>
      </c>
      <c r="W9" s="44"/>
      <c r="X9" s="44"/>
      <c r="Y9" s="45"/>
      <c r="Z9" s="45"/>
      <c r="AA9" s="32"/>
      <c r="AB9" s="32"/>
      <c r="AC9" s="44"/>
      <c r="AD9" s="4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44"/>
      <c r="B10" s="44"/>
      <c r="C10" s="45"/>
      <c r="D10" s="45"/>
      <c r="E10" s="32"/>
      <c r="F10" s="32"/>
      <c r="G10" s="44"/>
      <c r="H10" s="46"/>
      <c r="I10" s="27"/>
      <c r="J10" s="26">
        <f t="shared" si="1"/>
        <v>0</v>
      </c>
      <c r="L10" s="44"/>
      <c r="M10" s="44"/>
      <c r="N10" s="45"/>
      <c r="O10" s="45"/>
      <c r="P10" s="32"/>
      <c r="Q10" s="32"/>
      <c r="R10" s="44"/>
      <c r="S10" s="46"/>
      <c r="T10" s="27"/>
      <c r="U10" s="26">
        <f t="shared" si="0"/>
        <v>0</v>
      </c>
      <c r="W10" s="44"/>
      <c r="X10" s="44"/>
      <c r="Y10" s="45"/>
      <c r="Z10" s="45"/>
      <c r="AA10" s="32"/>
      <c r="AB10" s="32"/>
      <c r="AC10" s="44"/>
      <c r="AD10" s="4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29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44"/>
      <c r="B11" s="44"/>
      <c r="C11" s="45"/>
      <c r="D11" s="45"/>
      <c r="E11" s="32"/>
      <c r="F11" s="32"/>
      <c r="G11" s="44"/>
      <c r="H11" s="46"/>
      <c r="I11" s="27"/>
      <c r="J11" s="26">
        <f t="shared" si="1"/>
        <v>0</v>
      </c>
      <c r="L11" s="44"/>
      <c r="M11" s="44"/>
      <c r="N11" s="45"/>
      <c r="O11" s="45"/>
      <c r="P11" s="32"/>
      <c r="Q11" s="32"/>
      <c r="R11" s="44"/>
      <c r="S11" s="46"/>
      <c r="T11" s="27"/>
      <c r="U11" s="26">
        <f t="shared" si="0"/>
        <v>0</v>
      </c>
      <c r="W11" s="44"/>
      <c r="X11" s="44"/>
      <c r="Y11" s="45"/>
      <c r="Z11" s="45"/>
      <c r="AA11" s="32"/>
      <c r="AB11" s="32"/>
      <c r="AC11" s="44"/>
      <c r="AD11" s="4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29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44"/>
      <c r="B12" s="44"/>
      <c r="C12" s="44"/>
      <c r="D12" s="44"/>
      <c r="E12" s="32"/>
      <c r="F12" s="33"/>
      <c r="G12" s="44"/>
      <c r="H12" s="46"/>
      <c r="I12" s="27"/>
      <c r="J12" s="26">
        <f t="shared" si="1"/>
        <v>0</v>
      </c>
      <c r="L12" s="44"/>
      <c r="M12" s="44"/>
      <c r="N12" s="45"/>
      <c r="O12" s="45"/>
      <c r="P12" s="32"/>
      <c r="Q12" s="32"/>
      <c r="R12" s="44"/>
      <c r="S12" s="46"/>
      <c r="T12" s="27"/>
      <c r="U12" s="26">
        <f t="shared" si="0"/>
        <v>0</v>
      </c>
      <c r="W12" s="44"/>
      <c r="X12" s="44"/>
      <c r="Y12" s="45"/>
      <c r="Z12" s="45"/>
      <c r="AA12" s="32"/>
      <c r="AB12" s="32"/>
      <c r="AC12" s="44"/>
      <c r="AD12" s="4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 t="s">
        <v>510</v>
      </c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44">
        <v>160925</v>
      </c>
      <c r="B18" s="44">
        <v>304</v>
      </c>
      <c r="C18" s="45">
        <v>0.7</v>
      </c>
      <c r="D18" s="45" t="s">
        <v>41</v>
      </c>
      <c r="E18" s="32" t="s">
        <v>350</v>
      </c>
      <c r="F18" s="32"/>
      <c r="G18" s="44">
        <v>430</v>
      </c>
      <c r="H18" s="46">
        <v>1100</v>
      </c>
      <c r="I18" s="27">
        <f>250+900</f>
        <v>1150</v>
      </c>
      <c r="J18" s="26">
        <f>H18-I18</f>
        <v>-50</v>
      </c>
      <c r="L18" s="44">
        <v>180925</v>
      </c>
      <c r="M18" s="44">
        <v>304</v>
      </c>
      <c r="N18" s="45">
        <v>0.7</v>
      </c>
      <c r="O18" s="45" t="s">
        <v>41</v>
      </c>
      <c r="P18" s="32" t="s">
        <v>453</v>
      </c>
      <c r="Q18" s="32"/>
      <c r="R18" s="44">
        <v>430</v>
      </c>
      <c r="S18" s="46">
        <v>2100</v>
      </c>
      <c r="T18" s="27">
        <f>800+1300</f>
        <v>2100</v>
      </c>
      <c r="U18" s="26">
        <f>S18-T18</f>
        <v>0</v>
      </c>
      <c r="W18" s="44">
        <v>180925</v>
      </c>
      <c r="X18" s="44">
        <v>304</v>
      </c>
      <c r="Y18" s="45">
        <v>0.7</v>
      </c>
      <c r="Z18" s="45" t="s">
        <v>41</v>
      </c>
      <c r="AA18" s="32" t="s">
        <v>479</v>
      </c>
      <c r="AB18" s="32"/>
      <c r="AC18" s="44">
        <v>430</v>
      </c>
      <c r="AD18" s="46">
        <v>1600</v>
      </c>
      <c r="AE18" s="27">
        <v>1650</v>
      </c>
      <c r="AF18" s="26">
        <f>AD18-AE18</f>
        <v>-50</v>
      </c>
      <c r="AH18" s="44">
        <v>180925</v>
      </c>
      <c r="AI18" s="44">
        <v>304</v>
      </c>
      <c r="AJ18" s="45">
        <v>0.7</v>
      </c>
      <c r="AK18" s="45" t="s">
        <v>41</v>
      </c>
      <c r="AL18" s="32" t="s">
        <v>452</v>
      </c>
      <c r="AM18" s="32"/>
      <c r="AN18" s="44">
        <v>430</v>
      </c>
      <c r="AO18" s="46">
        <v>1100</v>
      </c>
      <c r="AP18" s="27">
        <f>400+750</f>
        <v>1150</v>
      </c>
      <c r="AQ18" s="26">
        <f>AO18-AP18</f>
        <v>-50</v>
      </c>
      <c r="AS18" s="44">
        <v>250048</v>
      </c>
      <c r="AT18" s="44">
        <v>304</v>
      </c>
      <c r="AU18" s="45">
        <v>0.7</v>
      </c>
      <c r="AV18" s="45" t="s">
        <v>27</v>
      </c>
      <c r="AW18" s="32" t="s">
        <v>134</v>
      </c>
      <c r="AX18" s="32"/>
      <c r="AY18" s="44">
        <v>304</v>
      </c>
      <c r="AZ18" s="46">
        <v>570</v>
      </c>
      <c r="BA18" s="27">
        <v>570</v>
      </c>
      <c r="BB18" s="26">
        <f>AZ18-BA18</f>
        <v>0</v>
      </c>
      <c r="BD18" s="44">
        <v>250046</v>
      </c>
      <c r="BE18" s="44">
        <v>304</v>
      </c>
      <c r="BF18" s="45">
        <v>0.7</v>
      </c>
      <c r="BG18" s="45" t="s">
        <v>27</v>
      </c>
      <c r="BH18" s="32" t="s">
        <v>509</v>
      </c>
      <c r="BI18" s="32"/>
      <c r="BJ18" s="44">
        <v>304</v>
      </c>
      <c r="BK18" s="46">
        <v>50</v>
      </c>
      <c r="BL18" s="27"/>
      <c r="BM18" s="26">
        <f>BK18-BL18</f>
        <v>50</v>
      </c>
    </row>
    <row r="19" spans="1:65" s="30" customFormat="1" ht="20.100000000000001" customHeight="1" x14ac:dyDescent="0.3">
      <c r="A19" s="44">
        <v>160925</v>
      </c>
      <c r="B19" s="44">
        <v>304</v>
      </c>
      <c r="C19" s="45">
        <v>0.7</v>
      </c>
      <c r="D19" s="45" t="s">
        <v>41</v>
      </c>
      <c r="E19" s="32" t="s">
        <v>349</v>
      </c>
      <c r="F19" s="32"/>
      <c r="G19" s="44">
        <v>430</v>
      </c>
      <c r="H19" s="46">
        <v>1100</v>
      </c>
      <c r="I19" s="27">
        <v>1130</v>
      </c>
      <c r="J19" s="26">
        <f t="shared" ref="J19:J23" si="6">H19-I19</f>
        <v>-30</v>
      </c>
      <c r="L19" s="44">
        <v>180925</v>
      </c>
      <c r="M19" s="44">
        <v>304</v>
      </c>
      <c r="N19" s="45">
        <v>0.7</v>
      </c>
      <c r="O19" s="45" t="s">
        <v>41</v>
      </c>
      <c r="P19" s="32" t="s">
        <v>479</v>
      </c>
      <c r="Q19" s="32"/>
      <c r="R19" s="44">
        <v>430</v>
      </c>
      <c r="S19" s="46">
        <v>500</v>
      </c>
      <c r="T19" s="27">
        <v>500</v>
      </c>
      <c r="U19" s="26">
        <f t="shared" ref="U19:U23" si="7">S19-T19</f>
        <v>0</v>
      </c>
      <c r="W19" s="44">
        <v>180925</v>
      </c>
      <c r="X19" s="44">
        <v>304</v>
      </c>
      <c r="Y19" s="45">
        <v>0.7</v>
      </c>
      <c r="Z19" s="45" t="s">
        <v>41</v>
      </c>
      <c r="AA19" s="32" t="s">
        <v>452</v>
      </c>
      <c r="AB19" s="32"/>
      <c r="AC19" s="44">
        <v>430</v>
      </c>
      <c r="AD19" s="46">
        <v>1000</v>
      </c>
      <c r="AE19" s="27">
        <v>1000</v>
      </c>
      <c r="AF19" s="26">
        <f t="shared" ref="AF19:AF23" si="8">AD19-AE19</f>
        <v>0</v>
      </c>
      <c r="AH19" s="44">
        <v>180925</v>
      </c>
      <c r="AI19" s="44">
        <v>304</v>
      </c>
      <c r="AJ19" s="45">
        <v>0.7</v>
      </c>
      <c r="AK19" s="45" t="s">
        <v>41</v>
      </c>
      <c r="AL19" s="32" t="s">
        <v>451</v>
      </c>
      <c r="AM19" s="32"/>
      <c r="AN19" s="44">
        <v>430</v>
      </c>
      <c r="AO19" s="46">
        <v>2100</v>
      </c>
      <c r="AP19" s="27">
        <f>1800+300</f>
        <v>2100</v>
      </c>
      <c r="AQ19" s="26">
        <f t="shared" ref="AQ19:AQ23" si="9">AO19-AP19</f>
        <v>0</v>
      </c>
      <c r="AS19" s="44">
        <v>250046</v>
      </c>
      <c r="AT19" s="44">
        <v>304</v>
      </c>
      <c r="AU19" s="45">
        <v>0.7</v>
      </c>
      <c r="AV19" s="45" t="s">
        <v>27</v>
      </c>
      <c r="AW19" s="32" t="s">
        <v>145</v>
      </c>
      <c r="AX19" s="32"/>
      <c r="AY19" s="44">
        <v>304</v>
      </c>
      <c r="AZ19" s="46">
        <v>950</v>
      </c>
      <c r="BA19" s="27">
        <v>950</v>
      </c>
      <c r="BB19" s="26">
        <f t="shared" ref="BB19:BB23" si="10">AZ19-BA19</f>
        <v>0</v>
      </c>
      <c r="BD19" s="44">
        <v>250046</v>
      </c>
      <c r="BE19" s="44">
        <v>304</v>
      </c>
      <c r="BF19" s="45">
        <v>0.7</v>
      </c>
      <c r="BG19" s="45" t="s">
        <v>27</v>
      </c>
      <c r="BH19" s="32" t="s">
        <v>144</v>
      </c>
      <c r="BI19" s="32"/>
      <c r="BJ19" s="44">
        <v>304</v>
      </c>
      <c r="BK19" s="46">
        <v>950</v>
      </c>
      <c r="BL19" s="27">
        <v>980</v>
      </c>
      <c r="BM19" s="26">
        <f t="shared" ref="BM19:BM23" si="11">BK19-BL19</f>
        <v>-30</v>
      </c>
    </row>
    <row r="20" spans="1:65" s="30" customFormat="1" ht="20.100000000000001" customHeight="1" x14ac:dyDescent="0.3">
      <c r="A20" s="44"/>
      <c r="B20" s="44"/>
      <c r="C20" s="45"/>
      <c r="D20" s="45"/>
      <c r="E20" s="32"/>
      <c r="F20" s="32"/>
      <c r="G20" s="44"/>
      <c r="H20" s="46"/>
      <c r="I20" s="27"/>
      <c r="J20" s="26">
        <f t="shared" si="6"/>
        <v>0</v>
      </c>
      <c r="L20" s="44"/>
      <c r="M20" s="44"/>
      <c r="N20" s="45"/>
      <c r="O20" s="45"/>
      <c r="P20" s="32"/>
      <c r="Q20" s="32"/>
      <c r="R20" s="44"/>
      <c r="S20" s="46"/>
      <c r="T20" s="27"/>
      <c r="U20" s="26">
        <f t="shared" si="7"/>
        <v>0</v>
      </c>
      <c r="W20" s="44"/>
      <c r="X20" s="44"/>
      <c r="Y20" s="45"/>
      <c r="Z20" s="45"/>
      <c r="AA20" s="32"/>
      <c r="AB20" s="32"/>
      <c r="AC20" s="44"/>
      <c r="AD20" s="4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44">
        <v>250048</v>
      </c>
      <c r="AT20" s="44">
        <v>304</v>
      </c>
      <c r="AU20" s="45">
        <v>0.7</v>
      </c>
      <c r="AV20" s="45" t="s">
        <v>27</v>
      </c>
      <c r="AW20" s="32" t="s">
        <v>133</v>
      </c>
      <c r="AX20" s="32"/>
      <c r="AY20" s="44">
        <v>304</v>
      </c>
      <c r="AZ20" s="46">
        <v>570</v>
      </c>
      <c r="BA20" s="27"/>
      <c r="BB20" s="26">
        <f t="shared" si="10"/>
        <v>570</v>
      </c>
      <c r="BD20" s="44">
        <v>250048</v>
      </c>
      <c r="BE20" s="44">
        <v>304</v>
      </c>
      <c r="BF20" s="45">
        <v>0.7</v>
      </c>
      <c r="BG20" s="45" t="s">
        <v>27</v>
      </c>
      <c r="BH20" s="32" t="s">
        <v>130</v>
      </c>
      <c r="BI20" s="32"/>
      <c r="BJ20" s="44">
        <v>304</v>
      </c>
      <c r="BK20" s="46">
        <v>570</v>
      </c>
      <c r="BL20" s="27">
        <v>585</v>
      </c>
      <c r="BM20" s="26">
        <f t="shared" si="11"/>
        <v>-15</v>
      </c>
    </row>
    <row r="21" spans="1:65" s="30" customFormat="1" ht="20.100000000000001" customHeight="1" x14ac:dyDescent="0.3">
      <c r="A21" s="44"/>
      <c r="B21" s="44"/>
      <c r="C21" s="45"/>
      <c r="D21" s="45"/>
      <c r="E21" s="32"/>
      <c r="F21" s="32"/>
      <c r="G21" s="44"/>
      <c r="H21" s="46"/>
      <c r="I21" s="27"/>
      <c r="J21" s="26">
        <f t="shared" si="6"/>
        <v>0</v>
      </c>
      <c r="L21" s="44"/>
      <c r="M21" s="44"/>
      <c r="N21" s="45"/>
      <c r="O21" s="45"/>
      <c r="P21" s="32"/>
      <c r="Q21" s="32"/>
      <c r="R21" s="44"/>
      <c r="S21" s="46"/>
      <c r="T21" s="27"/>
      <c r="U21" s="26">
        <f t="shared" si="7"/>
        <v>0</v>
      </c>
      <c r="W21" s="44"/>
      <c r="X21" s="44"/>
      <c r="Y21" s="45"/>
      <c r="Z21" s="45"/>
      <c r="AA21" s="32"/>
      <c r="AB21" s="32"/>
      <c r="AC21" s="44"/>
      <c r="AD21" s="46"/>
      <c r="AE21" s="27"/>
      <c r="AF21" s="26">
        <f t="shared" si="8"/>
        <v>0</v>
      </c>
      <c r="AH21" s="24"/>
      <c r="AI21" s="24"/>
      <c r="AJ21" s="31"/>
      <c r="AK21" s="31"/>
      <c r="AL21" s="29"/>
      <c r="AM21" s="32"/>
      <c r="AN21" s="24"/>
      <c r="AO21" s="26"/>
      <c r="AP21" s="27"/>
      <c r="AQ21" s="26">
        <f t="shared" si="9"/>
        <v>0</v>
      </c>
      <c r="AS21" s="44"/>
      <c r="AT21" s="44"/>
      <c r="AU21" s="45"/>
      <c r="AV21" s="45"/>
      <c r="AW21" s="32"/>
      <c r="AX21" s="32"/>
      <c r="AY21" s="44"/>
      <c r="AZ21" s="46"/>
      <c r="BA21" s="27"/>
      <c r="BB21" s="26">
        <f t="shared" si="10"/>
        <v>0</v>
      </c>
      <c r="BD21" s="44"/>
      <c r="BE21" s="44"/>
      <c r="BF21" s="45"/>
      <c r="BG21" s="45"/>
      <c r="BH21" s="32"/>
      <c r="BI21" s="32"/>
      <c r="BJ21" s="44"/>
      <c r="BK21" s="46"/>
      <c r="BL21" s="27"/>
      <c r="BM21" s="26">
        <f t="shared" si="11"/>
        <v>0</v>
      </c>
    </row>
    <row r="22" spans="1:65" s="30" customFormat="1" ht="20.100000000000001" customHeight="1" x14ac:dyDescent="0.3">
      <c r="A22" s="44"/>
      <c r="B22" s="44"/>
      <c r="C22" s="45"/>
      <c r="D22" s="45"/>
      <c r="E22" s="32"/>
      <c r="F22" s="32"/>
      <c r="G22" s="44"/>
      <c r="H22" s="46"/>
      <c r="I22" s="27"/>
      <c r="J22" s="26">
        <f t="shared" si="6"/>
        <v>0</v>
      </c>
      <c r="L22" s="44"/>
      <c r="M22" s="44"/>
      <c r="N22" s="45"/>
      <c r="O22" s="45"/>
      <c r="P22" s="32"/>
      <c r="Q22" s="32"/>
      <c r="R22" s="44"/>
      <c r="S22" s="46"/>
      <c r="T22" s="27"/>
      <c r="U22" s="26">
        <f t="shared" si="7"/>
        <v>0</v>
      </c>
      <c r="W22" s="44"/>
      <c r="X22" s="44"/>
      <c r="Y22" s="45"/>
      <c r="Z22" s="45"/>
      <c r="AA22" s="32"/>
      <c r="AB22" s="32"/>
      <c r="AC22" s="44"/>
      <c r="AD22" s="46"/>
      <c r="AE22" s="27"/>
      <c r="AF22" s="26">
        <f t="shared" si="8"/>
        <v>0</v>
      </c>
      <c r="AH22" s="24"/>
      <c r="AI22" s="24"/>
      <c r="AJ22" s="31"/>
      <c r="AK22" s="31"/>
      <c r="AL22" s="29"/>
      <c r="AM22" s="33"/>
      <c r="AN22" s="24"/>
      <c r="AO22" s="26"/>
      <c r="AP22" s="27"/>
      <c r="AQ22" s="26">
        <f t="shared" si="9"/>
        <v>0</v>
      </c>
      <c r="AS22" s="44"/>
      <c r="AT22" s="44"/>
      <c r="AU22" s="45"/>
      <c r="AV22" s="45"/>
      <c r="AW22" s="32"/>
      <c r="AX22" s="32"/>
      <c r="AY22" s="44"/>
      <c r="AZ22" s="46"/>
      <c r="BA22" s="27"/>
      <c r="BB22" s="26">
        <f t="shared" si="10"/>
        <v>0</v>
      </c>
      <c r="BD22" s="44"/>
      <c r="BE22" s="44"/>
      <c r="BF22" s="45"/>
      <c r="BG22" s="45"/>
      <c r="BH22" s="32"/>
      <c r="BI22" s="32"/>
      <c r="BJ22" s="44"/>
      <c r="BK22" s="46"/>
      <c r="BL22" s="27"/>
      <c r="BM22" s="26">
        <f t="shared" si="11"/>
        <v>0</v>
      </c>
    </row>
    <row r="23" spans="1:65" s="30" customFormat="1" ht="20.100000000000001" customHeight="1" x14ac:dyDescent="0.3">
      <c r="A23" s="44"/>
      <c r="B23" s="44"/>
      <c r="C23" s="44"/>
      <c r="D23" s="44"/>
      <c r="E23" s="32"/>
      <c r="F23" s="33"/>
      <c r="G23" s="44"/>
      <c r="H23" s="46"/>
      <c r="I23" s="27"/>
      <c r="J23" s="26">
        <f t="shared" si="6"/>
        <v>0</v>
      </c>
      <c r="L23" s="44"/>
      <c r="M23" s="44"/>
      <c r="N23" s="44"/>
      <c r="O23" s="44"/>
      <c r="P23" s="32"/>
      <c r="Q23" s="33"/>
      <c r="R23" s="44"/>
      <c r="S23" s="46"/>
      <c r="T23" s="27"/>
      <c r="U23" s="26">
        <f t="shared" si="7"/>
        <v>0</v>
      </c>
      <c r="W23" s="24"/>
      <c r="X23" s="24"/>
      <c r="Y23" s="24"/>
      <c r="Z23" s="24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24"/>
      <c r="AK23" s="24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24"/>
      <c r="AV23" s="24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2200</v>
      </c>
      <c r="I24" s="27">
        <f>SUM(I18:I23)</f>
        <v>2280</v>
      </c>
      <c r="J24" s="26">
        <f>SUM(J18:J23)</f>
        <v>-80</v>
      </c>
      <c r="L24" s="34"/>
      <c r="M24" s="34"/>
      <c r="N24" s="34"/>
      <c r="O24" s="34"/>
      <c r="P24" s="35"/>
      <c r="Q24" s="35"/>
      <c r="R24" s="36"/>
      <c r="S24" s="26">
        <f>SUM(S18:S23)</f>
        <v>2600</v>
      </c>
      <c r="T24" s="27">
        <f>SUM(T18:T23)</f>
        <v>2600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2600</v>
      </c>
      <c r="AE24" s="27">
        <f>SUM(AE18:AE23)</f>
        <v>2650</v>
      </c>
      <c r="AF24" s="26">
        <f>SUM(AF18:AF23)</f>
        <v>-50</v>
      </c>
      <c r="AH24" s="34"/>
      <c r="AI24" s="34"/>
      <c r="AJ24" s="34"/>
      <c r="AK24" s="34"/>
      <c r="AL24" s="35"/>
      <c r="AM24" s="35"/>
      <c r="AN24" s="36"/>
      <c r="AO24" s="26">
        <f>SUM(AO18:AO23)</f>
        <v>3200</v>
      </c>
      <c r="AP24" s="27">
        <f>SUM(AP18:AP23)</f>
        <v>3250</v>
      </c>
      <c r="AQ24" s="26">
        <f>SUM(AQ18:AQ23)</f>
        <v>-50</v>
      </c>
      <c r="AS24" s="34"/>
      <c r="AT24" s="34"/>
      <c r="AU24" s="34"/>
      <c r="AV24" s="34"/>
      <c r="AW24" s="35"/>
      <c r="AX24" s="35"/>
      <c r="AY24" s="36"/>
      <c r="AZ24" s="26">
        <f>SUM(AZ18:AZ23)</f>
        <v>2090</v>
      </c>
      <c r="BA24" s="27">
        <f>SUM(BA18:BA23)</f>
        <v>1520</v>
      </c>
      <c r="BB24" s="26">
        <f>SUM(BB18:BB23)</f>
        <v>570</v>
      </c>
      <c r="BD24" s="34"/>
      <c r="BE24" s="34"/>
      <c r="BF24" s="34"/>
      <c r="BG24" s="34"/>
      <c r="BH24" s="35"/>
      <c r="BI24" s="35"/>
      <c r="BJ24" s="36"/>
      <c r="BK24" s="26">
        <f>SUM(BK18:BK23)</f>
        <v>1570</v>
      </c>
      <c r="BL24" s="27">
        <f>SUM(BL18:BL23)</f>
        <v>1565</v>
      </c>
      <c r="BM24" s="26">
        <f>SUM(BM18:BM23)</f>
        <v>5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250052</v>
      </c>
      <c r="B29" s="24">
        <v>304</v>
      </c>
      <c r="C29" s="31">
        <v>0.7</v>
      </c>
      <c r="D29" s="31" t="s">
        <v>25</v>
      </c>
      <c r="E29" s="29" t="s">
        <v>362</v>
      </c>
      <c r="F29" s="29"/>
      <c r="G29" s="24">
        <v>304</v>
      </c>
      <c r="H29" s="26">
        <v>800</v>
      </c>
      <c r="I29" s="27">
        <v>800</v>
      </c>
      <c r="J29" s="26">
        <f>H29-I29</f>
        <v>0</v>
      </c>
      <c r="L29" s="24">
        <v>250055</v>
      </c>
      <c r="M29" s="24">
        <v>304</v>
      </c>
      <c r="N29" s="31">
        <v>0.7</v>
      </c>
      <c r="O29" s="31" t="s">
        <v>25</v>
      </c>
      <c r="P29" s="29" t="s">
        <v>371</v>
      </c>
      <c r="Q29" s="29"/>
      <c r="R29" s="24">
        <v>304</v>
      </c>
      <c r="S29" s="26">
        <v>830</v>
      </c>
      <c r="T29" s="27">
        <v>830</v>
      </c>
      <c r="U29" s="26">
        <f>S29-T29</f>
        <v>0</v>
      </c>
      <c r="W29" s="24">
        <v>250061</v>
      </c>
      <c r="X29" s="24">
        <v>304</v>
      </c>
      <c r="Y29" s="31">
        <v>0.7</v>
      </c>
      <c r="Z29" s="31" t="s">
        <v>25</v>
      </c>
      <c r="AA29" s="29" t="s">
        <v>382</v>
      </c>
      <c r="AB29" s="29"/>
      <c r="AC29" s="24">
        <v>304</v>
      </c>
      <c r="AD29" s="26">
        <v>540</v>
      </c>
      <c r="AE29" s="27">
        <v>540</v>
      </c>
      <c r="AF29" s="26">
        <f>AD29-AE29</f>
        <v>0</v>
      </c>
      <c r="AH29" s="24">
        <v>250057</v>
      </c>
      <c r="AI29" s="24">
        <v>304</v>
      </c>
      <c r="AJ29" s="31">
        <v>0.7</v>
      </c>
      <c r="AK29" s="31" t="s">
        <v>25</v>
      </c>
      <c r="AL29" s="29" t="s">
        <v>396</v>
      </c>
      <c r="AM29" s="29"/>
      <c r="AN29" s="24">
        <v>304</v>
      </c>
      <c r="AO29" s="26">
        <v>410</v>
      </c>
      <c r="AP29" s="27">
        <v>410</v>
      </c>
      <c r="AQ29" s="26">
        <f>AO29-AP29</f>
        <v>0</v>
      </c>
      <c r="AS29" s="24">
        <v>250057</v>
      </c>
      <c r="AT29" s="24">
        <v>304</v>
      </c>
      <c r="AU29" s="31">
        <v>0.7</v>
      </c>
      <c r="AV29" s="31" t="s">
        <v>25</v>
      </c>
      <c r="AW29" s="29" t="s">
        <v>399</v>
      </c>
      <c r="AX29" s="29"/>
      <c r="AY29" s="24">
        <v>304</v>
      </c>
      <c r="AZ29" s="26">
        <v>410</v>
      </c>
      <c r="BA29" s="27">
        <v>410</v>
      </c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>
        <v>250052</v>
      </c>
      <c r="B30" s="24">
        <v>304</v>
      </c>
      <c r="C30" s="31">
        <v>0.7</v>
      </c>
      <c r="D30" s="31" t="s">
        <v>25</v>
      </c>
      <c r="E30" s="29" t="s">
        <v>363</v>
      </c>
      <c r="F30" s="29"/>
      <c r="G30" s="24">
        <v>304</v>
      </c>
      <c r="H30" s="26">
        <v>800</v>
      </c>
      <c r="I30" s="27">
        <v>800</v>
      </c>
      <c r="J30" s="26">
        <f t="shared" ref="J30:J34" si="12">H30-I30</f>
        <v>0</v>
      </c>
      <c r="L30" s="24">
        <v>250055</v>
      </c>
      <c r="M30" s="24">
        <v>304</v>
      </c>
      <c r="N30" s="31">
        <v>0.7</v>
      </c>
      <c r="O30" s="31" t="s">
        <v>25</v>
      </c>
      <c r="P30" s="29" t="s">
        <v>372</v>
      </c>
      <c r="Q30" s="29"/>
      <c r="R30" s="24">
        <v>304</v>
      </c>
      <c r="S30" s="26">
        <v>830</v>
      </c>
      <c r="T30" s="27">
        <v>830</v>
      </c>
      <c r="U30" s="26">
        <f t="shared" ref="U30:U34" si="13">S30-T30</f>
        <v>0</v>
      </c>
      <c r="W30" s="24">
        <v>250061</v>
      </c>
      <c r="X30" s="24">
        <v>304</v>
      </c>
      <c r="Y30" s="31">
        <v>0.7</v>
      </c>
      <c r="Z30" s="31" t="s">
        <v>25</v>
      </c>
      <c r="AA30" s="29" t="s">
        <v>383</v>
      </c>
      <c r="AB30" s="29"/>
      <c r="AC30" s="24">
        <v>304</v>
      </c>
      <c r="AD30" s="26">
        <v>540</v>
      </c>
      <c r="AE30" s="27">
        <v>540</v>
      </c>
      <c r="AF30" s="26">
        <f t="shared" ref="AF30:AF34" si="14">AD30-AE30</f>
        <v>0</v>
      </c>
      <c r="AH30" s="24">
        <v>250057</v>
      </c>
      <c r="AI30" s="24">
        <v>304</v>
      </c>
      <c r="AJ30" s="31">
        <v>0.7</v>
      </c>
      <c r="AK30" s="31" t="s">
        <v>25</v>
      </c>
      <c r="AL30" s="29" t="s">
        <v>397</v>
      </c>
      <c r="AM30" s="29"/>
      <c r="AN30" s="24">
        <v>304</v>
      </c>
      <c r="AO30" s="26">
        <v>410</v>
      </c>
      <c r="AP30" s="27">
        <v>410</v>
      </c>
      <c r="AQ30" s="26">
        <f t="shared" ref="AQ30:AQ34" si="15">AO30-AP30</f>
        <v>0</v>
      </c>
      <c r="AS30" s="24">
        <v>250057</v>
      </c>
      <c r="AT30" s="24">
        <v>304</v>
      </c>
      <c r="AU30" s="31">
        <v>0.7</v>
      </c>
      <c r="AV30" s="31" t="s">
        <v>25</v>
      </c>
      <c r="AW30" s="29" t="s">
        <v>400</v>
      </c>
      <c r="AX30" s="29"/>
      <c r="AY30" s="24">
        <v>304</v>
      </c>
      <c r="AZ30" s="26">
        <v>410</v>
      </c>
      <c r="BA30" s="27">
        <v>410</v>
      </c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>
        <v>250052</v>
      </c>
      <c r="B31" s="24">
        <v>304</v>
      </c>
      <c r="C31" s="31">
        <v>0.7</v>
      </c>
      <c r="D31" s="31" t="s">
        <v>25</v>
      </c>
      <c r="E31" s="29" t="s">
        <v>364</v>
      </c>
      <c r="F31" s="29"/>
      <c r="G31" s="24">
        <v>304</v>
      </c>
      <c r="H31" s="26">
        <v>800</v>
      </c>
      <c r="I31" s="27">
        <v>800</v>
      </c>
      <c r="J31" s="26">
        <f t="shared" si="12"/>
        <v>0</v>
      </c>
      <c r="L31" s="24">
        <v>250055</v>
      </c>
      <c r="M31" s="24">
        <v>304</v>
      </c>
      <c r="N31" s="31">
        <v>0.7</v>
      </c>
      <c r="O31" s="31" t="s">
        <v>25</v>
      </c>
      <c r="P31" s="29" t="s">
        <v>373</v>
      </c>
      <c r="Q31" s="29"/>
      <c r="R31" s="24">
        <v>304</v>
      </c>
      <c r="S31" s="26">
        <v>830</v>
      </c>
      <c r="T31" s="27">
        <v>830</v>
      </c>
      <c r="U31" s="26">
        <f t="shared" si="13"/>
        <v>0</v>
      </c>
      <c r="W31" s="24">
        <v>250061</v>
      </c>
      <c r="X31" s="24">
        <v>304</v>
      </c>
      <c r="Y31" s="31">
        <v>0.7</v>
      </c>
      <c r="Z31" s="31" t="s">
        <v>25</v>
      </c>
      <c r="AA31" s="29" t="s">
        <v>384</v>
      </c>
      <c r="AB31" s="29"/>
      <c r="AC31" s="24">
        <v>304</v>
      </c>
      <c r="AD31" s="26">
        <v>540</v>
      </c>
      <c r="AE31" s="27">
        <v>540</v>
      </c>
      <c r="AF31" s="26">
        <f t="shared" si="14"/>
        <v>0</v>
      </c>
      <c r="AH31" s="24">
        <v>250057</v>
      </c>
      <c r="AI31" s="24">
        <v>304</v>
      </c>
      <c r="AJ31" s="31">
        <v>0.7</v>
      </c>
      <c r="AK31" s="31" t="s">
        <v>25</v>
      </c>
      <c r="AL31" s="29" t="s">
        <v>398</v>
      </c>
      <c r="AM31" s="29"/>
      <c r="AN31" s="24">
        <v>304</v>
      </c>
      <c r="AO31" s="26">
        <v>410</v>
      </c>
      <c r="AP31" s="27">
        <v>410</v>
      </c>
      <c r="AQ31" s="26">
        <f t="shared" si="15"/>
        <v>0</v>
      </c>
      <c r="AS31" s="24">
        <v>250057</v>
      </c>
      <c r="AT31" s="24">
        <v>304</v>
      </c>
      <c r="AU31" s="31">
        <v>0.7</v>
      </c>
      <c r="AV31" s="31" t="s">
        <v>25</v>
      </c>
      <c r="AW31" s="29" t="s">
        <v>401</v>
      </c>
      <c r="AX31" s="29"/>
      <c r="AY31" s="24">
        <v>304</v>
      </c>
      <c r="AZ31" s="26">
        <v>410</v>
      </c>
      <c r="BA31" s="27">
        <v>410</v>
      </c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>
        <v>250052</v>
      </c>
      <c r="B32" s="24">
        <v>304</v>
      </c>
      <c r="C32" s="31">
        <v>0.7</v>
      </c>
      <c r="D32" s="31" t="s">
        <v>25</v>
      </c>
      <c r="E32" s="29" t="s">
        <v>365</v>
      </c>
      <c r="F32" s="29"/>
      <c r="G32" s="24">
        <v>304</v>
      </c>
      <c r="H32" s="26">
        <v>800</v>
      </c>
      <c r="I32" s="27">
        <v>800</v>
      </c>
      <c r="J32" s="26">
        <f t="shared" si="12"/>
        <v>0</v>
      </c>
      <c r="L32" s="24">
        <v>250055</v>
      </c>
      <c r="M32" s="24">
        <v>304</v>
      </c>
      <c r="N32" s="31">
        <v>0.7</v>
      </c>
      <c r="O32" s="31" t="s">
        <v>25</v>
      </c>
      <c r="P32" s="29" t="s">
        <v>374</v>
      </c>
      <c r="Q32" s="29"/>
      <c r="R32" s="24">
        <v>304</v>
      </c>
      <c r="S32" s="26">
        <v>830</v>
      </c>
      <c r="T32" s="27">
        <v>830</v>
      </c>
      <c r="U32" s="26">
        <f t="shared" si="13"/>
        <v>0</v>
      </c>
      <c r="W32" s="24">
        <v>250061</v>
      </c>
      <c r="X32" s="24">
        <v>304</v>
      </c>
      <c r="Y32" s="31">
        <v>0.7</v>
      </c>
      <c r="Z32" s="31" t="s">
        <v>25</v>
      </c>
      <c r="AA32" s="29" t="s">
        <v>385</v>
      </c>
      <c r="AB32" s="32"/>
      <c r="AC32" s="24">
        <v>304</v>
      </c>
      <c r="AD32" s="26">
        <v>540</v>
      </c>
      <c r="AE32" s="27">
        <v>540</v>
      </c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>
        <v>250057</v>
      </c>
      <c r="AT32" s="24">
        <v>304</v>
      </c>
      <c r="AU32" s="31">
        <v>0.7</v>
      </c>
      <c r="AV32" s="31" t="s">
        <v>25</v>
      </c>
      <c r="AW32" s="29" t="s">
        <v>402</v>
      </c>
      <c r="AX32" s="32"/>
      <c r="AY32" s="24">
        <v>304</v>
      </c>
      <c r="AZ32" s="26">
        <v>410</v>
      </c>
      <c r="BA32" s="27">
        <v>410</v>
      </c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>
        <v>250052</v>
      </c>
      <c r="B33" s="24">
        <v>304</v>
      </c>
      <c r="C33" s="31">
        <v>0.7</v>
      </c>
      <c r="D33" s="31" t="s">
        <v>25</v>
      </c>
      <c r="E33" s="29" t="s">
        <v>366</v>
      </c>
      <c r="F33" s="29"/>
      <c r="G33" s="24">
        <v>304</v>
      </c>
      <c r="H33" s="26">
        <v>800</v>
      </c>
      <c r="I33" s="27">
        <v>800</v>
      </c>
      <c r="J33" s="26">
        <f t="shared" si="12"/>
        <v>0</v>
      </c>
      <c r="L33" s="24">
        <v>250055</v>
      </c>
      <c r="M33" s="24">
        <v>304</v>
      </c>
      <c r="N33" s="31">
        <v>0.7</v>
      </c>
      <c r="O33" s="31" t="s">
        <v>25</v>
      </c>
      <c r="P33" s="29" t="s">
        <v>375</v>
      </c>
      <c r="Q33" s="29"/>
      <c r="R33" s="24">
        <v>304</v>
      </c>
      <c r="S33" s="26">
        <v>830</v>
      </c>
      <c r="T33" s="27">
        <v>830</v>
      </c>
      <c r="U33" s="26">
        <f t="shared" si="13"/>
        <v>0</v>
      </c>
      <c r="W33" s="24">
        <v>250061</v>
      </c>
      <c r="X33" s="24">
        <v>304</v>
      </c>
      <c r="Y33" s="31">
        <v>0.7</v>
      </c>
      <c r="Z33" s="31" t="s">
        <v>25</v>
      </c>
      <c r="AA33" s="29" t="s">
        <v>386</v>
      </c>
      <c r="AB33" s="33"/>
      <c r="AC33" s="24">
        <v>304</v>
      </c>
      <c r="AD33" s="26">
        <v>540</v>
      </c>
      <c r="AE33" s="27">
        <v>540</v>
      </c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 t="s">
        <v>376</v>
      </c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 t="s">
        <v>376</v>
      </c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 t="s">
        <v>376</v>
      </c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 t="s">
        <v>376</v>
      </c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 t="s">
        <v>376</v>
      </c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4000</v>
      </c>
      <c r="I35" s="27">
        <f>SUM(I29:I34)</f>
        <v>4000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4150</v>
      </c>
      <c r="T35" s="27">
        <f>SUM(T29:T34)</f>
        <v>4150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2700</v>
      </c>
      <c r="AE35" s="27">
        <f>SUM(AE29:AE34)</f>
        <v>2700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1230</v>
      </c>
      <c r="AP35" s="27">
        <f>SUM(AP29:AP34)</f>
        <v>1230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1640</v>
      </c>
      <c r="BA35" s="27">
        <f>SUM(BA29:BA34)</f>
        <v>1640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290925</v>
      </c>
      <c r="B40" s="24">
        <v>304</v>
      </c>
      <c r="C40" s="31">
        <v>0.9</v>
      </c>
      <c r="D40" s="31" t="s">
        <v>27</v>
      </c>
      <c r="E40" s="29" t="s">
        <v>456</v>
      </c>
      <c r="F40" s="29"/>
      <c r="G40" s="24"/>
      <c r="H40" s="26">
        <v>700</v>
      </c>
      <c r="I40" s="27">
        <v>700</v>
      </c>
      <c r="J40" s="26">
        <f>H40-I40</f>
        <v>0</v>
      </c>
      <c r="L40" s="24">
        <v>131025</v>
      </c>
      <c r="M40" s="24">
        <v>304</v>
      </c>
      <c r="N40" s="31">
        <v>0.9</v>
      </c>
      <c r="O40" s="31" t="s">
        <v>25</v>
      </c>
      <c r="P40" s="29" t="s">
        <v>495</v>
      </c>
      <c r="Q40" s="29"/>
      <c r="R40" s="24"/>
      <c r="S40" s="26">
        <v>1050</v>
      </c>
      <c r="T40" s="27">
        <f>650+400</f>
        <v>1050</v>
      </c>
      <c r="U40" s="26">
        <f>S40-T40</f>
        <v>0</v>
      </c>
      <c r="W40" s="24">
        <v>290925</v>
      </c>
      <c r="X40" s="24">
        <v>304</v>
      </c>
      <c r="Y40" s="31">
        <v>0.8</v>
      </c>
      <c r="Z40" s="31" t="s">
        <v>27</v>
      </c>
      <c r="AA40" s="29" t="s">
        <v>455</v>
      </c>
      <c r="AB40" s="29"/>
      <c r="AC40" s="24">
        <v>430</v>
      </c>
      <c r="AD40" s="26">
        <v>1900</v>
      </c>
      <c r="AE40" s="27">
        <v>1900</v>
      </c>
      <c r="AF40" s="26">
        <f>AD40-AE40</f>
        <v>0</v>
      </c>
      <c r="AH40" s="24">
        <v>290925</v>
      </c>
      <c r="AI40" s="24">
        <v>304</v>
      </c>
      <c r="AJ40" s="31">
        <v>0.8</v>
      </c>
      <c r="AK40" s="31" t="s">
        <v>27</v>
      </c>
      <c r="AL40" s="29" t="s">
        <v>454</v>
      </c>
      <c r="AM40" s="29"/>
      <c r="AN40" s="24"/>
      <c r="AO40" s="26">
        <v>2200</v>
      </c>
      <c r="AP40" s="27">
        <v>2200</v>
      </c>
      <c r="AQ40" s="26">
        <f>AO40-AP40</f>
        <v>0</v>
      </c>
      <c r="AS40" s="24">
        <v>290925</v>
      </c>
      <c r="AT40" s="24">
        <v>304</v>
      </c>
      <c r="AU40" s="31">
        <v>0.8</v>
      </c>
      <c r="AV40" s="31" t="s">
        <v>27</v>
      </c>
      <c r="AW40" s="29" t="s">
        <v>454</v>
      </c>
      <c r="AX40" s="29"/>
      <c r="AY40" s="24"/>
      <c r="AZ40" s="26">
        <v>600</v>
      </c>
      <c r="BA40" s="27">
        <v>600</v>
      </c>
      <c r="BB40" s="26">
        <f>AZ40-BA40</f>
        <v>0</v>
      </c>
      <c r="BD40" s="24">
        <v>230925</v>
      </c>
      <c r="BE40" s="24">
        <v>430</v>
      </c>
      <c r="BF40" s="31">
        <v>0.8</v>
      </c>
      <c r="BG40" s="31" t="s">
        <v>25</v>
      </c>
      <c r="BH40" s="29" t="s">
        <v>45</v>
      </c>
      <c r="BI40" s="29"/>
      <c r="BJ40" s="24">
        <v>430</v>
      </c>
      <c r="BK40" s="26">
        <v>1000</v>
      </c>
      <c r="BL40" s="27">
        <v>1000</v>
      </c>
      <c r="BM40" s="26">
        <f>BK40-BL40</f>
        <v>0</v>
      </c>
    </row>
    <row r="41" spans="1:65" s="30" customFormat="1" ht="20.100000000000001" customHeight="1" x14ac:dyDescent="0.3">
      <c r="A41" s="24">
        <v>131025</v>
      </c>
      <c r="B41" s="24">
        <v>304</v>
      </c>
      <c r="C41" s="31">
        <v>0.9</v>
      </c>
      <c r="D41" s="31" t="s">
        <v>25</v>
      </c>
      <c r="E41" s="29" t="s">
        <v>495</v>
      </c>
      <c r="F41" s="29"/>
      <c r="G41" s="24"/>
      <c r="H41" s="26">
        <v>1500</v>
      </c>
      <c r="I41" s="27">
        <v>1500</v>
      </c>
      <c r="J41" s="26">
        <f t="shared" ref="J41:J45" si="18">H41-I41</f>
        <v>0</v>
      </c>
      <c r="L41" s="24">
        <v>290925</v>
      </c>
      <c r="M41" s="24">
        <v>304</v>
      </c>
      <c r="N41" s="31">
        <v>0.8</v>
      </c>
      <c r="O41" s="31" t="s">
        <v>27</v>
      </c>
      <c r="P41" s="29" t="s">
        <v>455</v>
      </c>
      <c r="Q41" s="29"/>
      <c r="R41" s="24">
        <v>430</v>
      </c>
      <c r="S41" s="26">
        <v>1100</v>
      </c>
      <c r="T41" s="27">
        <v>1000</v>
      </c>
      <c r="U41" s="26">
        <f t="shared" ref="U41:U45" si="19">S41-T41</f>
        <v>100</v>
      </c>
      <c r="W41" s="24">
        <v>290925</v>
      </c>
      <c r="X41" s="24">
        <v>304</v>
      </c>
      <c r="Y41" s="31">
        <v>0.8</v>
      </c>
      <c r="Z41" s="31" t="s">
        <v>27</v>
      </c>
      <c r="AA41" s="29" t="s">
        <v>454</v>
      </c>
      <c r="AB41" s="29"/>
      <c r="AC41" s="24"/>
      <c r="AD41" s="26">
        <v>200</v>
      </c>
      <c r="AE41" s="27">
        <v>200</v>
      </c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>
        <v>250057</v>
      </c>
      <c r="AT41" s="24">
        <v>304</v>
      </c>
      <c r="AU41" s="31">
        <v>0.7</v>
      </c>
      <c r="AV41" s="31" t="s">
        <v>25</v>
      </c>
      <c r="AW41" s="29" t="s">
        <v>508</v>
      </c>
      <c r="AX41" s="29"/>
      <c r="AY41" s="24">
        <v>304</v>
      </c>
      <c r="AZ41" s="26">
        <v>410</v>
      </c>
      <c r="BA41" s="27">
        <v>410</v>
      </c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>
        <v>250061</v>
      </c>
      <c r="AT42" s="24">
        <v>304</v>
      </c>
      <c r="AU42" s="31">
        <v>0.7</v>
      </c>
      <c r="AV42" s="31" t="s">
        <v>25</v>
      </c>
      <c r="AW42" s="29" t="s">
        <v>507</v>
      </c>
      <c r="AX42" s="29"/>
      <c r="AY42" s="24">
        <v>304</v>
      </c>
      <c r="AZ42" s="26">
        <v>540</v>
      </c>
      <c r="BA42" s="27">
        <v>540</v>
      </c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>
        <v>230925</v>
      </c>
      <c r="AT43" s="24">
        <v>430</v>
      </c>
      <c r="AU43" s="31">
        <v>0.8</v>
      </c>
      <c r="AV43" s="31" t="s">
        <v>25</v>
      </c>
      <c r="AW43" s="29" t="s">
        <v>45</v>
      </c>
      <c r="AX43" s="29"/>
      <c r="AY43" s="24">
        <v>430</v>
      </c>
      <c r="AZ43" s="26">
        <v>200</v>
      </c>
      <c r="BA43" s="27">
        <v>200</v>
      </c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2200</v>
      </c>
      <c r="I46" s="27">
        <f>SUM(I40:I45)</f>
        <v>2200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2150</v>
      </c>
      <c r="T46" s="27">
        <f>SUM(T40:T45)</f>
        <v>2050</v>
      </c>
      <c r="U46" s="26">
        <f>SUM(U40:U45)</f>
        <v>100</v>
      </c>
      <c r="W46" s="34"/>
      <c r="X46" s="34"/>
      <c r="Y46" s="34"/>
      <c r="Z46" s="34"/>
      <c r="AA46" s="35"/>
      <c r="AB46" s="35"/>
      <c r="AC46" s="36"/>
      <c r="AD46" s="26">
        <f>SUM(AD40:AD45)</f>
        <v>2100</v>
      </c>
      <c r="AE46" s="27">
        <f>SUM(AE40:AE45)</f>
        <v>2100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2200</v>
      </c>
      <c r="AP46" s="27">
        <f>SUM(AP40:AP45)</f>
        <v>2200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1750</v>
      </c>
      <c r="BA46" s="27">
        <f>SUM(BA40:BA45)</f>
        <v>1750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1000</v>
      </c>
      <c r="BL46" s="27">
        <f>SUM(BL40:BL45)</f>
        <v>1000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>
        <v>290925</v>
      </c>
      <c r="B51" s="24">
        <v>304</v>
      </c>
      <c r="C51" s="31">
        <v>0.9</v>
      </c>
      <c r="D51" s="31" t="s">
        <v>27</v>
      </c>
      <c r="E51" s="29" t="s">
        <v>456</v>
      </c>
      <c r="F51" s="29"/>
      <c r="G51" s="24"/>
      <c r="H51" s="26">
        <v>2000</v>
      </c>
      <c r="I51" s="27">
        <v>2000</v>
      </c>
      <c r="J51" s="26">
        <f>H51-I51</f>
        <v>0</v>
      </c>
      <c r="L51" s="24">
        <v>290925</v>
      </c>
      <c r="M51" s="24">
        <v>304</v>
      </c>
      <c r="N51" s="31">
        <v>0.9</v>
      </c>
      <c r="O51" s="31" t="s">
        <v>27</v>
      </c>
      <c r="P51" s="29" t="s">
        <v>456</v>
      </c>
      <c r="Q51" s="29"/>
      <c r="R51" s="24"/>
      <c r="S51" s="26">
        <v>2000</v>
      </c>
      <c r="T51" s="27">
        <v>2000</v>
      </c>
      <c r="U51" s="26">
        <f>S51-T51</f>
        <v>0</v>
      </c>
      <c r="W51" s="24">
        <v>131025</v>
      </c>
      <c r="X51" s="24">
        <v>304</v>
      </c>
      <c r="Y51" s="31">
        <v>0.9</v>
      </c>
      <c r="Z51" s="31"/>
      <c r="AA51" s="29" t="s">
        <v>495</v>
      </c>
      <c r="AB51" s="29"/>
      <c r="AC51" s="24"/>
      <c r="AD51" s="26">
        <v>2550</v>
      </c>
      <c r="AE51" s="27">
        <v>2550</v>
      </c>
      <c r="AF51" s="26">
        <f>AD51-AE51</f>
        <v>0</v>
      </c>
      <c r="AH51" s="24">
        <v>250057</v>
      </c>
      <c r="AI51" s="24">
        <v>304</v>
      </c>
      <c r="AJ51" s="31">
        <v>0.7</v>
      </c>
      <c r="AK51" s="31" t="s">
        <v>25</v>
      </c>
      <c r="AL51" s="29" t="s">
        <v>508</v>
      </c>
      <c r="AM51" s="29"/>
      <c r="AN51" s="24">
        <v>304</v>
      </c>
      <c r="AO51" s="26">
        <v>410</v>
      </c>
      <c r="AP51" s="27">
        <v>410</v>
      </c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>
        <v>250061</v>
      </c>
      <c r="AI52" s="24">
        <v>304</v>
      </c>
      <c r="AJ52" s="31">
        <v>0.7</v>
      </c>
      <c r="AK52" s="31" t="s">
        <v>25</v>
      </c>
      <c r="AL52" s="29" t="s">
        <v>507</v>
      </c>
      <c r="AM52" s="29"/>
      <c r="AN52" s="24">
        <v>304</v>
      </c>
      <c r="AO52" s="26">
        <v>540</v>
      </c>
      <c r="AP52" s="27">
        <v>540</v>
      </c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2000</v>
      </c>
      <c r="I57" s="27">
        <f>SUM(I51:I56)</f>
        <v>2000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2000</v>
      </c>
      <c r="T57" s="27">
        <f>SUM(T51:T56)</f>
        <v>2000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2550</v>
      </c>
      <c r="AE57" s="27">
        <f>SUM(AE51:AE56)</f>
        <v>2550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950</v>
      </c>
      <c r="AP57" s="27">
        <f>SUM(AP51:AP56)</f>
        <v>950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250080</v>
      </c>
      <c r="B62" s="24">
        <v>304</v>
      </c>
      <c r="C62" s="31">
        <v>0.7</v>
      </c>
      <c r="D62" s="31" t="s">
        <v>25</v>
      </c>
      <c r="E62" s="29" t="s">
        <v>485</v>
      </c>
      <c r="F62" s="33"/>
      <c r="G62" s="24">
        <v>430</v>
      </c>
      <c r="H62" s="26">
        <v>1200</v>
      </c>
      <c r="I62" s="27"/>
      <c r="J62" s="26">
        <f>H62-I62</f>
        <v>1200</v>
      </c>
      <c r="L62" s="24">
        <v>131025</v>
      </c>
      <c r="M62" s="24">
        <v>304</v>
      </c>
      <c r="N62" s="31">
        <v>0.6</v>
      </c>
      <c r="O62" s="31"/>
      <c r="P62" s="29" t="s">
        <v>498</v>
      </c>
      <c r="Q62" s="33"/>
      <c r="R62" s="24"/>
      <c r="S62" s="26">
        <v>3000</v>
      </c>
      <c r="T62" s="27"/>
      <c r="U62" s="26">
        <f>S62-T62</f>
        <v>3000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>
        <v>250080</v>
      </c>
      <c r="B63" s="24">
        <v>304</v>
      </c>
      <c r="C63" s="31">
        <v>0.7</v>
      </c>
      <c r="D63" s="31" t="s">
        <v>25</v>
      </c>
      <c r="E63" s="29" t="s">
        <v>486</v>
      </c>
      <c r="F63" s="29"/>
      <c r="G63" s="24">
        <v>430</v>
      </c>
      <c r="H63" s="26">
        <v>1000</v>
      </c>
      <c r="I63" s="27"/>
      <c r="J63" s="26">
        <f t="shared" ref="J63:J67" si="30">H63-I63</f>
        <v>1000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2200</v>
      </c>
      <c r="I68" s="27">
        <f>SUM(I62:I67)</f>
        <v>0</v>
      </c>
      <c r="J68" s="26">
        <f>SUM(J62:J67)</f>
        <v>2200</v>
      </c>
      <c r="L68" s="34"/>
      <c r="M68" s="34"/>
      <c r="N68" s="34"/>
      <c r="O68" s="34"/>
      <c r="P68" s="35"/>
      <c r="Q68" s="35"/>
      <c r="R68" s="36"/>
      <c r="S68" s="26">
        <f>SUM(S62:S67)</f>
        <v>3000</v>
      </c>
      <c r="T68" s="27">
        <f>SUM(T62:T67)</f>
        <v>0</v>
      </c>
      <c r="U68" s="26">
        <f>SUM(U62:U67)</f>
        <v>3000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>
        <v>131025</v>
      </c>
      <c r="M73" s="24">
        <v>304</v>
      </c>
      <c r="N73" s="31">
        <v>0.9</v>
      </c>
      <c r="O73" s="31"/>
      <c r="P73" s="29" t="s">
        <v>494</v>
      </c>
      <c r="Q73" s="29"/>
      <c r="R73" s="24"/>
      <c r="S73" s="26">
        <v>3000</v>
      </c>
      <c r="T73" s="27"/>
      <c r="U73" s="26">
        <f>S73-T73</f>
        <v>3000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>
        <v>131025</v>
      </c>
      <c r="B75" s="24">
        <v>304</v>
      </c>
      <c r="C75" s="31">
        <v>0.6</v>
      </c>
      <c r="D75" s="31"/>
      <c r="E75" s="29" t="s">
        <v>496</v>
      </c>
      <c r="F75" s="29"/>
      <c r="G75" s="24"/>
      <c r="H75" s="26">
        <v>3000</v>
      </c>
      <c r="I75" s="27"/>
      <c r="J75" s="26">
        <f t="shared" si="36"/>
        <v>3000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>
        <v>131025</v>
      </c>
      <c r="B76" s="24">
        <v>304</v>
      </c>
      <c r="C76" s="31">
        <v>0.6</v>
      </c>
      <c r="D76" s="31"/>
      <c r="E76" s="29" t="s">
        <v>497</v>
      </c>
      <c r="F76" s="32"/>
      <c r="G76" s="24"/>
      <c r="H76" s="26">
        <v>3000</v>
      </c>
      <c r="I76" s="27"/>
      <c r="J76" s="26">
        <f t="shared" si="36"/>
        <v>3000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>
        <v>131025</v>
      </c>
      <c r="B77" s="24">
        <v>304</v>
      </c>
      <c r="C77" s="31">
        <v>0.6</v>
      </c>
      <c r="D77" s="31"/>
      <c r="E77" s="29" t="s">
        <v>498</v>
      </c>
      <c r="F77" s="33"/>
      <c r="G77" s="24"/>
      <c r="H77" s="26">
        <v>3000</v>
      </c>
      <c r="I77" s="27"/>
      <c r="J77" s="26">
        <f t="shared" si="36"/>
        <v>3000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9000</v>
      </c>
      <c r="I79" s="27">
        <f>SUM(I73:I78)</f>
        <v>0</v>
      </c>
      <c r="J79" s="26">
        <f>SUM(J73:J78)</f>
        <v>9000</v>
      </c>
      <c r="L79" s="34"/>
      <c r="M79" s="34"/>
      <c r="N79" s="34"/>
      <c r="O79" s="34"/>
      <c r="P79" s="35"/>
      <c r="Q79" s="35"/>
      <c r="R79" s="36"/>
      <c r="S79" s="26">
        <f>SUM(S73:S78)</f>
        <v>3000</v>
      </c>
      <c r="T79" s="27">
        <f>SUM(T73:T78)</f>
        <v>0</v>
      </c>
      <c r="U79" s="26">
        <f>SUM(U73:U78)</f>
        <v>3000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B29" zoomScale="55" zoomScaleNormal="55" workbookViewId="0">
      <selection activeCell="BD52" sqref="BD52"/>
    </sheetView>
  </sheetViews>
  <sheetFormatPr defaultRowHeight="14.4" x14ac:dyDescent="0.3"/>
  <cols>
    <col min="1" max="1" width="8.5546875" style="58" customWidth="1"/>
    <col min="2" max="2" width="7.5546875" style="58" customWidth="1"/>
    <col min="3" max="3" width="10.5546875" style="58" customWidth="1"/>
    <col min="4" max="4" width="9.5546875" style="58" customWidth="1"/>
    <col min="5" max="5" width="60.5546875" style="58" customWidth="1"/>
    <col min="6" max="6" width="0.77734375" style="58" customWidth="1"/>
    <col min="7" max="10" width="8.21875" style="58" customWidth="1"/>
    <col min="11" max="11" width="1.77734375" customWidth="1"/>
    <col min="12" max="12" width="8.5546875" style="58" customWidth="1"/>
    <col min="13" max="13" width="7.5546875" style="58" customWidth="1"/>
    <col min="14" max="14" width="10.5546875" style="58" customWidth="1"/>
    <col min="15" max="15" width="9.5546875" style="58" customWidth="1"/>
    <col min="16" max="16" width="60.5546875" style="58" customWidth="1"/>
    <col min="17" max="17" width="0.77734375" style="58" customWidth="1"/>
    <col min="18" max="21" width="8.21875" style="58" customWidth="1"/>
    <col min="22" max="22" width="1.77734375" customWidth="1"/>
    <col min="23" max="23" width="8.5546875" style="58" customWidth="1"/>
    <col min="24" max="24" width="7.5546875" style="58" customWidth="1"/>
    <col min="25" max="25" width="10.5546875" style="58" customWidth="1"/>
    <col min="26" max="26" width="9.5546875" style="58" customWidth="1"/>
    <col min="27" max="27" width="60.5546875" style="58" customWidth="1"/>
    <col min="28" max="28" width="0.77734375" style="58" customWidth="1"/>
    <col min="29" max="32" width="8.21875" style="58" customWidth="1"/>
    <col min="33" max="33" width="1.77734375" customWidth="1"/>
    <col min="34" max="34" width="8.5546875" style="58" customWidth="1"/>
    <col min="35" max="35" width="7.5546875" style="58" customWidth="1"/>
    <col min="36" max="36" width="8.5546875" style="58" customWidth="1"/>
    <col min="37" max="37" width="9.5546875" style="58" customWidth="1"/>
    <col min="38" max="38" width="60.5546875" style="58" customWidth="1"/>
    <col min="39" max="39" width="0.77734375" style="58" customWidth="1"/>
    <col min="40" max="43" width="8.21875" style="58" customWidth="1"/>
    <col min="44" max="44" width="1.77734375" customWidth="1"/>
    <col min="45" max="45" width="8.5546875" style="58" customWidth="1"/>
    <col min="46" max="46" width="7.5546875" style="58" customWidth="1"/>
    <col min="47" max="47" width="10.5546875" style="58" customWidth="1"/>
    <col min="48" max="48" width="9.5546875" style="58" customWidth="1"/>
    <col min="49" max="49" width="60.5546875" style="58" customWidth="1"/>
    <col min="50" max="50" width="0.77734375" style="58" customWidth="1"/>
    <col min="51" max="54" width="8.21875" style="58" customWidth="1"/>
    <col min="55" max="55" width="1.77734375" customWidth="1"/>
    <col min="56" max="56" width="8.5546875" style="58" customWidth="1"/>
    <col min="57" max="57" width="7.5546875" style="58" customWidth="1"/>
    <col min="58" max="58" width="10.5546875" style="58" customWidth="1"/>
    <col min="59" max="59" width="9.5546875" style="58" customWidth="1"/>
    <col min="60" max="60" width="60.5546875" style="58" customWidth="1"/>
    <col min="61" max="61" width="0.77734375" style="58" customWidth="1"/>
    <col min="62" max="65" width="8.21875" style="58" customWidth="1"/>
  </cols>
  <sheetData>
    <row r="2" spans="1:65" x14ac:dyDescent="0.3">
      <c r="AC2" s="83" t="s">
        <v>222</v>
      </c>
      <c r="AD2" s="84"/>
      <c r="AE2" s="87" t="s">
        <v>26</v>
      </c>
      <c r="AF2" s="88"/>
      <c r="BJ2" s="83" t="s">
        <v>405</v>
      </c>
      <c r="BK2" s="84"/>
      <c r="BL2" s="87" t="s">
        <v>406</v>
      </c>
      <c r="BM2" s="88"/>
    </row>
    <row r="3" spans="1:65" x14ac:dyDescent="0.3">
      <c r="E3" s="59"/>
      <c r="F3" s="23"/>
      <c r="G3" s="59"/>
      <c r="P3" s="59"/>
      <c r="Q3" s="23"/>
      <c r="R3" s="59"/>
      <c r="AA3" s="59"/>
      <c r="AB3" s="23"/>
      <c r="AC3" s="85"/>
      <c r="AD3" s="86"/>
      <c r="AE3" s="89"/>
      <c r="AF3" s="90"/>
      <c r="AL3" s="59"/>
      <c r="AM3" s="23"/>
      <c r="AN3" s="59"/>
      <c r="AW3" s="59"/>
      <c r="AX3" s="23"/>
      <c r="AY3" s="59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44"/>
      <c r="B7" s="44"/>
      <c r="C7" s="45"/>
      <c r="D7" s="45"/>
      <c r="E7" s="32"/>
      <c r="F7" s="32"/>
      <c r="G7" s="44"/>
      <c r="H7" s="46"/>
      <c r="I7" s="27"/>
      <c r="J7" s="26">
        <f>H7-I7</f>
        <v>0</v>
      </c>
      <c r="L7" s="44"/>
      <c r="M7" s="44"/>
      <c r="N7" s="45"/>
      <c r="O7" s="45"/>
      <c r="P7" s="32"/>
      <c r="Q7" s="32"/>
      <c r="R7" s="44"/>
      <c r="S7" s="4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32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33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44"/>
      <c r="B8" s="44"/>
      <c r="C8" s="45"/>
      <c r="D8" s="45"/>
      <c r="E8" s="32"/>
      <c r="F8" s="32"/>
      <c r="G8" s="44"/>
      <c r="H8" s="46"/>
      <c r="I8" s="27"/>
      <c r="J8" s="26">
        <f t="shared" ref="J8:J12" si="0">H8-I8</f>
        <v>0</v>
      </c>
      <c r="L8" s="44"/>
      <c r="M8" s="44"/>
      <c r="N8" s="45"/>
      <c r="O8" s="45"/>
      <c r="P8" s="32"/>
      <c r="Q8" s="32"/>
      <c r="R8" s="44"/>
      <c r="S8" s="4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32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33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44"/>
      <c r="M9" s="44"/>
      <c r="N9" s="45"/>
      <c r="O9" s="45"/>
      <c r="P9" s="32"/>
      <c r="Q9" s="32"/>
      <c r="R9" s="44"/>
      <c r="S9" s="4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33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29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29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3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29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29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29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29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31"/>
      <c r="AK12" s="31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31"/>
      <c r="AV12" s="31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31"/>
      <c r="BG12" s="31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44">
        <v>250048</v>
      </c>
      <c r="B18" s="44">
        <v>304</v>
      </c>
      <c r="C18" s="45">
        <v>0.7</v>
      </c>
      <c r="D18" s="45" t="s">
        <v>27</v>
      </c>
      <c r="E18" s="32" t="s">
        <v>135</v>
      </c>
      <c r="F18" s="32"/>
      <c r="G18" s="44">
        <v>304</v>
      </c>
      <c r="H18" s="46">
        <v>570</v>
      </c>
      <c r="I18" s="27">
        <v>570</v>
      </c>
      <c r="J18" s="26">
        <f>H18-I18</f>
        <v>0</v>
      </c>
      <c r="L18" s="44">
        <v>250046</v>
      </c>
      <c r="M18" s="44">
        <v>304</v>
      </c>
      <c r="N18" s="45">
        <v>0.7</v>
      </c>
      <c r="O18" s="45" t="s">
        <v>27</v>
      </c>
      <c r="P18" s="32" t="s">
        <v>142</v>
      </c>
      <c r="Q18" s="32"/>
      <c r="R18" s="44">
        <v>304</v>
      </c>
      <c r="S18" s="46">
        <v>500</v>
      </c>
      <c r="T18" s="27">
        <v>500</v>
      </c>
      <c r="U18" s="26">
        <f>S18-T18</f>
        <v>0</v>
      </c>
      <c r="W18" s="24"/>
      <c r="X18" s="24"/>
      <c r="Y18" s="31"/>
      <c r="Z18" s="31"/>
      <c r="AA18" s="29" t="s">
        <v>589</v>
      </c>
      <c r="AB18" s="29"/>
      <c r="AC18" s="24"/>
      <c r="AD18" s="26"/>
      <c r="AE18" s="27"/>
      <c r="AF18" s="26">
        <f>AD18-AE18</f>
        <v>0</v>
      </c>
      <c r="AH18" s="44">
        <v>250048</v>
      </c>
      <c r="AI18" s="44">
        <v>304</v>
      </c>
      <c r="AJ18" s="45">
        <v>0.7</v>
      </c>
      <c r="AK18" s="45" t="s">
        <v>27</v>
      </c>
      <c r="AL18" s="32" t="s">
        <v>514</v>
      </c>
      <c r="AM18" s="32"/>
      <c r="AN18" s="44">
        <v>304</v>
      </c>
      <c r="AO18" s="46">
        <v>300</v>
      </c>
      <c r="AP18" s="27">
        <v>600</v>
      </c>
      <c r="AQ18" s="26">
        <f>AO18-AP18</f>
        <v>-300</v>
      </c>
      <c r="AS18" s="24">
        <v>250042</v>
      </c>
      <c r="AT18" s="24">
        <v>304</v>
      </c>
      <c r="AU18" s="31">
        <v>0.9</v>
      </c>
      <c r="AV18" s="31" t="s">
        <v>41</v>
      </c>
      <c r="AW18" s="29" t="s">
        <v>516</v>
      </c>
      <c r="AX18" s="29"/>
      <c r="AY18" s="24">
        <v>304</v>
      </c>
      <c r="AZ18" s="26">
        <v>750</v>
      </c>
      <c r="BA18" s="27"/>
      <c r="BB18" s="26">
        <f>AZ18-BA18</f>
        <v>750</v>
      </c>
      <c r="BD18" s="44">
        <v>160925</v>
      </c>
      <c r="BE18" s="44">
        <v>304</v>
      </c>
      <c r="BF18" s="45">
        <v>0.9</v>
      </c>
      <c r="BG18" s="45" t="s">
        <v>41</v>
      </c>
      <c r="BH18" s="32" t="s">
        <v>515</v>
      </c>
      <c r="BI18" s="32"/>
      <c r="BJ18" s="44">
        <v>430</v>
      </c>
      <c r="BK18" s="46">
        <v>350</v>
      </c>
      <c r="BL18" s="27"/>
      <c r="BM18" s="26">
        <f>BK18-BL18</f>
        <v>350</v>
      </c>
    </row>
    <row r="19" spans="1:65" s="30" customFormat="1" ht="20.100000000000001" customHeight="1" x14ac:dyDescent="0.3">
      <c r="A19" s="44">
        <v>250046</v>
      </c>
      <c r="B19" s="44">
        <v>304</v>
      </c>
      <c r="C19" s="45">
        <v>0.7</v>
      </c>
      <c r="D19" s="45" t="s">
        <v>27</v>
      </c>
      <c r="E19" s="32" t="s">
        <v>143</v>
      </c>
      <c r="F19" s="32"/>
      <c r="G19" s="44">
        <v>304</v>
      </c>
      <c r="H19" s="46">
        <v>950</v>
      </c>
      <c r="I19" s="27">
        <v>950</v>
      </c>
      <c r="J19" s="26">
        <f t="shared" ref="J19:J23" si="6">H19-I19</f>
        <v>0</v>
      </c>
      <c r="L19" s="44">
        <v>250046</v>
      </c>
      <c r="M19" s="44">
        <v>304</v>
      </c>
      <c r="N19" s="45">
        <v>0.7</v>
      </c>
      <c r="O19" s="45" t="s">
        <v>27</v>
      </c>
      <c r="P19" s="32" t="s">
        <v>142</v>
      </c>
      <c r="Q19" s="32"/>
      <c r="R19" s="44">
        <v>304</v>
      </c>
      <c r="S19" s="46">
        <v>450</v>
      </c>
      <c r="T19" s="27">
        <v>450</v>
      </c>
      <c r="U19" s="26">
        <f t="shared" ref="U19:U23" si="7">S19-T19</f>
        <v>0</v>
      </c>
      <c r="W19" s="24"/>
      <c r="X19" s="24"/>
      <c r="Y19" s="31"/>
      <c r="Z19" s="31"/>
      <c r="AA19" s="29"/>
      <c r="AB19" s="32"/>
      <c r="AC19" s="24"/>
      <c r="AD19" s="26"/>
      <c r="AE19" s="27"/>
      <c r="AF19" s="26">
        <f t="shared" ref="AF19:AF23" si="8">AD19-AE19</f>
        <v>0</v>
      </c>
      <c r="AH19" s="24">
        <v>250042</v>
      </c>
      <c r="AI19" s="24">
        <v>304</v>
      </c>
      <c r="AJ19" s="31">
        <v>0.9</v>
      </c>
      <c r="AK19" s="31" t="s">
        <v>41</v>
      </c>
      <c r="AL19" s="29" t="s">
        <v>519</v>
      </c>
      <c r="AM19" s="29"/>
      <c r="AN19" s="24">
        <v>304</v>
      </c>
      <c r="AO19" s="26">
        <v>750</v>
      </c>
      <c r="AP19" s="27">
        <v>811</v>
      </c>
      <c r="AQ19" s="26">
        <f t="shared" ref="AQ19:AQ23" si="9">AO19-AP19</f>
        <v>-61</v>
      </c>
      <c r="AS19" s="44">
        <v>160925</v>
      </c>
      <c r="AT19" s="44">
        <v>304</v>
      </c>
      <c r="AU19" s="45">
        <v>0.9</v>
      </c>
      <c r="AV19" s="45" t="s">
        <v>41</v>
      </c>
      <c r="AW19" s="32" t="s">
        <v>515</v>
      </c>
      <c r="AX19" s="32"/>
      <c r="AY19" s="44">
        <v>430</v>
      </c>
      <c r="AZ19" s="46">
        <v>750</v>
      </c>
      <c r="BA19" s="27"/>
      <c r="BB19" s="26">
        <f t="shared" ref="BB19:BB23" si="10">AZ19-BA19</f>
        <v>750</v>
      </c>
      <c r="BD19" s="24">
        <v>250049</v>
      </c>
      <c r="BE19" s="24">
        <v>304</v>
      </c>
      <c r="BF19" s="31">
        <v>0.9</v>
      </c>
      <c r="BG19" s="31" t="s">
        <v>41</v>
      </c>
      <c r="BH19" s="29" t="s">
        <v>517</v>
      </c>
      <c r="BI19" s="29"/>
      <c r="BJ19" s="24">
        <v>430</v>
      </c>
      <c r="BK19" s="26">
        <v>450</v>
      </c>
      <c r="BL19" s="27"/>
      <c r="BM19" s="26">
        <f t="shared" ref="BM19:BM23" si="11">BK19-BL19</f>
        <v>450</v>
      </c>
    </row>
    <row r="20" spans="1:65" s="30" customFormat="1" ht="20.100000000000001" customHeight="1" x14ac:dyDescent="0.3">
      <c r="A20" s="44">
        <v>250048</v>
      </c>
      <c r="B20" s="44">
        <v>304</v>
      </c>
      <c r="C20" s="45">
        <v>0.7</v>
      </c>
      <c r="D20" s="45" t="s">
        <v>27</v>
      </c>
      <c r="E20" s="32" t="s">
        <v>131</v>
      </c>
      <c r="F20" s="32"/>
      <c r="G20" s="44">
        <v>304</v>
      </c>
      <c r="H20" s="46">
        <v>570</v>
      </c>
      <c r="I20" s="27">
        <v>570</v>
      </c>
      <c r="J20" s="26">
        <f t="shared" si="6"/>
        <v>0</v>
      </c>
      <c r="L20" s="44">
        <v>250048</v>
      </c>
      <c r="M20" s="44">
        <v>304</v>
      </c>
      <c r="N20" s="45">
        <v>0.7</v>
      </c>
      <c r="O20" s="45" t="s">
        <v>27</v>
      </c>
      <c r="P20" s="32" t="s">
        <v>132</v>
      </c>
      <c r="Q20" s="32"/>
      <c r="R20" s="44">
        <v>304</v>
      </c>
      <c r="S20" s="46">
        <v>570</v>
      </c>
      <c r="T20" s="27">
        <v>570</v>
      </c>
      <c r="U20" s="26">
        <f t="shared" si="7"/>
        <v>0</v>
      </c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44"/>
      <c r="AT20" s="44"/>
      <c r="AU20" s="45"/>
      <c r="AV20" s="45"/>
      <c r="AW20" s="32"/>
      <c r="AX20" s="32"/>
      <c r="AY20" s="44"/>
      <c r="AZ20" s="46"/>
      <c r="BA20" s="27"/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44"/>
      <c r="B21" s="44"/>
      <c r="C21" s="45"/>
      <c r="D21" s="45"/>
      <c r="E21" s="32"/>
      <c r="F21" s="32"/>
      <c r="G21" s="44"/>
      <c r="H21" s="46"/>
      <c r="I21" s="27"/>
      <c r="J21" s="26">
        <f t="shared" si="6"/>
        <v>0</v>
      </c>
      <c r="L21" s="44">
        <v>250048</v>
      </c>
      <c r="M21" s="44">
        <v>304</v>
      </c>
      <c r="N21" s="45">
        <v>0.7</v>
      </c>
      <c r="O21" s="45" t="s">
        <v>27</v>
      </c>
      <c r="P21" s="32" t="s">
        <v>514</v>
      </c>
      <c r="Q21" s="32"/>
      <c r="R21" s="44">
        <v>304</v>
      </c>
      <c r="S21" s="46">
        <v>270</v>
      </c>
      <c r="T21" s="27">
        <v>270</v>
      </c>
      <c r="U21" s="26">
        <f t="shared" si="7"/>
        <v>0</v>
      </c>
      <c r="W21" s="24"/>
      <c r="X21" s="24"/>
      <c r="Y21" s="31"/>
      <c r="Z21" s="31"/>
      <c r="AA21" s="29"/>
      <c r="AB21" s="29"/>
      <c r="AC21" s="24"/>
      <c r="AD21" s="26"/>
      <c r="AE21" s="27"/>
      <c r="AF21" s="26">
        <f t="shared" si="8"/>
        <v>0</v>
      </c>
      <c r="AH21" s="24"/>
      <c r="AI21" s="24"/>
      <c r="AJ21" s="31"/>
      <c r="AK21" s="31"/>
      <c r="AL21" s="29"/>
      <c r="AM21" s="29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33"/>
      <c r="AY21" s="24"/>
      <c r="AZ21" s="26"/>
      <c r="BA21" s="27"/>
      <c r="BB21" s="26">
        <f t="shared" si="10"/>
        <v>0</v>
      </c>
      <c r="BD21" s="24"/>
      <c r="BE21" s="24"/>
      <c r="BF21" s="31"/>
      <c r="BG21" s="31"/>
      <c r="BH21" s="29"/>
      <c r="BI21" s="29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44"/>
      <c r="M22" s="44"/>
      <c r="N22" s="45"/>
      <c r="O22" s="45"/>
      <c r="P22" s="32"/>
      <c r="Q22" s="32"/>
      <c r="R22" s="44"/>
      <c r="S22" s="46"/>
      <c r="T22" s="27"/>
      <c r="U22" s="26">
        <f t="shared" si="7"/>
        <v>0</v>
      </c>
      <c r="W22" s="24"/>
      <c r="X22" s="24"/>
      <c r="Y22" s="31"/>
      <c r="Z22" s="31"/>
      <c r="AA22" s="29"/>
      <c r="AB22" s="33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29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29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31"/>
      <c r="BG23" s="31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2090</v>
      </c>
      <c r="I24" s="27">
        <f>SUM(I18:I23)</f>
        <v>2090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1790</v>
      </c>
      <c r="T24" s="27">
        <f>SUM(T18:T23)</f>
        <v>1790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0</v>
      </c>
      <c r="AE24" s="27">
        <f>SUM(AE18:AE23)</f>
        <v>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1050</v>
      </c>
      <c r="AP24" s="27">
        <f>SUM(AP18:AP23)</f>
        <v>1411</v>
      </c>
      <c r="AQ24" s="26">
        <f>SUM(AQ18:AQ23)</f>
        <v>-361</v>
      </c>
      <c r="AS24" s="34"/>
      <c r="AT24" s="34"/>
      <c r="AU24" s="34"/>
      <c r="AV24" s="34"/>
      <c r="AW24" s="29"/>
      <c r="AX24" s="35"/>
      <c r="AY24" s="36"/>
      <c r="AZ24" s="26">
        <f>SUM(AZ18:AZ23)</f>
        <v>1500</v>
      </c>
      <c r="BA24" s="27">
        <f>SUM(BA18:BA23)</f>
        <v>0</v>
      </c>
      <c r="BB24" s="26">
        <f>SUM(BB18:BB23)</f>
        <v>1500</v>
      </c>
      <c r="BD24" s="34"/>
      <c r="BE24" s="34"/>
      <c r="BF24" s="34"/>
      <c r="BG24" s="34"/>
      <c r="BH24" s="35"/>
      <c r="BI24" s="35"/>
      <c r="BJ24" s="36"/>
      <c r="BK24" s="26">
        <f>SUM(BK18:BK23)</f>
        <v>800</v>
      </c>
      <c r="BL24" s="27">
        <f>SUM(BL18:BL23)</f>
        <v>0</v>
      </c>
      <c r="BM24" s="26">
        <f>SUM(BM18:BM23)</f>
        <v>800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250082</v>
      </c>
      <c r="B29" s="24">
        <v>430</v>
      </c>
      <c r="C29" s="31">
        <v>0.6</v>
      </c>
      <c r="D29" s="31"/>
      <c r="E29" s="29" t="s">
        <v>534</v>
      </c>
      <c r="F29" s="29"/>
      <c r="G29" s="24"/>
      <c r="H29" s="26">
        <v>1000</v>
      </c>
      <c r="I29" s="27">
        <v>1000</v>
      </c>
      <c r="J29" s="26">
        <f>H29-I29</f>
        <v>0</v>
      </c>
      <c r="L29" s="24">
        <v>250082</v>
      </c>
      <c r="M29" s="24">
        <v>430</v>
      </c>
      <c r="N29" s="31">
        <v>0.6</v>
      </c>
      <c r="O29" s="31"/>
      <c r="P29" s="29" t="s">
        <v>535</v>
      </c>
      <c r="Q29" s="29"/>
      <c r="R29" s="24"/>
      <c r="S29" s="26">
        <v>500</v>
      </c>
      <c r="T29" s="27">
        <v>500</v>
      </c>
      <c r="U29" s="26">
        <f>S29-T29</f>
        <v>0</v>
      </c>
      <c r="W29" s="24">
        <v>250084</v>
      </c>
      <c r="X29" s="24">
        <v>304</v>
      </c>
      <c r="Y29" s="31">
        <v>0.6</v>
      </c>
      <c r="Z29" s="31"/>
      <c r="AA29" s="29" t="s">
        <v>187</v>
      </c>
      <c r="AB29" s="29"/>
      <c r="AC29" s="24">
        <v>304</v>
      </c>
      <c r="AD29" s="26">
        <v>730</v>
      </c>
      <c r="AE29" s="27"/>
      <c r="AF29" s="26">
        <f>AD29-AE29</f>
        <v>730</v>
      </c>
      <c r="AH29" s="24">
        <v>250084</v>
      </c>
      <c r="AI29" s="24">
        <v>304</v>
      </c>
      <c r="AJ29" s="31">
        <v>0.6</v>
      </c>
      <c r="AK29" s="31"/>
      <c r="AL29" s="29" t="s">
        <v>189</v>
      </c>
      <c r="AM29" s="29"/>
      <c r="AN29" s="24">
        <v>304</v>
      </c>
      <c r="AO29" s="26">
        <v>730</v>
      </c>
      <c r="AP29" s="27"/>
      <c r="AQ29" s="26">
        <f>AO29-AP29</f>
        <v>730</v>
      </c>
      <c r="AS29" s="24">
        <v>250084</v>
      </c>
      <c r="AT29" s="24">
        <v>304</v>
      </c>
      <c r="AU29" s="31">
        <v>0.6</v>
      </c>
      <c r="AV29" s="31"/>
      <c r="AW29" s="29" t="s">
        <v>544</v>
      </c>
      <c r="AX29" s="29"/>
      <c r="AY29" s="24">
        <v>304</v>
      </c>
      <c r="AZ29" s="26">
        <v>730</v>
      </c>
      <c r="BA29" s="27">
        <v>730</v>
      </c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>
        <v>250082</v>
      </c>
      <c r="B30" s="24">
        <v>430</v>
      </c>
      <c r="C30" s="31">
        <v>0.6</v>
      </c>
      <c r="D30" s="31"/>
      <c r="E30" s="29" t="s">
        <v>535</v>
      </c>
      <c r="F30" s="29"/>
      <c r="G30" s="24"/>
      <c r="H30" s="26">
        <v>500</v>
      </c>
      <c r="I30" s="27">
        <v>500</v>
      </c>
      <c r="J30" s="26">
        <f t="shared" ref="J30:J34" si="12">H30-I30</f>
        <v>0</v>
      </c>
      <c r="L30" s="24">
        <v>250082</v>
      </c>
      <c r="M30" s="24">
        <v>430</v>
      </c>
      <c r="N30" s="31">
        <v>0.6</v>
      </c>
      <c r="O30" s="31"/>
      <c r="P30" s="29" t="s">
        <v>536</v>
      </c>
      <c r="Q30" s="29"/>
      <c r="R30" s="24"/>
      <c r="S30" s="26">
        <v>1000</v>
      </c>
      <c r="T30" s="27">
        <v>1000</v>
      </c>
      <c r="U30" s="26">
        <f t="shared" ref="U30:U34" si="13">S30-T30</f>
        <v>0</v>
      </c>
      <c r="W30" s="24">
        <v>250084</v>
      </c>
      <c r="X30" s="24">
        <v>304</v>
      </c>
      <c r="Y30" s="31">
        <v>0.6</v>
      </c>
      <c r="Z30" s="31"/>
      <c r="AA30" s="29" t="s">
        <v>543</v>
      </c>
      <c r="AB30" s="29"/>
      <c r="AC30" s="24">
        <v>304</v>
      </c>
      <c r="AD30" s="26">
        <v>730</v>
      </c>
      <c r="AE30" s="27"/>
      <c r="AF30" s="26">
        <f t="shared" ref="AF30:AF34" si="14">AD30-AE30</f>
        <v>730</v>
      </c>
      <c r="AH30" s="24">
        <v>250084</v>
      </c>
      <c r="AI30" s="24">
        <v>304</v>
      </c>
      <c r="AJ30" s="31">
        <v>0.6</v>
      </c>
      <c r="AK30" s="31"/>
      <c r="AL30" s="29" t="s">
        <v>190</v>
      </c>
      <c r="AM30" s="29"/>
      <c r="AN30" s="24">
        <v>304</v>
      </c>
      <c r="AO30" s="26">
        <v>730</v>
      </c>
      <c r="AP30" s="27"/>
      <c r="AQ30" s="26">
        <f t="shared" ref="AQ30:AQ34" si="15">AO30-AP30</f>
        <v>730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29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29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29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29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29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29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31"/>
      <c r="O34" s="31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 t="s">
        <v>541</v>
      </c>
      <c r="AB34" s="29"/>
      <c r="AC34" s="24"/>
      <c r="AD34" s="26"/>
      <c r="AE34" s="27"/>
      <c r="AF34" s="26">
        <f t="shared" si="14"/>
        <v>0</v>
      </c>
      <c r="AH34" s="24"/>
      <c r="AI34" s="24"/>
      <c r="AJ34" s="31"/>
      <c r="AK34" s="31"/>
      <c r="AL34" s="29" t="s">
        <v>541</v>
      </c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 t="s">
        <v>541</v>
      </c>
      <c r="AX34" s="29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1500</v>
      </c>
      <c r="I35" s="27">
        <f>SUM(I29:I34)</f>
        <v>1500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1500</v>
      </c>
      <c r="T35" s="27">
        <f>SUM(T29:T34)</f>
        <v>1500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1460</v>
      </c>
      <c r="AE35" s="27">
        <f>SUM(AE29:AE34)</f>
        <v>0</v>
      </c>
      <c r="AF35" s="26">
        <f>SUM(AF29:AF34)</f>
        <v>1460</v>
      </c>
      <c r="AH35" s="34"/>
      <c r="AI35" s="34"/>
      <c r="AJ35" s="34"/>
      <c r="AK35" s="34"/>
      <c r="AL35" s="35"/>
      <c r="AM35" s="35"/>
      <c r="AN35" s="36"/>
      <c r="AO35" s="26">
        <f>SUM(AO29:AO34)</f>
        <v>1460</v>
      </c>
      <c r="AP35" s="27">
        <f>SUM(AP29:AP34)</f>
        <v>0</v>
      </c>
      <c r="AQ35" s="26">
        <f>SUM(AQ29:AQ34)</f>
        <v>1460</v>
      </c>
      <c r="AS35" s="34"/>
      <c r="AT35" s="34"/>
      <c r="AU35" s="34"/>
      <c r="AV35" s="34"/>
      <c r="AW35" s="35"/>
      <c r="AX35" s="35"/>
      <c r="AY35" s="36"/>
      <c r="AZ35" s="26">
        <f>SUM(AZ29:AZ34)</f>
        <v>730</v>
      </c>
      <c r="BA35" s="27">
        <f>SUM(BA29:BA34)</f>
        <v>730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230925</v>
      </c>
      <c r="B40" s="24">
        <v>430</v>
      </c>
      <c r="C40" s="31">
        <v>0.8</v>
      </c>
      <c r="D40" s="31" t="s">
        <v>25</v>
      </c>
      <c r="E40" s="29" t="s">
        <v>45</v>
      </c>
      <c r="F40" s="29"/>
      <c r="G40" s="24">
        <v>430</v>
      </c>
      <c r="H40" s="26">
        <v>2000</v>
      </c>
      <c r="I40" s="27">
        <v>2000</v>
      </c>
      <c r="J40" s="26">
        <f>H40-I40</f>
        <v>0</v>
      </c>
      <c r="L40" s="24">
        <v>230925</v>
      </c>
      <c r="M40" s="24">
        <v>430</v>
      </c>
      <c r="N40" s="31">
        <v>0.8</v>
      </c>
      <c r="O40" s="31" t="s">
        <v>25</v>
      </c>
      <c r="P40" s="29" t="s">
        <v>45</v>
      </c>
      <c r="Q40" s="29"/>
      <c r="R40" s="24">
        <v>430</v>
      </c>
      <c r="S40" s="26">
        <v>2000</v>
      </c>
      <c r="T40" s="27">
        <v>2000</v>
      </c>
      <c r="U40" s="26">
        <f>S40-T40</f>
        <v>0</v>
      </c>
      <c r="W40" s="24">
        <v>230925</v>
      </c>
      <c r="X40" s="24">
        <v>430</v>
      </c>
      <c r="Y40" s="31">
        <v>0.8</v>
      </c>
      <c r="Z40" s="31" t="s">
        <v>25</v>
      </c>
      <c r="AA40" s="29" t="s">
        <v>45</v>
      </c>
      <c r="AB40" s="29"/>
      <c r="AC40" s="24">
        <v>430</v>
      </c>
      <c r="AD40" s="26">
        <v>800</v>
      </c>
      <c r="AE40" s="27">
        <v>800</v>
      </c>
      <c r="AF40" s="26">
        <f>AD40-AE40</f>
        <v>0</v>
      </c>
      <c r="AH40" s="24">
        <v>230925</v>
      </c>
      <c r="AI40" s="24">
        <v>430</v>
      </c>
      <c r="AJ40" s="31">
        <v>0.8</v>
      </c>
      <c r="AK40" s="31" t="s">
        <v>477</v>
      </c>
      <c r="AL40" s="29" t="s">
        <v>478</v>
      </c>
      <c r="AM40" s="29"/>
      <c r="AN40" s="24"/>
      <c r="AO40" s="26">
        <v>2000</v>
      </c>
      <c r="AP40" s="27">
        <v>2000</v>
      </c>
      <c r="AQ40" s="26">
        <f>AO40-AP40</f>
        <v>0</v>
      </c>
      <c r="AS40" s="24">
        <v>230925</v>
      </c>
      <c r="AT40" s="24">
        <v>430</v>
      </c>
      <c r="AU40" s="31">
        <v>0.8</v>
      </c>
      <c r="AV40" s="31" t="s">
        <v>477</v>
      </c>
      <c r="AW40" s="29" t="s">
        <v>478</v>
      </c>
      <c r="AX40" s="29"/>
      <c r="AY40" s="24"/>
      <c r="AZ40" s="26">
        <v>2100</v>
      </c>
      <c r="BA40" s="27">
        <v>2100</v>
      </c>
      <c r="BB40" s="26">
        <f>AZ40-BA40</f>
        <v>0</v>
      </c>
      <c r="BD40" s="24">
        <v>250080</v>
      </c>
      <c r="BE40" s="24">
        <v>304</v>
      </c>
      <c r="BF40" s="31">
        <v>0.7</v>
      </c>
      <c r="BG40" s="31" t="s">
        <v>25</v>
      </c>
      <c r="BH40" s="29" t="s">
        <v>485</v>
      </c>
      <c r="BI40" s="33"/>
      <c r="BJ40" s="24">
        <v>430</v>
      </c>
      <c r="BK40" s="26">
        <v>1200</v>
      </c>
      <c r="BL40" s="27">
        <v>1200</v>
      </c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>
        <v>230925</v>
      </c>
      <c r="X41" s="24">
        <v>430</v>
      </c>
      <c r="Y41" s="31">
        <v>0.8</v>
      </c>
      <c r="Z41" s="31" t="s">
        <v>477</v>
      </c>
      <c r="AA41" s="29" t="s">
        <v>478</v>
      </c>
      <c r="AB41" s="29"/>
      <c r="AC41" s="24"/>
      <c r="AD41" s="26">
        <v>1200</v>
      </c>
      <c r="AE41" s="27">
        <v>1200</v>
      </c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>
        <v>250080</v>
      </c>
      <c r="BE41" s="24">
        <v>304</v>
      </c>
      <c r="BF41" s="31">
        <v>0.7</v>
      </c>
      <c r="BG41" s="31" t="s">
        <v>25</v>
      </c>
      <c r="BH41" s="29" t="s">
        <v>486</v>
      </c>
      <c r="BI41" s="29"/>
      <c r="BJ41" s="24">
        <v>430</v>
      </c>
      <c r="BK41" s="26">
        <v>1000</v>
      </c>
      <c r="BL41" s="27">
        <v>1000</v>
      </c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2000</v>
      </c>
      <c r="I46" s="27">
        <f>SUM(I40:I45)</f>
        <v>2000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2000</v>
      </c>
      <c r="T46" s="27">
        <f>SUM(T40:T45)</f>
        <v>2000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2000</v>
      </c>
      <c r="AE46" s="27">
        <f>SUM(AE40:AE45)</f>
        <v>2000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2000</v>
      </c>
      <c r="AP46" s="27">
        <f>SUM(AP40:AP45)</f>
        <v>2000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2100</v>
      </c>
      <c r="BA46" s="27">
        <f>SUM(BA40:BA45)</f>
        <v>2100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2200</v>
      </c>
      <c r="BL46" s="27">
        <f>SUM(BL40:BL45)</f>
        <v>2200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>
        <v>230925</v>
      </c>
      <c r="B51" s="24">
        <v>430</v>
      </c>
      <c r="C51" s="31">
        <v>0.8</v>
      </c>
      <c r="D51" s="31" t="s">
        <v>25</v>
      </c>
      <c r="E51" s="29" t="s">
        <v>45</v>
      </c>
      <c r="F51" s="29"/>
      <c r="G51" s="24">
        <v>430</v>
      </c>
      <c r="H51" s="26">
        <v>2000</v>
      </c>
      <c r="I51" s="27">
        <v>2000</v>
      </c>
      <c r="J51" s="26">
        <f>H51-I51</f>
        <v>0</v>
      </c>
      <c r="L51" s="24">
        <v>230925</v>
      </c>
      <c r="M51" s="24">
        <v>430</v>
      </c>
      <c r="N51" s="31">
        <v>0.8</v>
      </c>
      <c r="O51" s="31" t="s">
        <v>25</v>
      </c>
      <c r="P51" s="29" t="s">
        <v>45</v>
      </c>
      <c r="Q51" s="29"/>
      <c r="R51" s="24">
        <v>430</v>
      </c>
      <c r="S51" s="26">
        <v>2000</v>
      </c>
      <c r="T51" s="27">
        <v>2000</v>
      </c>
      <c r="U51" s="26">
        <f>S51-T51</f>
        <v>0</v>
      </c>
      <c r="W51" s="24">
        <v>230925</v>
      </c>
      <c r="X51" s="24">
        <v>430</v>
      </c>
      <c r="Y51" s="31">
        <v>0.8</v>
      </c>
      <c r="Z51" s="31" t="s">
        <v>25</v>
      </c>
      <c r="AA51" s="29" t="s">
        <v>45</v>
      </c>
      <c r="AB51" s="29"/>
      <c r="AC51" s="24">
        <v>430</v>
      </c>
      <c r="AD51" s="26">
        <v>800</v>
      </c>
      <c r="AE51" s="27">
        <v>800</v>
      </c>
      <c r="AF51" s="26">
        <f>AD51-AE51</f>
        <v>0</v>
      </c>
      <c r="AH51" s="24">
        <v>230925</v>
      </c>
      <c r="AI51" s="24">
        <v>430</v>
      </c>
      <c r="AJ51" s="31">
        <v>0.8</v>
      </c>
      <c r="AK51" s="31" t="s">
        <v>477</v>
      </c>
      <c r="AL51" s="29" t="s">
        <v>478</v>
      </c>
      <c r="AM51" s="29"/>
      <c r="AN51" s="24"/>
      <c r="AO51" s="26">
        <v>2000</v>
      </c>
      <c r="AP51" s="27"/>
      <c r="AQ51" s="26">
        <f>AO51-AP51</f>
        <v>2000</v>
      </c>
      <c r="AS51" s="24">
        <v>230925</v>
      </c>
      <c r="AT51" s="24">
        <v>430</v>
      </c>
      <c r="AU51" s="31">
        <v>0.8</v>
      </c>
      <c r="AV51" s="31" t="s">
        <v>477</v>
      </c>
      <c r="AW51" s="29" t="s">
        <v>478</v>
      </c>
      <c r="AX51" s="29"/>
      <c r="AY51" s="24"/>
      <c r="AZ51" s="26">
        <v>2100</v>
      </c>
      <c r="BA51" s="27"/>
      <c r="BB51" s="26">
        <f>AZ51-BA51</f>
        <v>2100</v>
      </c>
      <c r="BD51" s="24">
        <v>250080</v>
      </c>
      <c r="BE51" s="24">
        <v>304</v>
      </c>
      <c r="BF51" s="31">
        <v>0.7</v>
      </c>
      <c r="BG51" s="31" t="s">
        <v>25</v>
      </c>
      <c r="BH51" s="29" t="s">
        <v>485</v>
      </c>
      <c r="BI51" s="33"/>
      <c r="BJ51" s="24">
        <v>430</v>
      </c>
      <c r="BK51" s="26">
        <v>1200</v>
      </c>
      <c r="BL51" s="27"/>
      <c r="BM51" s="26">
        <f>BK51-BL51</f>
        <v>1200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>
        <v>230925</v>
      </c>
      <c r="X52" s="24">
        <v>430</v>
      </c>
      <c r="Y52" s="31">
        <v>0.8</v>
      </c>
      <c r="Z52" s="31" t="s">
        <v>477</v>
      </c>
      <c r="AA52" s="29" t="s">
        <v>478</v>
      </c>
      <c r="AB52" s="29"/>
      <c r="AC52" s="24"/>
      <c r="AD52" s="26">
        <v>1200</v>
      </c>
      <c r="AE52" s="27"/>
      <c r="AF52" s="26">
        <f t="shared" ref="AF52:AF56" si="26">AD52-AE52</f>
        <v>1200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>
        <v>250080</v>
      </c>
      <c r="BE52" s="24">
        <v>304</v>
      </c>
      <c r="BF52" s="31">
        <v>0.7</v>
      </c>
      <c r="BG52" s="31" t="s">
        <v>25</v>
      </c>
      <c r="BH52" s="29" t="s">
        <v>486</v>
      </c>
      <c r="BI52" s="29"/>
      <c r="BJ52" s="24">
        <v>430</v>
      </c>
      <c r="BK52" s="26">
        <v>1000</v>
      </c>
      <c r="BL52" s="27"/>
      <c r="BM52" s="26">
        <f t="shared" ref="BM52:BM56" si="29">BK52-BL52</f>
        <v>1000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2000</v>
      </c>
      <c r="I57" s="27">
        <f>SUM(I51:I56)</f>
        <v>2000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2000</v>
      </c>
      <c r="T57" s="27">
        <f>SUM(T51:T56)</f>
        <v>2000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2000</v>
      </c>
      <c r="AE57" s="27">
        <f>SUM(AE51:AE56)</f>
        <v>800</v>
      </c>
      <c r="AF57" s="26">
        <f>SUM(AF51:AF56)</f>
        <v>1200</v>
      </c>
      <c r="AH57" s="34"/>
      <c r="AI57" s="34"/>
      <c r="AJ57" s="34"/>
      <c r="AK57" s="34"/>
      <c r="AL57" s="35"/>
      <c r="AM57" s="35"/>
      <c r="AN57" s="36"/>
      <c r="AO57" s="26">
        <f>SUM(AO51:AO56)</f>
        <v>2000</v>
      </c>
      <c r="AP57" s="27">
        <f>SUM(AP51:AP56)</f>
        <v>0</v>
      </c>
      <c r="AQ57" s="26">
        <f>SUM(AQ51:AQ56)</f>
        <v>2000</v>
      </c>
      <c r="AS57" s="34"/>
      <c r="AT57" s="34"/>
      <c r="AU57" s="34"/>
      <c r="AV57" s="34"/>
      <c r="AW57" s="35"/>
      <c r="AX57" s="35"/>
      <c r="AY57" s="36"/>
      <c r="AZ57" s="26">
        <f>SUM(AZ51:AZ56)</f>
        <v>2100</v>
      </c>
      <c r="BA57" s="27">
        <f>SUM(BA51:BA56)</f>
        <v>0</v>
      </c>
      <c r="BB57" s="26">
        <f>SUM(BB51:BB56)</f>
        <v>2100</v>
      </c>
      <c r="BD57" s="34"/>
      <c r="BE57" s="34"/>
      <c r="BF57" s="34"/>
      <c r="BG57" s="34"/>
      <c r="BH57" s="35"/>
      <c r="BI57" s="35"/>
      <c r="BJ57" s="36"/>
      <c r="BK57" s="26">
        <f>SUM(BK51:BK56)</f>
        <v>2200</v>
      </c>
      <c r="BL57" s="27">
        <f>SUM(BL51:BL56)</f>
        <v>0</v>
      </c>
      <c r="BM57" s="26">
        <f>SUM(BM51:BM56)</f>
        <v>2200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250061</v>
      </c>
      <c r="B62" s="24">
        <v>304</v>
      </c>
      <c r="C62" s="31">
        <v>0.7</v>
      </c>
      <c r="D62" s="31" t="s">
        <v>25</v>
      </c>
      <c r="E62" s="29" t="s">
        <v>403</v>
      </c>
      <c r="F62" s="29"/>
      <c r="G62" s="24">
        <v>304</v>
      </c>
      <c r="H62" s="26">
        <v>540</v>
      </c>
      <c r="I62" s="27"/>
      <c r="J62" s="26">
        <f>H62-I62</f>
        <v>540</v>
      </c>
      <c r="L62" s="24">
        <v>250060</v>
      </c>
      <c r="M62" s="24">
        <v>304</v>
      </c>
      <c r="N62" s="31">
        <v>0.8</v>
      </c>
      <c r="O62" s="31"/>
      <c r="P62" s="29" t="s">
        <v>567</v>
      </c>
      <c r="Q62" s="33"/>
      <c r="R62" s="44">
        <v>304</v>
      </c>
      <c r="S62" s="26">
        <v>680</v>
      </c>
      <c r="T62" s="27"/>
      <c r="U62" s="26">
        <f>S62-T62</f>
        <v>680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>
        <v>250057</v>
      </c>
      <c r="B63" s="24">
        <v>304</v>
      </c>
      <c r="C63" s="31">
        <v>0.7</v>
      </c>
      <c r="D63" s="31" t="s">
        <v>25</v>
      </c>
      <c r="E63" s="29" t="s">
        <v>404</v>
      </c>
      <c r="F63" s="29"/>
      <c r="G63" s="24">
        <v>304</v>
      </c>
      <c r="H63" s="26">
        <v>410</v>
      </c>
      <c r="I63" s="27"/>
      <c r="J63" s="26">
        <f t="shared" ref="J63:J67" si="30">H63-I63</f>
        <v>410</v>
      </c>
      <c r="L63" s="24">
        <v>250059</v>
      </c>
      <c r="M63" s="24">
        <v>304</v>
      </c>
      <c r="N63" s="31">
        <v>0.7</v>
      </c>
      <c r="O63" s="31"/>
      <c r="P63" s="29" t="s">
        <v>564</v>
      </c>
      <c r="Q63" s="29"/>
      <c r="R63" s="44">
        <v>304</v>
      </c>
      <c r="S63" s="26">
        <v>680</v>
      </c>
      <c r="T63" s="27"/>
      <c r="U63" s="26">
        <f t="shared" ref="U63:U67" si="31">S63-T63</f>
        <v>680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 t="s">
        <v>376</v>
      </c>
      <c r="F64" s="29"/>
      <c r="G64" s="24"/>
      <c r="H64" s="26"/>
      <c r="I64" s="27"/>
      <c r="J64" s="26">
        <f t="shared" si="30"/>
        <v>0</v>
      </c>
      <c r="L64" s="24">
        <v>250059</v>
      </c>
      <c r="M64" s="24">
        <v>304</v>
      </c>
      <c r="N64" s="31">
        <v>0.9</v>
      </c>
      <c r="O64" s="31"/>
      <c r="P64" s="29" t="s">
        <v>572</v>
      </c>
      <c r="Q64" s="29"/>
      <c r="R64" s="24">
        <v>304</v>
      </c>
      <c r="S64" s="26">
        <v>680</v>
      </c>
      <c r="T64" s="27"/>
      <c r="U64" s="26">
        <f t="shared" si="31"/>
        <v>680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>
        <v>250058</v>
      </c>
      <c r="M65" s="24">
        <v>304</v>
      </c>
      <c r="N65" s="31">
        <v>0.7</v>
      </c>
      <c r="O65" s="31"/>
      <c r="P65" s="29" t="s">
        <v>583</v>
      </c>
      <c r="Q65" s="29"/>
      <c r="R65" s="24">
        <v>304</v>
      </c>
      <c r="S65" s="26">
        <v>800</v>
      </c>
      <c r="T65" s="27"/>
      <c r="U65" s="26">
        <f t="shared" si="31"/>
        <v>800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950</v>
      </c>
      <c r="I68" s="27">
        <f>SUM(I62:I67)</f>
        <v>0</v>
      </c>
      <c r="J68" s="26">
        <f>SUM(J62:J67)</f>
        <v>950</v>
      </c>
      <c r="L68" s="34"/>
      <c r="M68" s="34"/>
      <c r="N68" s="34"/>
      <c r="O68" s="34"/>
      <c r="P68" s="35"/>
      <c r="Q68" s="35"/>
      <c r="R68" s="36"/>
      <c r="S68" s="26">
        <f>SUM(S62:S67)</f>
        <v>2840</v>
      </c>
      <c r="T68" s="27">
        <f>SUM(T62:T67)</f>
        <v>0</v>
      </c>
      <c r="U68" s="26">
        <f>SUM(U62:U67)</f>
        <v>2840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 t="s">
        <v>525</v>
      </c>
      <c r="B73" s="24">
        <v>430</v>
      </c>
      <c r="C73" s="31">
        <v>0.5</v>
      </c>
      <c r="D73" s="31" t="s">
        <v>27</v>
      </c>
      <c r="E73" s="29" t="s">
        <v>526</v>
      </c>
      <c r="F73" s="29"/>
      <c r="G73" s="24"/>
      <c r="H73" s="26">
        <v>1200</v>
      </c>
      <c r="I73" s="27"/>
      <c r="J73" s="26">
        <f>H73-I73</f>
        <v>1200</v>
      </c>
      <c r="L73" s="24" t="s">
        <v>525</v>
      </c>
      <c r="M73" s="24">
        <v>430</v>
      </c>
      <c r="N73" s="31">
        <v>0.5</v>
      </c>
      <c r="O73" s="31" t="s">
        <v>27</v>
      </c>
      <c r="P73" s="29" t="s">
        <v>528</v>
      </c>
      <c r="Q73" s="29"/>
      <c r="R73" s="24"/>
      <c r="S73" s="26">
        <v>1200</v>
      </c>
      <c r="T73" s="27"/>
      <c r="U73" s="26">
        <f>S73-T73</f>
        <v>1200</v>
      </c>
      <c r="W73" s="24" t="s">
        <v>525</v>
      </c>
      <c r="X73" s="24">
        <v>430</v>
      </c>
      <c r="Y73" s="31">
        <v>0.5</v>
      </c>
      <c r="Z73" s="31" t="s">
        <v>27</v>
      </c>
      <c r="AA73" s="29" t="s">
        <v>530</v>
      </c>
      <c r="AB73" s="33"/>
      <c r="AC73" s="24"/>
      <c r="AD73" s="26">
        <v>1200</v>
      </c>
      <c r="AE73" s="27"/>
      <c r="AF73" s="26">
        <f>AD73-AE73</f>
        <v>1200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 t="s">
        <v>525</v>
      </c>
      <c r="B74" s="24">
        <v>430</v>
      </c>
      <c r="C74" s="31">
        <v>0.5</v>
      </c>
      <c r="D74" s="31" t="s">
        <v>27</v>
      </c>
      <c r="E74" s="29" t="s">
        <v>527</v>
      </c>
      <c r="F74" s="29"/>
      <c r="G74" s="24"/>
      <c r="H74" s="26">
        <v>1200</v>
      </c>
      <c r="I74" s="27"/>
      <c r="J74" s="26">
        <f t="shared" ref="J74:J78" si="36">H74-I74</f>
        <v>1200</v>
      </c>
      <c r="L74" s="24" t="s">
        <v>525</v>
      </c>
      <c r="M74" s="24">
        <v>430</v>
      </c>
      <c r="N74" s="31">
        <v>0.5</v>
      </c>
      <c r="O74" s="31" t="s">
        <v>27</v>
      </c>
      <c r="P74" s="29" t="s">
        <v>529</v>
      </c>
      <c r="Q74" s="32"/>
      <c r="R74" s="24"/>
      <c r="S74" s="26">
        <v>1200</v>
      </c>
      <c r="T74" s="27"/>
      <c r="U74" s="26">
        <f t="shared" ref="U74:U78" si="37">S74-T74</f>
        <v>1200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33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2400</v>
      </c>
      <c r="I79" s="27">
        <f>SUM(I73:I78)</f>
        <v>0</v>
      </c>
      <c r="J79" s="26">
        <f>SUM(J73:J78)</f>
        <v>2400</v>
      </c>
      <c r="L79" s="34"/>
      <c r="M79" s="34"/>
      <c r="N79" s="34"/>
      <c r="O79" s="34"/>
      <c r="P79" s="35"/>
      <c r="Q79" s="35"/>
      <c r="R79" s="36"/>
      <c r="S79" s="26">
        <f>SUM(S73:S78)</f>
        <v>2400</v>
      </c>
      <c r="T79" s="27">
        <f>SUM(T73:T78)</f>
        <v>0</v>
      </c>
      <c r="U79" s="26">
        <f>SUM(U73:U78)</f>
        <v>2400</v>
      </c>
      <c r="W79" s="34"/>
      <c r="X79" s="34"/>
      <c r="Y79" s="34"/>
      <c r="Z79" s="34"/>
      <c r="AA79" s="35"/>
      <c r="AB79" s="35"/>
      <c r="AC79" s="36"/>
      <c r="AD79" s="26">
        <f>SUM(AD73:AD78)</f>
        <v>1200</v>
      </c>
      <c r="AE79" s="27">
        <f>SUM(AE73:AE78)</f>
        <v>0</v>
      </c>
      <c r="AF79" s="26">
        <f>SUM(AF73:AF78)</f>
        <v>1200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A5:J5"/>
    <mergeCell ref="L5:U5"/>
    <mergeCell ref="W5:AF5"/>
    <mergeCell ref="AH5:AQ5"/>
    <mergeCell ref="AS5:BB5"/>
    <mergeCell ref="BD5:BM5"/>
    <mergeCell ref="AC2:AD3"/>
    <mergeCell ref="AE2:AF3"/>
    <mergeCell ref="BJ2:BK3"/>
    <mergeCell ref="BL2:BM3"/>
    <mergeCell ref="BD4:BM4"/>
    <mergeCell ref="A4:J4"/>
    <mergeCell ref="L4:U4"/>
    <mergeCell ref="W4:AF4"/>
    <mergeCell ref="AH4:AQ4"/>
    <mergeCell ref="AS4:BB4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abSelected="1" topLeftCell="AV15" zoomScale="85" zoomScaleNormal="85" workbookViewId="0">
      <selection activeCell="BG21" sqref="BG21"/>
    </sheetView>
  </sheetViews>
  <sheetFormatPr defaultRowHeight="14.4" x14ac:dyDescent="0.3"/>
  <cols>
    <col min="1" max="1" width="8.5546875" style="60" customWidth="1"/>
    <col min="2" max="2" width="7.5546875" style="60" customWidth="1"/>
    <col min="3" max="3" width="10.5546875" style="60" customWidth="1"/>
    <col min="4" max="4" width="9.5546875" style="60" customWidth="1"/>
    <col min="5" max="5" width="60.5546875" style="60" customWidth="1"/>
    <col min="6" max="6" width="0.77734375" style="60" customWidth="1"/>
    <col min="7" max="10" width="8.21875" style="60" customWidth="1"/>
    <col min="11" max="11" width="1.77734375" customWidth="1"/>
    <col min="12" max="12" width="8.5546875" style="60" customWidth="1"/>
    <col min="13" max="13" width="7.5546875" style="60" customWidth="1"/>
    <col min="14" max="14" width="10.5546875" style="60" customWidth="1"/>
    <col min="15" max="15" width="9.5546875" style="60" customWidth="1"/>
    <col min="16" max="16" width="60.5546875" style="60" customWidth="1"/>
    <col min="17" max="17" width="0.77734375" style="60" customWidth="1"/>
    <col min="18" max="21" width="8.21875" style="60" customWidth="1"/>
    <col min="22" max="22" width="1.77734375" customWidth="1"/>
    <col min="23" max="23" width="8.5546875" style="60" customWidth="1"/>
    <col min="24" max="24" width="7.5546875" style="60" customWidth="1"/>
    <col min="25" max="25" width="10.5546875" style="60" customWidth="1"/>
    <col min="26" max="26" width="9.5546875" style="60" customWidth="1"/>
    <col min="27" max="27" width="60.5546875" style="60" customWidth="1"/>
    <col min="28" max="28" width="0.77734375" style="60" customWidth="1"/>
    <col min="29" max="32" width="8.21875" style="60" customWidth="1"/>
    <col min="33" max="33" width="1.77734375" customWidth="1"/>
    <col min="34" max="34" width="8.5546875" style="60" customWidth="1"/>
    <col min="35" max="35" width="7.5546875" style="60" customWidth="1"/>
    <col min="36" max="36" width="9.21875" style="60" bestFit="1" customWidth="1"/>
    <col min="37" max="37" width="9.5546875" style="60" customWidth="1"/>
    <col min="38" max="38" width="60.5546875" style="60" customWidth="1"/>
    <col min="39" max="39" width="0.77734375" style="60" customWidth="1"/>
    <col min="40" max="43" width="8.21875" style="60" customWidth="1"/>
    <col min="44" max="44" width="1.77734375" customWidth="1"/>
    <col min="45" max="45" width="8.5546875" style="60" customWidth="1"/>
    <col min="46" max="46" width="7.5546875" style="60" customWidth="1"/>
    <col min="47" max="47" width="10.5546875" style="60" customWidth="1"/>
    <col min="48" max="48" width="9.5546875" style="60" customWidth="1"/>
    <col min="49" max="49" width="60.5546875" style="60" customWidth="1"/>
    <col min="50" max="50" width="0.77734375" style="60" customWidth="1"/>
    <col min="51" max="54" width="8.21875" style="60" customWidth="1"/>
    <col min="55" max="55" width="1.77734375" customWidth="1"/>
    <col min="56" max="56" width="8.5546875" style="60" customWidth="1"/>
    <col min="57" max="57" width="7.5546875" style="60" customWidth="1"/>
    <col min="58" max="58" width="10.5546875" style="60" customWidth="1"/>
    <col min="59" max="59" width="9.5546875" style="60" customWidth="1"/>
    <col min="60" max="60" width="60.5546875" style="60" customWidth="1"/>
    <col min="61" max="61" width="0.77734375" style="60" customWidth="1"/>
    <col min="62" max="65" width="8.21875" style="60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61"/>
      <c r="F3" s="23"/>
      <c r="G3" s="61"/>
      <c r="P3" s="61"/>
      <c r="Q3" s="23"/>
      <c r="R3" s="61"/>
      <c r="AA3" s="61"/>
      <c r="AB3" s="23"/>
      <c r="AC3" s="85"/>
      <c r="AD3" s="86"/>
      <c r="AE3" s="89"/>
      <c r="AF3" s="90"/>
      <c r="AL3" s="61"/>
      <c r="AM3" s="23"/>
      <c r="AN3" s="61"/>
      <c r="AW3" s="61"/>
      <c r="AX3" s="23"/>
      <c r="AY3" s="61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32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33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33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33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29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29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3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29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29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29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29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31"/>
      <c r="D12" s="31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31"/>
      <c r="O12" s="31"/>
      <c r="P12" s="29"/>
      <c r="Q12" s="29"/>
      <c r="R12" s="24"/>
      <c r="S12" s="26"/>
      <c r="T12" s="27"/>
      <c r="U12" s="26">
        <f t="shared" si="1"/>
        <v>0</v>
      </c>
      <c r="W12" s="24"/>
      <c r="X12" s="24"/>
      <c r="Y12" s="31"/>
      <c r="Z12" s="31"/>
      <c r="AA12" s="29"/>
      <c r="AB12" s="29"/>
      <c r="AC12" s="24"/>
      <c r="AD12" s="26"/>
      <c r="AE12" s="27"/>
      <c r="AF12" s="26">
        <f t="shared" si="2"/>
        <v>0</v>
      </c>
      <c r="AH12" s="24"/>
      <c r="AI12" s="24"/>
      <c r="AJ12" s="31"/>
      <c r="AK12" s="31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31"/>
      <c r="AV12" s="31"/>
      <c r="AW12" s="29"/>
      <c r="AX12" s="29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250042</v>
      </c>
      <c r="B18" s="24">
        <v>304</v>
      </c>
      <c r="C18" s="31">
        <v>0.9</v>
      </c>
      <c r="D18" s="31" t="s">
        <v>41</v>
      </c>
      <c r="E18" s="29" t="s">
        <v>518</v>
      </c>
      <c r="F18" s="29"/>
      <c r="G18" s="24">
        <v>304</v>
      </c>
      <c r="H18" s="26">
        <v>750</v>
      </c>
      <c r="I18" s="27"/>
      <c r="J18" s="26">
        <f>H18-I18</f>
        <v>750</v>
      </c>
      <c r="L18" s="24">
        <v>250057</v>
      </c>
      <c r="M18" s="24">
        <v>304</v>
      </c>
      <c r="N18" s="31">
        <v>0.7</v>
      </c>
      <c r="O18" s="31" t="s">
        <v>25</v>
      </c>
      <c r="P18" s="29" t="s">
        <v>512</v>
      </c>
      <c r="Q18" s="32"/>
      <c r="R18" s="24">
        <v>304</v>
      </c>
      <c r="S18" s="26">
        <v>410</v>
      </c>
      <c r="T18" s="27">
        <v>100</v>
      </c>
      <c r="U18" s="26">
        <f>S18-T18</f>
        <v>310</v>
      </c>
      <c r="W18" s="24">
        <v>280080</v>
      </c>
      <c r="X18" s="24">
        <v>304</v>
      </c>
      <c r="Y18" s="31">
        <v>0.6</v>
      </c>
      <c r="Z18" s="31" t="s">
        <v>70</v>
      </c>
      <c r="AA18" s="29" t="s">
        <v>594</v>
      </c>
      <c r="AB18" s="33"/>
      <c r="AC18" s="24">
        <v>430</v>
      </c>
      <c r="AD18" s="26">
        <v>250</v>
      </c>
      <c r="AE18" s="27"/>
      <c r="AF18" s="26">
        <f>AD18-AE18</f>
        <v>250</v>
      </c>
      <c r="AH18" s="70">
        <v>250055</v>
      </c>
      <c r="AI18" s="70">
        <v>304</v>
      </c>
      <c r="AJ18" s="71">
        <v>0.7</v>
      </c>
      <c r="AK18" s="71" t="s">
        <v>25</v>
      </c>
      <c r="AL18" s="72" t="s">
        <v>370</v>
      </c>
      <c r="AM18" s="72"/>
      <c r="AN18" s="70">
        <v>304</v>
      </c>
      <c r="AO18" s="73">
        <v>830</v>
      </c>
      <c r="AP18" s="27">
        <v>830</v>
      </c>
      <c r="AQ18" s="26">
        <f>AO18-AP18</f>
        <v>0</v>
      </c>
      <c r="AS18" s="70">
        <v>250080</v>
      </c>
      <c r="AT18" s="70">
        <v>304</v>
      </c>
      <c r="AU18" s="71">
        <v>0.6</v>
      </c>
      <c r="AV18" s="71" t="s">
        <v>27</v>
      </c>
      <c r="AW18" s="72" t="s">
        <v>597</v>
      </c>
      <c r="AX18" s="72"/>
      <c r="AY18" s="70"/>
      <c r="AZ18" s="73">
        <v>500</v>
      </c>
      <c r="BA18" s="27">
        <v>500</v>
      </c>
      <c r="BB18" s="26">
        <f>AZ18-BA18</f>
        <v>0</v>
      </c>
      <c r="BD18" s="24">
        <v>250055</v>
      </c>
      <c r="BE18" s="24">
        <v>304</v>
      </c>
      <c r="BF18" s="31">
        <v>0.7</v>
      </c>
      <c r="BG18" s="31" t="s">
        <v>25</v>
      </c>
      <c r="BH18" s="29" t="s">
        <v>369</v>
      </c>
      <c r="BI18" s="29"/>
      <c r="BJ18" s="24">
        <v>304</v>
      </c>
      <c r="BK18" s="26">
        <v>830</v>
      </c>
      <c r="BL18" s="27"/>
      <c r="BM18" s="26">
        <f>BK18-BL18</f>
        <v>830</v>
      </c>
    </row>
    <row r="19" spans="1:65" s="30" customFormat="1" ht="20.100000000000001" customHeight="1" x14ac:dyDescent="0.3">
      <c r="A19" s="24">
        <v>250052</v>
      </c>
      <c r="B19" s="24">
        <v>304</v>
      </c>
      <c r="C19" s="31">
        <v>0.7</v>
      </c>
      <c r="D19" s="31" t="s">
        <v>25</v>
      </c>
      <c r="E19" s="29" t="s">
        <v>511</v>
      </c>
      <c r="F19" s="29"/>
      <c r="G19" s="24">
        <v>304</v>
      </c>
      <c r="H19" s="26">
        <v>800</v>
      </c>
      <c r="I19" s="27"/>
      <c r="J19" s="26">
        <f t="shared" ref="J19:J23" si="6">H19-I19</f>
        <v>800</v>
      </c>
      <c r="L19" s="24">
        <v>250061</v>
      </c>
      <c r="M19" s="24">
        <v>304</v>
      </c>
      <c r="N19" s="31">
        <v>0.7</v>
      </c>
      <c r="O19" s="31" t="s">
        <v>25</v>
      </c>
      <c r="P19" s="29" t="s">
        <v>380</v>
      </c>
      <c r="Q19" s="32"/>
      <c r="R19" s="24">
        <v>304</v>
      </c>
      <c r="S19" s="26">
        <v>540</v>
      </c>
      <c r="T19" s="27"/>
      <c r="U19" s="26">
        <f t="shared" ref="U19:U23" si="7">S19-T19</f>
        <v>540</v>
      </c>
      <c r="W19" s="24">
        <v>250057</v>
      </c>
      <c r="X19" s="24">
        <v>304</v>
      </c>
      <c r="Y19" s="31">
        <v>0.7</v>
      </c>
      <c r="Z19" s="31" t="s">
        <v>25</v>
      </c>
      <c r="AA19" s="29" t="s">
        <v>393</v>
      </c>
      <c r="AB19" s="29"/>
      <c r="AC19" s="24">
        <v>304</v>
      </c>
      <c r="AD19" s="26">
        <v>410</v>
      </c>
      <c r="AE19" s="27"/>
      <c r="AF19" s="26">
        <f t="shared" ref="AF19:AF23" si="8">AD19-AE19</f>
        <v>410</v>
      </c>
      <c r="AH19" s="70">
        <v>250080</v>
      </c>
      <c r="AI19" s="70">
        <v>304</v>
      </c>
      <c r="AJ19" s="71">
        <v>0.6</v>
      </c>
      <c r="AK19" s="71" t="s">
        <v>70</v>
      </c>
      <c r="AL19" s="72" t="s">
        <v>595</v>
      </c>
      <c r="AM19" s="72"/>
      <c r="AN19" s="70">
        <v>430</v>
      </c>
      <c r="AO19" s="73">
        <v>500</v>
      </c>
      <c r="AP19" s="27">
        <v>500</v>
      </c>
      <c r="AQ19" s="26">
        <f t="shared" ref="AQ19:AQ23" si="9">AO19-AP19</f>
        <v>0</v>
      </c>
      <c r="AS19" s="70">
        <v>250061</v>
      </c>
      <c r="AT19" s="70">
        <v>304</v>
      </c>
      <c r="AU19" s="71">
        <v>0.6</v>
      </c>
      <c r="AV19" s="71" t="s">
        <v>27</v>
      </c>
      <c r="AW19" s="72" t="s">
        <v>596</v>
      </c>
      <c r="AX19" s="74"/>
      <c r="AY19" s="70"/>
      <c r="AZ19" s="73">
        <v>540</v>
      </c>
      <c r="BA19" s="27">
        <v>540</v>
      </c>
      <c r="BB19" s="26">
        <f t="shared" ref="BB19:BB23" si="10">AZ19-BA19</f>
        <v>0</v>
      </c>
      <c r="BD19" s="24">
        <v>250057</v>
      </c>
      <c r="BE19" s="24">
        <v>304</v>
      </c>
      <c r="BF19" s="31">
        <v>0.7</v>
      </c>
      <c r="BG19" s="31" t="s">
        <v>25</v>
      </c>
      <c r="BH19" s="29" t="s">
        <v>395</v>
      </c>
      <c r="BI19" s="33"/>
      <c r="BJ19" s="24">
        <v>304</v>
      </c>
      <c r="BK19" s="26">
        <v>410</v>
      </c>
      <c r="BL19" s="27"/>
      <c r="BM19" s="26">
        <f t="shared" ref="BM19:BM23" si="11">BK19-BL19</f>
        <v>410</v>
      </c>
    </row>
    <row r="20" spans="1:65" s="30" customFormat="1" ht="20.100000000000001" customHeight="1" x14ac:dyDescent="0.3">
      <c r="A20" s="24"/>
      <c r="B20" s="24"/>
      <c r="C20" s="31"/>
      <c r="D20" s="31"/>
      <c r="E20" s="29"/>
      <c r="F20" s="29"/>
      <c r="G20" s="24"/>
      <c r="H20" s="26"/>
      <c r="I20" s="27"/>
      <c r="J20" s="26">
        <f t="shared" si="6"/>
        <v>0</v>
      </c>
      <c r="L20" s="24">
        <v>250055</v>
      </c>
      <c r="M20" s="24">
        <v>304</v>
      </c>
      <c r="N20" s="31">
        <v>0.7</v>
      </c>
      <c r="O20" s="31" t="s">
        <v>25</v>
      </c>
      <c r="P20" s="29" t="s">
        <v>513</v>
      </c>
      <c r="Q20" s="29"/>
      <c r="R20" s="24">
        <v>304</v>
      </c>
      <c r="S20" s="26">
        <v>830</v>
      </c>
      <c r="T20" s="27"/>
      <c r="U20" s="26">
        <f t="shared" si="7"/>
        <v>830</v>
      </c>
      <c r="W20" s="24">
        <v>250057</v>
      </c>
      <c r="X20" s="24">
        <v>304</v>
      </c>
      <c r="Y20" s="31">
        <v>0.7</v>
      </c>
      <c r="Z20" s="31" t="s">
        <v>25</v>
      </c>
      <c r="AA20" s="29" t="s">
        <v>392</v>
      </c>
      <c r="AB20" s="33"/>
      <c r="AC20" s="24">
        <v>304</v>
      </c>
      <c r="AD20" s="26">
        <v>410</v>
      </c>
      <c r="AE20" s="27">
        <v>410</v>
      </c>
      <c r="AF20" s="26">
        <f t="shared" si="8"/>
        <v>0</v>
      </c>
      <c r="AH20" s="77">
        <v>250080</v>
      </c>
      <c r="AI20" s="77">
        <v>304</v>
      </c>
      <c r="AJ20" s="78">
        <v>0.6</v>
      </c>
      <c r="AK20" s="78" t="s">
        <v>25</v>
      </c>
      <c r="AL20" s="79" t="s">
        <v>488</v>
      </c>
      <c r="AM20" s="79"/>
      <c r="AN20" s="77">
        <v>430</v>
      </c>
      <c r="AO20" s="80">
        <v>300</v>
      </c>
      <c r="AP20" s="81">
        <v>120</v>
      </c>
      <c r="AQ20" s="80">
        <f t="shared" si="9"/>
        <v>180</v>
      </c>
      <c r="AS20" s="70">
        <v>250057</v>
      </c>
      <c r="AT20" s="70">
        <v>304</v>
      </c>
      <c r="AU20" s="71">
        <v>0.6</v>
      </c>
      <c r="AV20" s="71" t="s">
        <v>27</v>
      </c>
      <c r="AW20" s="72" t="s">
        <v>596</v>
      </c>
      <c r="AX20" s="74"/>
      <c r="AY20" s="70"/>
      <c r="AZ20" s="73">
        <v>410</v>
      </c>
      <c r="BA20" s="27">
        <v>410</v>
      </c>
      <c r="BB20" s="26">
        <f t="shared" si="10"/>
        <v>0</v>
      </c>
      <c r="BD20" s="24">
        <v>250049</v>
      </c>
      <c r="BE20" s="24">
        <v>304</v>
      </c>
      <c r="BF20" s="31">
        <v>0.6</v>
      </c>
      <c r="BG20" s="31" t="s">
        <v>41</v>
      </c>
      <c r="BH20" s="29" t="s">
        <v>591</v>
      </c>
      <c r="BI20" s="33"/>
      <c r="BJ20" s="24" t="s">
        <v>29</v>
      </c>
      <c r="BK20" s="26">
        <v>450</v>
      </c>
      <c r="BL20" s="27"/>
      <c r="BM20" s="26">
        <f t="shared" si="11"/>
        <v>450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27"/>
      <c r="J21" s="26">
        <f t="shared" si="6"/>
        <v>0</v>
      </c>
      <c r="L21" s="24">
        <v>280080</v>
      </c>
      <c r="M21" s="24">
        <v>304</v>
      </c>
      <c r="N21" s="31">
        <v>0.6</v>
      </c>
      <c r="O21" s="31" t="s">
        <v>27</v>
      </c>
      <c r="P21" s="29" t="s">
        <v>593</v>
      </c>
      <c r="Q21" s="33"/>
      <c r="R21" s="24"/>
      <c r="S21" s="26">
        <v>500</v>
      </c>
      <c r="T21" s="27"/>
      <c r="U21" s="26">
        <f t="shared" si="7"/>
        <v>500</v>
      </c>
      <c r="W21" s="24">
        <v>250061</v>
      </c>
      <c r="X21" s="24">
        <v>304</v>
      </c>
      <c r="Y21" s="31">
        <v>0.7</v>
      </c>
      <c r="Z21" s="31" t="s">
        <v>25</v>
      </c>
      <c r="AA21" s="29" t="s">
        <v>387</v>
      </c>
      <c r="AB21" s="33"/>
      <c r="AC21" s="24">
        <v>304</v>
      </c>
      <c r="AD21" s="26">
        <v>540</v>
      </c>
      <c r="AE21" s="27">
        <v>540</v>
      </c>
      <c r="AF21" s="26">
        <f t="shared" si="8"/>
        <v>0</v>
      </c>
      <c r="AH21" s="70">
        <v>250061</v>
      </c>
      <c r="AI21" s="70">
        <v>304</v>
      </c>
      <c r="AJ21" s="71">
        <v>0.7</v>
      </c>
      <c r="AK21" s="71" t="s">
        <v>25</v>
      </c>
      <c r="AL21" s="72" t="s">
        <v>379</v>
      </c>
      <c r="AM21" s="72"/>
      <c r="AN21" s="70">
        <v>304</v>
      </c>
      <c r="AO21" s="73">
        <v>540</v>
      </c>
      <c r="AP21" s="27">
        <v>540</v>
      </c>
      <c r="AQ21" s="26">
        <f t="shared" si="9"/>
        <v>0</v>
      </c>
      <c r="AS21" s="70">
        <v>250057</v>
      </c>
      <c r="AT21" s="70">
        <v>304</v>
      </c>
      <c r="AU21" s="71">
        <v>0.7</v>
      </c>
      <c r="AV21" s="71" t="s">
        <v>25</v>
      </c>
      <c r="AW21" s="72" t="s">
        <v>391</v>
      </c>
      <c r="AX21" s="74"/>
      <c r="AY21" s="70">
        <v>304</v>
      </c>
      <c r="AZ21" s="73">
        <v>410</v>
      </c>
      <c r="BA21" s="27"/>
      <c r="BB21" s="26">
        <f t="shared" si="10"/>
        <v>410</v>
      </c>
      <c r="BD21" s="24">
        <v>250055</v>
      </c>
      <c r="BE21" s="24">
        <v>304</v>
      </c>
      <c r="BF21" s="31">
        <v>0.7</v>
      </c>
      <c r="BG21" s="31" t="s">
        <v>25</v>
      </c>
      <c r="BH21" s="29" t="s">
        <v>368</v>
      </c>
      <c r="BI21" s="29"/>
      <c r="BJ21" s="24">
        <v>304</v>
      </c>
      <c r="BK21" s="26">
        <v>830</v>
      </c>
      <c r="BL21" s="27"/>
      <c r="BM21" s="26">
        <f t="shared" si="11"/>
        <v>830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24">
        <v>280080</v>
      </c>
      <c r="M22" s="24">
        <v>304</v>
      </c>
      <c r="N22" s="31">
        <v>0.6</v>
      </c>
      <c r="O22" s="31" t="s">
        <v>70</v>
      </c>
      <c r="P22" s="29" t="s">
        <v>592</v>
      </c>
      <c r="Q22" s="33"/>
      <c r="R22" s="24">
        <v>430</v>
      </c>
      <c r="S22" s="26">
        <v>250</v>
      </c>
      <c r="T22" s="27"/>
      <c r="U22" s="26">
        <f t="shared" si="7"/>
        <v>250</v>
      </c>
      <c r="W22" s="70">
        <v>250052</v>
      </c>
      <c r="X22" s="70">
        <v>304</v>
      </c>
      <c r="Y22" s="71">
        <v>0.7</v>
      </c>
      <c r="Z22" s="71" t="s">
        <v>25</v>
      </c>
      <c r="AA22" s="72" t="s">
        <v>361</v>
      </c>
      <c r="AB22" s="72"/>
      <c r="AC22" s="70">
        <v>304</v>
      </c>
      <c r="AD22" s="73">
        <v>800</v>
      </c>
      <c r="AE22" s="27">
        <v>800</v>
      </c>
      <c r="AF22" s="26">
        <f t="shared" si="8"/>
        <v>0</v>
      </c>
      <c r="AH22" s="70">
        <v>250057</v>
      </c>
      <c r="AI22" s="70">
        <v>304</v>
      </c>
      <c r="AJ22" s="71">
        <v>0.7</v>
      </c>
      <c r="AK22" s="71" t="s">
        <v>25</v>
      </c>
      <c r="AL22" s="72" t="s">
        <v>390</v>
      </c>
      <c r="AM22" s="72"/>
      <c r="AN22" s="70">
        <v>304</v>
      </c>
      <c r="AO22" s="73">
        <v>410</v>
      </c>
      <c r="AP22" s="27">
        <v>410</v>
      </c>
      <c r="AQ22" s="26">
        <f t="shared" si="9"/>
        <v>0</v>
      </c>
      <c r="AS22" s="70">
        <v>250061</v>
      </c>
      <c r="AT22" s="70">
        <v>304</v>
      </c>
      <c r="AU22" s="71">
        <v>0.7</v>
      </c>
      <c r="AV22" s="71" t="s">
        <v>25</v>
      </c>
      <c r="AW22" s="72" t="s">
        <v>381</v>
      </c>
      <c r="AX22" s="74"/>
      <c r="AY22" s="70">
        <v>304</v>
      </c>
      <c r="AZ22" s="73">
        <v>540</v>
      </c>
      <c r="BA22" s="27"/>
      <c r="BB22" s="26">
        <f t="shared" si="10"/>
        <v>540</v>
      </c>
      <c r="BD22" s="24"/>
      <c r="BE22" s="24"/>
      <c r="BF22" s="31"/>
      <c r="BG22" s="31"/>
      <c r="BH22" s="29"/>
      <c r="BI22" s="29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>
        <v>250080</v>
      </c>
      <c r="M23" s="24">
        <v>304</v>
      </c>
      <c r="N23" s="31">
        <v>0.6</v>
      </c>
      <c r="O23" s="31" t="s">
        <v>25</v>
      </c>
      <c r="P23" s="29" t="s">
        <v>489</v>
      </c>
      <c r="Q23" s="29"/>
      <c r="R23" s="24">
        <v>430</v>
      </c>
      <c r="S23" s="26">
        <v>300</v>
      </c>
      <c r="T23" s="27"/>
      <c r="U23" s="26">
        <f t="shared" si="7"/>
        <v>300</v>
      </c>
      <c r="W23" s="24"/>
      <c r="X23" s="24"/>
      <c r="Y23" s="31"/>
      <c r="Z23" s="31"/>
      <c r="AA23" s="29"/>
      <c r="AB23" s="29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>
        <v>250052</v>
      </c>
      <c r="AT23" s="24">
        <v>304</v>
      </c>
      <c r="AU23" s="31">
        <v>0.7</v>
      </c>
      <c r="AV23" s="31" t="s">
        <v>25</v>
      </c>
      <c r="AW23" s="29" t="s">
        <v>360</v>
      </c>
      <c r="AX23" s="29"/>
      <c r="AY23" s="24">
        <v>304</v>
      </c>
      <c r="AZ23" s="26">
        <v>800</v>
      </c>
      <c r="BA23" s="27"/>
      <c r="BB23" s="26">
        <f t="shared" si="10"/>
        <v>800</v>
      </c>
      <c r="BD23" s="24"/>
      <c r="BE23" s="24"/>
      <c r="BF23" s="24"/>
      <c r="BG23" s="24"/>
      <c r="BH23" s="29" t="s">
        <v>520</v>
      </c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1550</v>
      </c>
      <c r="I24" s="27">
        <f>SUM(I18:I23)</f>
        <v>0</v>
      </c>
      <c r="J24" s="26">
        <f>SUM(J18:J23)</f>
        <v>1550</v>
      </c>
      <c r="L24" s="34"/>
      <c r="M24" s="34"/>
      <c r="N24" s="34"/>
      <c r="O24" s="34"/>
      <c r="P24" s="35"/>
      <c r="Q24" s="35"/>
      <c r="R24" s="36"/>
      <c r="S24" s="26">
        <f>SUM(S18:S23)</f>
        <v>2830</v>
      </c>
      <c r="T24" s="27">
        <f>SUM(T18:T23)</f>
        <v>100</v>
      </c>
      <c r="U24" s="26">
        <f>SUM(U18:U23)</f>
        <v>2730</v>
      </c>
      <c r="W24" s="34"/>
      <c r="X24" s="34"/>
      <c r="Y24" s="34"/>
      <c r="Z24" s="34"/>
      <c r="AA24" s="35"/>
      <c r="AB24" s="35"/>
      <c r="AC24" s="36"/>
      <c r="AD24" s="26">
        <f>SUM(AD18:AD23)</f>
        <v>2410</v>
      </c>
      <c r="AE24" s="27">
        <f>SUM(AE18:AE23)</f>
        <v>1750</v>
      </c>
      <c r="AF24" s="26">
        <f>SUM(AF18:AF23)</f>
        <v>660</v>
      </c>
      <c r="AH24" s="34"/>
      <c r="AI24" s="34"/>
      <c r="AJ24" s="34"/>
      <c r="AK24" s="34"/>
      <c r="AL24" s="35"/>
      <c r="AM24" s="35"/>
      <c r="AN24" s="36"/>
      <c r="AO24" s="26">
        <f>SUM(AO18:AO23)</f>
        <v>2580</v>
      </c>
      <c r="AP24" s="27">
        <f>SUM(AP18:AP23)</f>
        <v>2400</v>
      </c>
      <c r="AQ24" s="26">
        <f>SUM(AQ18:AQ23)</f>
        <v>180</v>
      </c>
      <c r="AS24" s="34"/>
      <c r="AT24" s="34"/>
      <c r="AU24" s="34"/>
      <c r="AV24" s="34"/>
      <c r="AW24" s="29" t="s">
        <v>520</v>
      </c>
      <c r="AX24" s="35"/>
      <c r="AY24" s="36"/>
      <c r="AZ24" s="26">
        <f>SUM(AZ18:AZ23)</f>
        <v>3200</v>
      </c>
      <c r="BA24" s="27">
        <f>SUM(BA18:BA23)</f>
        <v>1450</v>
      </c>
      <c r="BB24" s="26">
        <f>SUM(BB18:BB23)</f>
        <v>1750</v>
      </c>
      <c r="BD24" s="34"/>
      <c r="BE24" s="34"/>
      <c r="BF24" s="34"/>
      <c r="BG24" s="34"/>
      <c r="BH24" s="35"/>
      <c r="BI24" s="35"/>
      <c r="BJ24" s="36"/>
      <c r="BK24" s="26">
        <f>SUM(BK18:BK23)</f>
        <v>2520</v>
      </c>
      <c r="BL24" s="27">
        <f>SUM(BL18:BL23)</f>
        <v>0</v>
      </c>
      <c r="BM24" s="26">
        <f>SUM(BM18:BM23)</f>
        <v>2520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33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33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29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33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29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29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31"/>
      <c r="D34" s="31"/>
      <c r="E34" s="29"/>
      <c r="F34" s="29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31"/>
      <c r="AK34" s="31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250059</v>
      </c>
      <c r="B40" s="24">
        <v>304</v>
      </c>
      <c r="C40" s="31">
        <v>0.9</v>
      </c>
      <c r="D40" s="31" t="s">
        <v>27</v>
      </c>
      <c r="E40" s="29" t="s">
        <v>571</v>
      </c>
      <c r="F40" s="29"/>
      <c r="G40" s="24">
        <v>304</v>
      </c>
      <c r="H40" s="26">
        <v>680</v>
      </c>
      <c r="I40" s="27"/>
      <c r="J40" s="26">
        <f>H40-I40</f>
        <v>680</v>
      </c>
      <c r="L40" s="24">
        <v>311025</v>
      </c>
      <c r="M40" s="24">
        <v>304</v>
      </c>
      <c r="N40" s="31">
        <v>0.9</v>
      </c>
      <c r="O40" s="31" t="s">
        <v>27</v>
      </c>
      <c r="P40" s="29" t="s">
        <v>601</v>
      </c>
      <c r="Q40" s="29"/>
      <c r="R40" s="24"/>
      <c r="S40" s="26">
        <v>3200</v>
      </c>
      <c r="T40" s="27"/>
      <c r="U40" s="26">
        <f>S40-T40</f>
        <v>3200</v>
      </c>
      <c r="W40" s="24">
        <v>255079</v>
      </c>
      <c r="X40" s="24">
        <v>304</v>
      </c>
      <c r="Y40" s="31">
        <v>0.7</v>
      </c>
      <c r="Z40" s="31" t="s">
        <v>25</v>
      </c>
      <c r="AA40" s="29" t="s">
        <v>481</v>
      </c>
      <c r="AB40" s="29"/>
      <c r="AC40" s="24">
        <v>304</v>
      </c>
      <c r="AD40" s="26">
        <v>1350</v>
      </c>
      <c r="AE40" s="27"/>
      <c r="AF40" s="26">
        <f>AD40-AE40</f>
        <v>1350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>
        <v>241025</v>
      </c>
      <c r="B41" s="24">
        <v>304</v>
      </c>
      <c r="C41" s="31">
        <v>0.8</v>
      </c>
      <c r="D41" s="31" t="s">
        <v>27</v>
      </c>
      <c r="E41" s="29" t="s">
        <v>584</v>
      </c>
      <c r="F41" s="29"/>
      <c r="G41" s="24">
        <v>430</v>
      </c>
      <c r="H41" s="26">
        <v>2000</v>
      </c>
      <c r="I41" s="27"/>
      <c r="J41" s="26">
        <f t="shared" ref="J41:J45" si="18">H41-I41</f>
        <v>2000</v>
      </c>
      <c r="L41" s="24">
        <v>311025</v>
      </c>
      <c r="M41" s="24">
        <v>304</v>
      </c>
      <c r="N41" s="31">
        <v>0.9</v>
      </c>
      <c r="O41" s="31" t="s">
        <v>27</v>
      </c>
      <c r="P41" s="29" t="s">
        <v>600</v>
      </c>
      <c r="Q41" s="29"/>
      <c r="R41" s="24">
        <v>430</v>
      </c>
      <c r="S41" s="26">
        <v>3200</v>
      </c>
      <c r="T41" s="27"/>
      <c r="U41" s="26">
        <f t="shared" ref="U41:U45" si="19">S41-T41</f>
        <v>3200</v>
      </c>
      <c r="W41" s="24">
        <v>255079</v>
      </c>
      <c r="X41" s="24">
        <v>304</v>
      </c>
      <c r="Y41" s="31">
        <v>0.7</v>
      </c>
      <c r="Z41" s="31" t="s">
        <v>25</v>
      </c>
      <c r="AA41" s="29" t="s">
        <v>482</v>
      </c>
      <c r="AB41" s="29"/>
      <c r="AC41" s="24">
        <v>304</v>
      </c>
      <c r="AD41" s="26">
        <v>1350</v>
      </c>
      <c r="AE41" s="27"/>
      <c r="AF41" s="26">
        <f t="shared" ref="AF41:AF45" si="20">AD41-AE41</f>
        <v>1350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>
        <v>241025</v>
      </c>
      <c r="B42" s="24">
        <v>304</v>
      </c>
      <c r="C42" s="31">
        <v>0.8</v>
      </c>
      <c r="D42" s="31" t="s">
        <v>27</v>
      </c>
      <c r="E42" s="29" t="s">
        <v>585</v>
      </c>
      <c r="F42" s="29"/>
      <c r="G42" s="24"/>
      <c r="H42" s="26">
        <v>2000</v>
      </c>
      <c r="I42" s="27"/>
      <c r="J42" s="26">
        <f t="shared" si="18"/>
        <v>2000</v>
      </c>
      <c r="L42" s="24">
        <v>311025</v>
      </c>
      <c r="M42" s="24">
        <v>304</v>
      </c>
      <c r="N42" s="31">
        <v>0.9</v>
      </c>
      <c r="O42" s="31" t="s">
        <v>27</v>
      </c>
      <c r="P42" s="29" t="s">
        <v>599</v>
      </c>
      <c r="Q42" s="29"/>
      <c r="R42" s="24"/>
      <c r="S42" s="26">
        <v>500</v>
      </c>
      <c r="T42" s="27"/>
      <c r="U42" s="26">
        <f t="shared" si="19"/>
        <v>500</v>
      </c>
      <c r="W42" s="24">
        <v>255079</v>
      </c>
      <c r="X42" s="24">
        <v>304</v>
      </c>
      <c r="Y42" s="31">
        <v>0.7</v>
      </c>
      <c r="Z42" s="31" t="s">
        <v>25</v>
      </c>
      <c r="AA42" s="29" t="s">
        <v>483</v>
      </c>
      <c r="AB42" s="29"/>
      <c r="AC42" s="24">
        <v>304</v>
      </c>
      <c r="AD42" s="26">
        <v>1350</v>
      </c>
      <c r="AE42" s="27"/>
      <c r="AF42" s="26">
        <f t="shared" si="20"/>
        <v>1350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>
        <v>311025</v>
      </c>
      <c r="M43" s="24">
        <v>304</v>
      </c>
      <c r="N43" s="31">
        <v>0.9</v>
      </c>
      <c r="O43" s="31" t="s">
        <v>27</v>
      </c>
      <c r="P43" s="29" t="s">
        <v>598</v>
      </c>
      <c r="Q43" s="32"/>
      <c r="R43" s="24">
        <v>430</v>
      </c>
      <c r="S43" s="26">
        <v>500</v>
      </c>
      <c r="T43" s="27"/>
      <c r="U43" s="26">
        <f t="shared" si="19"/>
        <v>500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4680</v>
      </c>
      <c r="I46" s="27">
        <f>SUM(I40:I45)</f>
        <v>0</v>
      </c>
      <c r="J46" s="26">
        <f>SUM(J40:J45)</f>
        <v>4680</v>
      </c>
      <c r="L46" s="34"/>
      <c r="M46" s="34"/>
      <c r="N46" s="34"/>
      <c r="O46" s="34"/>
      <c r="P46" s="35"/>
      <c r="Q46" s="35"/>
      <c r="R46" s="36"/>
      <c r="S46" s="26">
        <f>SUM(S40:S45)</f>
        <v>7400</v>
      </c>
      <c r="T46" s="27">
        <f>SUM(T40:T45)</f>
        <v>0</v>
      </c>
      <c r="U46" s="26">
        <f>SUM(U40:U45)</f>
        <v>7400</v>
      </c>
      <c r="W46" s="34"/>
      <c r="X46" s="34"/>
      <c r="Y46" s="34"/>
      <c r="Z46" s="34"/>
      <c r="AA46" s="35"/>
      <c r="AB46" s="35"/>
      <c r="AC46" s="36"/>
      <c r="AD46" s="26">
        <f>SUM(AD40:AD45)</f>
        <v>4050</v>
      </c>
      <c r="AE46" s="27">
        <f>SUM(AE40:AE45)</f>
        <v>0</v>
      </c>
      <c r="AF46" s="26">
        <f>SUM(AF40:AF45)</f>
        <v>4050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>
        <v>241025</v>
      </c>
      <c r="B62" s="24">
        <v>304</v>
      </c>
      <c r="C62" s="31">
        <v>0.8</v>
      </c>
      <c r="D62" s="31"/>
      <c r="E62" s="29" t="s">
        <v>587</v>
      </c>
      <c r="F62" s="29"/>
      <c r="G62" s="24"/>
      <c r="H62" s="26">
        <v>2000</v>
      </c>
      <c r="I62" s="27"/>
      <c r="J62" s="26">
        <f>H62-I62</f>
        <v>2000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>
        <v>241025</v>
      </c>
      <c r="B63" s="24">
        <v>304</v>
      </c>
      <c r="C63" s="31">
        <v>0.8</v>
      </c>
      <c r="D63" s="31"/>
      <c r="E63" s="29" t="s">
        <v>586</v>
      </c>
      <c r="F63" s="29"/>
      <c r="G63" s="24"/>
      <c r="H63" s="26">
        <v>2000</v>
      </c>
      <c r="I63" s="27"/>
      <c r="J63" s="26">
        <f t="shared" ref="J63:J67" si="30">H63-I63</f>
        <v>2000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4000</v>
      </c>
      <c r="I68" s="27">
        <f>SUM(I62:I67)</f>
        <v>0</v>
      </c>
      <c r="J68" s="26">
        <f>SUM(J62:J67)</f>
        <v>4000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zoomScale="55" zoomScaleNormal="55" workbookViewId="0">
      <selection activeCell="BH31" sqref="BH31"/>
    </sheetView>
  </sheetViews>
  <sheetFormatPr defaultRowHeight="14.4" x14ac:dyDescent="0.3"/>
  <cols>
    <col min="1" max="1" width="8.5546875" style="62" customWidth="1"/>
    <col min="2" max="2" width="7.5546875" style="62" customWidth="1"/>
    <col min="3" max="3" width="10.5546875" style="62" customWidth="1"/>
    <col min="4" max="4" width="9.5546875" style="62" customWidth="1"/>
    <col min="5" max="5" width="60.5546875" style="62" customWidth="1"/>
    <col min="6" max="6" width="0.77734375" style="62" customWidth="1"/>
    <col min="7" max="10" width="8.21875" style="62" customWidth="1"/>
    <col min="11" max="11" width="1.77734375" customWidth="1"/>
    <col min="12" max="12" width="8.5546875" style="62" customWidth="1"/>
    <col min="13" max="13" width="7.5546875" style="62" customWidth="1"/>
    <col min="14" max="14" width="10.5546875" style="62" customWidth="1"/>
    <col min="15" max="15" width="9.5546875" style="62" customWidth="1"/>
    <col min="16" max="16" width="60.5546875" style="62" customWidth="1"/>
    <col min="17" max="17" width="0.77734375" style="62" customWidth="1"/>
    <col min="18" max="21" width="8.21875" style="62" customWidth="1"/>
    <col min="22" max="22" width="1.77734375" customWidth="1"/>
    <col min="23" max="23" width="8.5546875" style="62" customWidth="1"/>
    <col min="24" max="24" width="7.5546875" style="62" customWidth="1"/>
    <col min="25" max="25" width="10.5546875" style="62" customWidth="1"/>
    <col min="26" max="26" width="9.5546875" style="62" customWidth="1"/>
    <col min="27" max="27" width="60.5546875" style="62" customWidth="1"/>
    <col min="28" max="28" width="0.77734375" style="62" customWidth="1"/>
    <col min="29" max="32" width="8.21875" style="62" customWidth="1"/>
    <col min="33" max="33" width="1.77734375" customWidth="1"/>
    <col min="34" max="34" width="8.5546875" style="62" customWidth="1"/>
    <col min="35" max="35" width="7.5546875" style="62" customWidth="1"/>
    <col min="36" max="36" width="9.21875" style="62" bestFit="1" customWidth="1"/>
    <col min="37" max="37" width="9.5546875" style="62" customWidth="1"/>
    <col min="38" max="38" width="60.5546875" style="62" customWidth="1"/>
    <col min="39" max="39" width="0.77734375" style="62" customWidth="1"/>
    <col min="40" max="43" width="8.21875" style="62" customWidth="1"/>
    <col min="44" max="44" width="1.77734375" customWidth="1"/>
    <col min="45" max="45" width="8.5546875" style="62" customWidth="1"/>
    <col min="46" max="46" width="7.5546875" style="62" customWidth="1"/>
    <col min="47" max="47" width="10.5546875" style="62" customWidth="1"/>
    <col min="48" max="48" width="9.5546875" style="62" customWidth="1"/>
    <col min="49" max="49" width="60.5546875" style="62" customWidth="1"/>
    <col min="50" max="50" width="0.77734375" style="62" customWidth="1"/>
    <col min="51" max="54" width="8.21875" style="62" customWidth="1"/>
    <col min="55" max="55" width="1.77734375" customWidth="1"/>
    <col min="56" max="56" width="8.5546875" style="62" customWidth="1"/>
    <col min="57" max="57" width="7.5546875" style="62" customWidth="1"/>
    <col min="58" max="58" width="10.5546875" style="62" customWidth="1"/>
    <col min="59" max="59" width="9.5546875" style="62" customWidth="1"/>
    <col min="60" max="60" width="60.5546875" style="62" customWidth="1"/>
    <col min="61" max="61" width="0.77734375" style="62" customWidth="1"/>
    <col min="62" max="65" width="8.21875" style="62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63"/>
      <c r="F3" s="23"/>
      <c r="G3" s="63"/>
      <c r="P3" s="63"/>
      <c r="Q3" s="23"/>
      <c r="R3" s="63"/>
      <c r="AA3" s="63"/>
      <c r="AB3" s="23"/>
      <c r="AC3" s="85"/>
      <c r="AD3" s="86"/>
      <c r="AE3" s="89"/>
      <c r="AF3" s="90"/>
      <c r="AL3" s="63"/>
      <c r="AM3" s="23"/>
      <c r="AN3" s="63"/>
      <c r="AW3" s="63"/>
      <c r="AX3" s="23"/>
      <c r="AY3" s="63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33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32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29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33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32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33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29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32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29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3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29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29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29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29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31"/>
      <c r="AK12" s="31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31"/>
      <c r="AV12" s="31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31"/>
      <c r="BG12" s="31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250052</v>
      </c>
      <c r="B18" s="24">
        <v>304</v>
      </c>
      <c r="C18" s="31">
        <v>0.7</v>
      </c>
      <c r="D18" s="31" t="s">
        <v>25</v>
      </c>
      <c r="E18" s="29" t="s">
        <v>359</v>
      </c>
      <c r="F18" s="29"/>
      <c r="G18" s="24">
        <v>304</v>
      </c>
      <c r="H18" s="26">
        <v>800</v>
      </c>
      <c r="I18" s="27"/>
      <c r="J18" s="26">
        <f>H18-I18</f>
        <v>800</v>
      </c>
      <c r="L18" s="24">
        <v>250055</v>
      </c>
      <c r="M18" s="24">
        <v>304</v>
      </c>
      <c r="N18" s="31">
        <v>0.7</v>
      </c>
      <c r="O18" s="31" t="s">
        <v>25</v>
      </c>
      <c r="P18" s="29" t="s">
        <v>367</v>
      </c>
      <c r="Q18" s="29"/>
      <c r="R18" s="24">
        <v>304</v>
      </c>
      <c r="S18" s="26">
        <v>830</v>
      </c>
      <c r="T18" s="27"/>
      <c r="U18" s="26">
        <f>S18-T18</f>
        <v>830</v>
      </c>
      <c r="W18" s="24">
        <v>250057</v>
      </c>
      <c r="X18" s="24">
        <v>304</v>
      </c>
      <c r="Y18" s="31">
        <v>0.7</v>
      </c>
      <c r="Z18" s="31" t="s">
        <v>25</v>
      </c>
      <c r="AA18" s="29" t="s">
        <v>394</v>
      </c>
      <c r="AB18" s="29"/>
      <c r="AC18" s="24">
        <v>304</v>
      </c>
      <c r="AD18" s="26">
        <v>410</v>
      </c>
      <c r="AE18" s="27"/>
      <c r="AF18" s="26">
        <f>AD18-AE18</f>
        <v>410</v>
      </c>
      <c r="AH18" s="24">
        <v>210925</v>
      </c>
      <c r="AI18" s="24">
        <v>304</v>
      </c>
      <c r="AJ18" s="31">
        <v>0.6</v>
      </c>
      <c r="AK18" s="31" t="s">
        <v>41</v>
      </c>
      <c r="AL18" s="29" t="s">
        <v>476</v>
      </c>
      <c r="AM18" s="29"/>
      <c r="AN18" s="24">
        <v>430</v>
      </c>
      <c r="AO18" s="26">
        <v>500</v>
      </c>
      <c r="AP18" s="27"/>
      <c r="AQ18" s="26">
        <f>AO18-AP18</f>
        <v>500</v>
      </c>
      <c r="AS18" s="24">
        <v>21025</v>
      </c>
      <c r="AT18" s="24">
        <v>304</v>
      </c>
      <c r="AU18" s="31">
        <v>0.6</v>
      </c>
      <c r="AV18" s="31" t="s">
        <v>41</v>
      </c>
      <c r="AW18" s="29" t="s">
        <v>524</v>
      </c>
      <c r="AX18" s="29"/>
      <c r="AY18" s="24">
        <v>430</v>
      </c>
      <c r="AZ18" s="26">
        <v>1000</v>
      </c>
      <c r="BA18" s="27"/>
      <c r="BB18" s="26">
        <f>AZ18-BA18</f>
        <v>1000</v>
      </c>
      <c r="BD18" s="24">
        <v>21025</v>
      </c>
      <c r="BE18" s="24">
        <v>304</v>
      </c>
      <c r="BF18" s="31">
        <v>0.6</v>
      </c>
      <c r="BG18" s="31" t="s">
        <v>41</v>
      </c>
      <c r="BH18" s="29" t="s">
        <v>522</v>
      </c>
      <c r="BI18" s="29"/>
      <c r="BJ18" s="24">
        <v>430</v>
      </c>
      <c r="BK18" s="26">
        <v>500</v>
      </c>
      <c r="BL18" s="27"/>
      <c r="BM18" s="26">
        <f>BK18-BL18</f>
        <v>500</v>
      </c>
    </row>
    <row r="19" spans="1:65" s="30" customFormat="1" ht="20.100000000000001" customHeight="1" x14ac:dyDescent="0.3">
      <c r="A19" s="24">
        <v>250057</v>
      </c>
      <c r="B19" s="24">
        <v>304</v>
      </c>
      <c r="C19" s="31">
        <v>0.7</v>
      </c>
      <c r="D19" s="31" t="s">
        <v>25</v>
      </c>
      <c r="E19" s="29" t="s">
        <v>389</v>
      </c>
      <c r="F19" s="29"/>
      <c r="G19" s="24">
        <v>304</v>
      </c>
      <c r="H19" s="26">
        <v>410</v>
      </c>
      <c r="I19" s="27"/>
      <c r="J19" s="26">
        <f t="shared" ref="J19:J23" si="6">H19-I19</f>
        <v>410</v>
      </c>
      <c r="L19" s="24">
        <v>250061</v>
      </c>
      <c r="M19" s="24">
        <v>304</v>
      </c>
      <c r="N19" s="31">
        <v>0.7</v>
      </c>
      <c r="O19" s="31" t="s">
        <v>25</v>
      </c>
      <c r="P19" s="29" t="s">
        <v>377</v>
      </c>
      <c r="Q19" s="29"/>
      <c r="R19" s="24">
        <v>304</v>
      </c>
      <c r="S19" s="26">
        <v>540</v>
      </c>
      <c r="T19" s="27"/>
      <c r="U19" s="26">
        <f t="shared" ref="U19:U23" si="7">S19-T19</f>
        <v>540</v>
      </c>
      <c r="W19" s="24">
        <v>250052</v>
      </c>
      <c r="X19" s="24">
        <v>304</v>
      </c>
      <c r="Y19" s="31">
        <v>0.7</v>
      </c>
      <c r="Z19" s="31" t="s">
        <v>25</v>
      </c>
      <c r="AA19" s="29" t="s">
        <v>358</v>
      </c>
      <c r="AB19" s="29"/>
      <c r="AC19" s="24">
        <v>304</v>
      </c>
      <c r="AD19" s="26">
        <v>800</v>
      </c>
      <c r="AE19" s="27"/>
      <c r="AF19" s="26">
        <f t="shared" ref="AF19:AF23" si="8">AD19-AE19</f>
        <v>800</v>
      </c>
      <c r="AH19" s="24">
        <v>210925</v>
      </c>
      <c r="AI19" s="24">
        <v>304</v>
      </c>
      <c r="AJ19" s="31">
        <v>0.6</v>
      </c>
      <c r="AK19" s="31" t="s">
        <v>41</v>
      </c>
      <c r="AL19" s="29" t="s">
        <v>476</v>
      </c>
      <c r="AM19" s="29"/>
      <c r="AN19" s="24">
        <v>430</v>
      </c>
      <c r="AO19" s="26">
        <v>1000</v>
      </c>
      <c r="AP19" s="27"/>
      <c r="AQ19" s="26">
        <f t="shared" ref="AQ19:AQ23" si="9">AO19-AP19</f>
        <v>1000</v>
      </c>
      <c r="AS19" s="24">
        <v>21025</v>
      </c>
      <c r="AT19" s="24">
        <v>304</v>
      </c>
      <c r="AU19" s="31">
        <v>0.6</v>
      </c>
      <c r="AV19" s="31" t="s">
        <v>41</v>
      </c>
      <c r="AW19" s="29" t="s">
        <v>523</v>
      </c>
      <c r="AX19" s="29"/>
      <c r="AY19" s="24">
        <v>430</v>
      </c>
      <c r="AZ19" s="26">
        <v>1000</v>
      </c>
      <c r="BA19" s="27"/>
      <c r="BB19" s="26">
        <f t="shared" ref="BB19:BB23" si="10">AZ19-BA19</f>
        <v>1000</v>
      </c>
      <c r="BD19" s="24"/>
      <c r="BE19" s="24"/>
      <c r="BF19" s="31"/>
      <c r="BG19" s="31"/>
      <c r="BH19" s="29"/>
      <c r="BI19" s="29"/>
      <c r="BJ19" s="24"/>
      <c r="BK19" s="26"/>
      <c r="BL19" s="27"/>
      <c r="BM19" s="26">
        <f t="shared" ref="BM19:BM23" si="11">BK19-BL19</f>
        <v>0</v>
      </c>
    </row>
    <row r="20" spans="1:65" s="30" customFormat="1" ht="20.100000000000001" customHeight="1" x14ac:dyDescent="0.3">
      <c r="A20" s="24">
        <v>250061</v>
      </c>
      <c r="B20" s="24">
        <v>304</v>
      </c>
      <c r="C20" s="31">
        <v>0.7</v>
      </c>
      <c r="D20" s="31" t="s">
        <v>25</v>
      </c>
      <c r="E20" s="29" t="s">
        <v>378</v>
      </c>
      <c r="F20" s="29"/>
      <c r="G20" s="24">
        <v>304</v>
      </c>
      <c r="H20" s="26">
        <v>540</v>
      </c>
      <c r="I20" s="27"/>
      <c r="J20" s="26">
        <f t="shared" si="6"/>
        <v>540</v>
      </c>
      <c r="L20" s="24">
        <v>250057</v>
      </c>
      <c r="M20" s="24">
        <v>304</v>
      </c>
      <c r="N20" s="31">
        <v>0.7</v>
      </c>
      <c r="O20" s="31" t="s">
        <v>25</v>
      </c>
      <c r="P20" s="29" t="s">
        <v>388</v>
      </c>
      <c r="Q20" s="29"/>
      <c r="R20" s="24">
        <v>304</v>
      </c>
      <c r="S20" s="26">
        <v>410</v>
      </c>
      <c r="T20" s="27"/>
      <c r="U20" s="26">
        <f t="shared" si="7"/>
        <v>410</v>
      </c>
      <c r="W20" s="24">
        <v>21025</v>
      </c>
      <c r="X20" s="24">
        <v>304</v>
      </c>
      <c r="Y20" s="31">
        <v>0.6</v>
      </c>
      <c r="Z20" s="31" t="s">
        <v>41</v>
      </c>
      <c r="AA20" s="29" t="s">
        <v>643</v>
      </c>
      <c r="AB20" s="29"/>
      <c r="AC20" s="24">
        <v>430</v>
      </c>
      <c r="AD20" s="26">
        <v>1000</v>
      </c>
      <c r="AE20" s="27"/>
      <c r="AF20" s="26">
        <f t="shared" si="8"/>
        <v>1000</v>
      </c>
      <c r="AH20" s="24">
        <v>210925</v>
      </c>
      <c r="AI20" s="24">
        <v>304</v>
      </c>
      <c r="AJ20" s="31">
        <v>0.6</v>
      </c>
      <c r="AK20" s="31" t="s">
        <v>41</v>
      </c>
      <c r="AL20" s="29" t="s">
        <v>475</v>
      </c>
      <c r="AM20" s="29"/>
      <c r="AN20" s="24">
        <v>430</v>
      </c>
      <c r="AO20" s="26">
        <v>1000</v>
      </c>
      <c r="AP20" s="27"/>
      <c r="AQ20" s="26">
        <f t="shared" si="9"/>
        <v>1000</v>
      </c>
      <c r="AS20" s="24">
        <v>21025</v>
      </c>
      <c r="AT20" s="24">
        <v>304</v>
      </c>
      <c r="AU20" s="31">
        <v>0.6</v>
      </c>
      <c r="AV20" s="31" t="s">
        <v>41</v>
      </c>
      <c r="AW20" s="29" t="s">
        <v>521</v>
      </c>
      <c r="AX20" s="29"/>
      <c r="AY20" s="24">
        <v>430</v>
      </c>
      <c r="AZ20" s="26">
        <v>500</v>
      </c>
      <c r="BA20" s="27"/>
      <c r="BB20" s="26">
        <f t="shared" si="10"/>
        <v>500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>
        <v>250080</v>
      </c>
      <c r="B21" s="24">
        <v>304</v>
      </c>
      <c r="C21" s="31">
        <v>0.6</v>
      </c>
      <c r="D21" s="31" t="s">
        <v>25</v>
      </c>
      <c r="E21" s="29" t="s">
        <v>487</v>
      </c>
      <c r="F21" s="29"/>
      <c r="G21" s="24">
        <v>430</v>
      </c>
      <c r="H21" s="26">
        <v>300</v>
      </c>
      <c r="I21" s="27"/>
      <c r="J21" s="26">
        <f t="shared" si="6"/>
        <v>300</v>
      </c>
      <c r="L21" s="24">
        <v>250052</v>
      </c>
      <c r="M21" s="24">
        <v>304</v>
      </c>
      <c r="N21" s="31">
        <v>0.7</v>
      </c>
      <c r="O21" s="31" t="s">
        <v>25</v>
      </c>
      <c r="P21" s="29" t="s">
        <v>358</v>
      </c>
      <c r="Q21" s="29"/>
      <c r="R21" s="24">
        <v>304</v>
      </c>
      <c r="S21" s="26">
        <v>800</v>
      </c>
      <c r="T21" s="27"/>
      <c r="U21" s="26">
        <f t="shared" si="7"/>
        <v>800</v>
      </c>
      <c r="W21" s="24">
        <v>210925</v>
      </c>
      <c r="X21" s="24">
        <v>304</v>
      </c>
      <c r="Y21" s="31">
        <v>0.6</v>
      </c>
      <c r="Z21" s="31" t="s">
        <v>41</v>
      </c>
      <c r="AA21" s="29" t="s">
        <v>476</v>
      </c>
      <c r="AB21" s="29"/>
      <c r="AC21" s="24">
        <v>430</v>
      </c>
      <c r="AD21" s="26">
        <v>500</v>
      </c>
      <c r="AE21" s="27"/>
      <c r="AF21" s="26">
        <f t="shared" si="8"/>
        <v>500</v>
      </c>
      <c r="AH21" s="24">
        <v>21025</v>
      </c>
      <c r="AI21" s="24">
        <v>304</v>
      </c>
      <c r="AJ21" s="31">
        <v>0.6</v>
      </c>
      <c r="AK21" s="31" t="s">
        <v>41</v>
      </c>
      <c r="AL21" s="29" t="s">
        <v>474</v>
      </c>
      <c r="AM21" s="29"/>
      <c r="AN21" s="24">
        <v>430</v>
      </c>
      <c r="AO21" s="26">
        <v>500</v>
      </c>
      <c r="AP21" s="27"/>
      <c r="AQ21" s="26">
        <f t="shared" si="9"/>
        <v>500</v>
      </c>
      <c r="AS21" s="24">
        <v>21025</v>
      </c>
      <c r="AT21" s="24">
        <v>304</v>
      </c>
      <c r="AU21" s="31">
        <v>0.6</v>
      </c>
      <c r="AV21" s="31" t="s">
        <v>41</v>
      </c>
      <c r="AW21" s="29" t="s">
        <v>522</v>
      </c>
      <c r="AX21" s="29"/>
      <c r="AY21" s="24">
        <v>430</v>
      </c>
      <c r="AZ21" s="26">
        <v>500</v>
      </c>
      <c r="BA21" s="27"/>
      <c r="BB21" s="26">
        <f t="shared" si="10"/>
        <v>500</v>
      </c>
      <c r="BD21" s="24"/>
      <c r="BE21" s="24"/>
      <c r="BF21" s="31"/>
      <c r="BG21" s="31"/>
      <c r="BH21" s="29"/>
      <c r="BI21" s="32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>
        <v>250080</v>
      </c>
      <c r="B22" s="24">
        <v>304</v>
      </c>
      <c r="C22" s="31">
        <v>0.6</v>
      </c>
      <c r="D22" s="31" t="s">
        <v>70</v>
      </c>
      <c r="E22" s="29" t="s">
        <v>590</v>
      </c>
      <c r="F22" s="29"/>
      <c r="G22" s="24">
        <v>430</v>
      </c>
      <c r="H22" s="26">
        <v>500</v>
      </c>
      <c r="I22" s="27"/>
      <c r="J22" s="26">
        <f t="shared" si="6"/>
        <v>500</v>
      </c>
      <c r="L22" s="24">
        <v>250057</v>
      </c>
      <c r="M22" s="24">
        <v>304</v>
      </c>
      <c r="N22" s="31">
        <v>0.7</v>
      </c>
      <c r="O22" s="31" t="s">
        <v>25</v>
      </c>
      <c r="P22" s="29" t="s">
        <v>588</v>
      </c>
      <c r="Q22" s="29"/>
      <c r="R22" s="24">
        <v>304</v>
      </c>
      <c r="S22" s="26">
        <v>410</v>
      </c>
      <c r="T22" s="27"/>
      <c r="U22" s="26">
        <f t="shared" si="7"/>
        <v>410</v>
      </c>
      <c r="W22" s="24"/>
      <c r="X22" s="24"/>
      <c r="Y22" s="31"/>
      <c r="Z22" s="31"/>
      <c r="AA22" s="29"/>
      <c r="AB22" s="29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33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31"/>
      <c r="D23" s="31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31"/>
      <c r="O23" s="31"/>
      <c r="P23" s="29"/>
      <c r="Q23" s="29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32"/>
      <c r="AX23" s="33"/>
      <c r="AY23" s="24"/>
      <c r="AZ23" s="26"/>
      <c r="BA23" s="27"/>
      <c r="BB23" s="26">
        <f t="shared" si="10"/>
        <v>0</v>
      </c>
      <c r="BD23" s="24"/>
      <c r="BE23" s="24"/>
      <c r="BF23" s="31"/>
      <c r="BG23" s="31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2550</v>
      </c>
      <c r="I24" s="27">
        <f>SUM(I18:I23)</f>
        <v>0</v>
      </c>
      <c r="J24" s="26">
        <f>SUM(J18:J23)</f>
        <v>2550</v>
      </c>
      <c r="L24" s="34"/>
      <c r="M24" s="34"/>
      <c r="N24" s="34"/>
      <c r="O24" s="34"/>
      <c r="P24" s="35"/>
      <c r="Q24" s="35"/>
      <c r="R24" s="36"/>
      <c r="S24" s="26">
        <f>SUM(S18:S23)</f>
        <v>2990</v>
      </c>
      <c r="T24" s="27">
        <f>SUM(T18:T23)</f>
        <v>0</v>
      </c>
      <c r="U24" s="26">
        <f>SUM(U18:U23)</f>
        <v>2990</v>
      </c>
      <c r="W24" s="34"/>
      <c r="X24" s="34"/>
      <c r="Y24" s="34"/>
      <c r="Z24" s="34"/>
      <c r="AA24" s="35"/>
      <c r="AB24" s="35"/>
      <c r="AC24" s="36"/>
      <c r="AD24" s="26">
        <f>SUM(AD18:AD23)</f>
        <v>2710</v>
      </c>
      <c r="AE24" s="27">
        <f>SUM(AE18:AE23)</f>
        <v>0</v>
      </c>
      <c r="AF24" s="26">
        <f>SUM(AF18:AF23)</f>
        <v>2710</v>
      </c>
      <c r="AH24" s="34"/>
      <c r="AI24" s="34"/>
      <c r="AJ24" s="34"/>
      <c r="AK24" s="34"/>
      <c r="AL24" s="35"/>
      <c r="AM24" s="35"/>
      <c r="AN24" s="36"/>
      <c r="AO24" s="26">
        <f>SUM(AO18:AO23)</f>
        <v>3000</v>
      </c>
      <c r="AP24" s="27">
        <f>SUM(AP18:AP23)</f>
        <v>0</v>
      </c>
      <c r="AQ24" s="26">
        <f>SUM(AQ18:AQ23)</f>
        <v>3000</v>
      </c>
      <c r="AS24" s="34"/>
      <c r="AT24" s="34"/>
      <c r="AU24" s="34"/>
      <c r="AV24" s="34"/>
      <c r="AW24" s="29"/>
      <c r="AX24" s="35"/>
      <c r="AY24" s="36"/>
      <c r="AZ24" s="26">
        <f>SUM(AZ18:AZ23)</f>
        <v>3000</v>
      </c>
      <c r="BA24" s="27">
        <f>SUM(BA18:BA23)</f>
        <v>0</v>
      </c>
      <c r="BB24" s="26">
        <f>SUM(BB18:BB23)</f>
        <v>3000</v>
      </c>
      <c r="BD24" s="34"/>
      <c r="BE24" s="34"/>
      <c r="BF24" s="34"/>
      <c r="BG24" s="34"/>
      <c r="BH24" s="35"/>
      <c r="BI24" s="35"/>
      <c r="BJ24" s="36"/>
      <c r="BK24" s="26">
        <f>SUM(BK18:BK23)</f>
        <v>500</v>
      </c>
      <c r="BL24" s="27">
        <f>SUM(BL18:BL23)</f>
        <v>0</v>
      </c>
      <c r="BM24" s="26">
        <f>SUM(BM18:BM23)</f>
        <v>500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>
        <v>250078</v>
      </c>
      <c r="B29" s="24">
        <v>304</v>
      </c>
      <c r="C29" s="31">
        <v>0.6</v>
      </c>
      <c r="D29" s="31" t="s">
        <v>25</v>
      </c>
      <c r="E29" s="29" t="s">
        <v>611</v>
      </c>
      <c r="F29" s="29"/>
      <c r="G29" s="24">
        <v>304</v>
      </c>
      <c r="H29" s="26">
        <v>790</v>
      </c>
      <c r="I29" s="27"/>
      <c r="J29" s="26">
        <f>H29-I29</f>
        <v>790</v>
      </c>
      <c r="L29" s="24">
        <v>250059</v>
      </c>
      <c r="M29" s="24">
        <v>304</v>
      </c>
      <c r="N29" s="31">
        <v>0.7</v>
      </c>
      <c r="O29" s="31"/>
      <c r="P29" s="29" t="s">
        <v>566</v>
      </c>
      <c r="Q29" s="29"/>
      <c r="R29" s="24">
        <v>304</v>
      </c>
      <c r="S29" s="26">
        <v>680</v>
      </c>
      <c r="T29" s="27"/>
      <c r="U29" s="26">
        <f>S29-T29</f>
        <v>680</v>
      </c>
      <c r="W29" s="24">
        <v>250060</v>
      </c>
      <c r="X29" s="24">
        <v>304</v>
      </c>
      <c r="Y29" s="31">
        <v>0.8</v>
      </c>
      <c r="Z29" s="31"/>
      <c r="AA29" s="29" t="s">
        <v>553</v>
      </c>
      <c r="AB29" s="33"/>
      <c r="AC29" s="24">
        <v>304</v>
      </c>
      <c r="AD29" s="26">
        <v>680</v>
      </c>
      <c r="AE29" s="27"/>
      <c r="AF29" s="26">
        <f>AD29-AE29</f>
        <v>680</v>
      </c>
      <c r="AH29" s="24">
        <v>250058</v>
      </c>
      <c r="AI29" s="24">
        <v>304</v>
      </c>
      <c r="AJ29" s="31">
        <v>0.7</v>
      </c>
      <c r="AK29" s="31"/>
      <c r="AL29" s="29" t="s">
        <v>579</v>
      </c>
      <c r="AM29" s="29"/>
      <c r="AN29" s="24">
        <v>304</v>
      </c>
      <c r="AO29" s="26">
        <v>800</v>
      </c>
      <c r="AP29" s="27"/>
      <c r="AQ29" s="26">
        <f>AO29-AP29</f>
        <v>800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>
        <v>250078</v>
      </c>
      <c r="B30" s="24">
        <v>304</v>
      </c>
      <c r="C30" s="31">
        <v>0.6</v>
      </c>
      <c r="D30" s="31" t="s">
        <v>25</v>
      </c>
      <c r="E30" s="29" t="s">
        <v>612</v>
      </c>
      <c r="F30" s="29"/>
      <c r="G30" s="24">
        <v>304</v>
      </c>
      <c r="H30" s="26">
        <v>790</v>
      </c>
      <c r="I30" s="27"/>
      <c r="J30" s="26">
        <f t="shared" ref="J30:J34" si="12">H30-I30</f>
        <v>790</v>
      </c>
      <c r="L30" s="24">
        <v>250059</v>
      </c>
      <c r="M30" s="24">
        <v>304</v>
      </c>
      <c r="N30" s="31">
        <v>0.7</v>
      </c>
      <c r="O30" s="31"/>
      <c r="P30" s="29" t="s">
        <v>568</v>
      </c>
      <c r="Q30" s="29"/>
      <c r="R30" s="24">
        <v>304</v>
      </c>
      <c r="S30" s="26">
        <v>680</v>
      </c>
      <c r="T30" s="27"/>
      <c r="U30" s="26">
        <f t="shared" ref="U30:U34" si="13">S30-T30</f>
        <v>680</v>
      </c>
      <c r="W30" s="24">
        <v>250060</v>
      </c>
      <c r="X30" s="24">
        <v>304</v>
      </c>
      <c r="Y30" s="31">
        <v>0.8</v>
      </c>
      <c r="Z30" s="31"/>
      <c r="AA30" s="29" t="s">
        <v>554</v>
      </c>
      <c r="AB30" s="29"/>
      <c r="AC30" s="24">
        <v>304</v>
      </c>
      <c r="AD30" s="26">
        <v>680</v>
      </c>
      <c r="AE30" s="27"/>
      <c r="AF30" s="26">
        <f t="shared" ref="AF30:AF34" si="14">AD30-AE30</f>
        <v>680</v>
      </c>
      <c r="AH30" s="24">
        <v>250058</v>
      </c>
      <c r="AI30" s="24">
        <v>304</v>
      </c>
      <c r="AJ30" s="31">
        <v>0.7</v>
      </c>
      <c r="AK30" s="31"/>
      <c r="AL30" s="29" t="s">
        <v>580</v>
      </c>
      <c r="AM30" s="29"/>
      <c r="AN30" s="24">
        <v>304</v>
      </c>
      <c r="AO30" s="26">
        <v>800</v>
      </c>
      <c r="AP30" s="27"/>
      <c r="AQ30" s="26">
        <f t="shared" ref="AQ30:AQ34" si="15">AO30-AP30</f>
        <v>800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>
        <v>250078</v>
      </c>
      <c r="B31" s="24">
        <v>304</v>
      </c>
      <c r="C31" s="31">
        <v>0.6</v>
      </c>
      <c r="D31" s="31" t="s">
        <v>25</v>
      </c>
      <c r="E31" s="29" t="s">
        <v>613</v>
      </c>
      <c r="F31" s="29"/>
      <c r="G31" s="24">
        <v>304</v>
      </c>
      <c r="H31" s="26">
        <v>790</v>
      </c>
      <c r="I31" s="27"/>
      <c r="J31" s="26">
        <f t="shared" si="12"/>
        <v>790</v>
      </c>
      <c r="L31" s="24">
        <v>250059</v>
      </c>
      <c r="M31" s="24">
        <v>304</v>
      </c>
      <c r="N31" s="31">
        <v>0.7</v>
      </c>
      <c r="O31" s="31"/>
      <c r="P31" s="29" t="s">
        <v>569</v>
      </c>
      <c r="Q31" s="29"/>
      <c r="R31" s="24">
        <v>304</v>
      </c>
      <c r="S31" s="26">
        <v>680</v>
      </c>
      <c r="T31" s="27"/>
      <c r="U31" s="26">
        <f t="shared" si="13"/>
        <v>680</v>
      </c>
      <c r="W31" s="24">
        <v>250060</v>
      </c>
      <c r="X31" s="24">
        <v>304</v>
      </c>
      <c r="Y31" s="31">
        <v>0.8</v>
      </c>
      <c r="Z31" s="31"/>
      <c r="AA31" s="29" t="s">
        <v>555</v>
      </c>
      <c r="AB31" s="29"/>
      <c r="AC31" s="24">
        <v>304</v>
      </c>
      <c r="AD31" s="26">
        <v>680</v>
      </c>
      <c r="AE31" s="27"/>
      <c r="AF31" s="26">
        <f t="shared" si="14"/>
        <v>680</v>
      </c>
      <c r="AH31" s="24">
        <v>250058</v>
      </c>
      <c r="AI31" s="24">
        <v>304</v>
      </c>
      <c r="AJ31" s="31">
        <v>0.7</v>
      </c>
      <c r="AK31" s="31"/>
      <c r="AL31" s="29" t="s">
        <v>581</v>
      </c>
      <c r="AM31" s="29"/>
      <c r="AN31" s="24">
        <v>304</v>
      </c>
      <c r="AO31" s="26">
        <v>800</v>
      </c>
      <c r="AP31" s="27"/>
      <c r="AQ31" s="26">
        <f t="shared" si="15"/>
        <v>800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>
        <v>250078</v>
      </c>
      <c r="B32" s="24">
        <v>304</v>
      </c>
      <c r="C32" s="31">
        <v>0.6</v>
      </c>
      <c r="D32" s="31" t="s">
        <v>25</v>
      </c>
      <c r="E32" s="29" t="s">
        <v>614</v>
      </c>
      <c r="F32" s="29"/>
      <c r="G32" s="24">
        <v>304</v>
      </c>
      <c r="H32" s="26">
        <v>790</v>
      </c>
      <c r="I32" s="27"/>
      <c r="J32" s="26">
        <f t="shared" si="12"/>
        <v>790</v>
      </c>
      <c r="L32" s="24">
        <v>250059</v>
      </c>
      <c r="M32" s="24">
        <v>304</v>
      </c>
      <c r="N32" s="31">
        <v>0.7</v>
      </c>
      <c r="O32" s="31"/>
      <c r="P32" s="29" t="s">
        <v>570</v>
      </c>
      <c r="Q32" s="29"/>
      <c r="R32" s="24">
        <v>304</v>
      </c>
      <c r="S32" s="26">
        <v>680</v>
      </c>
      <c r="T32" s="27"/>
      <c r="U32" s="26">
        <f t="shared" si="13"/>
        <v>680</v>
      </c>
      <c r="W32" s="24">
        <v>250060</v>
      </c>
      <c r="X32" s="24">
        <v>304</v>
      </c>
      <c r="Y32" s="31">
        <v>0.8</v>
      </c>
      <c r="Z32" s="31"/>
      <c r="AA32" s="29" t="s">
        <v>556</v>
      </c>
      <c r="AB32" s="29"/>
      <c r="AC32" s="24">
        <v>304</v>
      </c>
      <c r="AD32" s="26">
        <v>680</v>
      </c>
      <c r="AE32" s="27"/>
      <c r="AF32" s="26">
        <f t="shared" si="14"/>
        <v>680</v>
      </c>
      <c r="AH32" s="24">
        <v>250058</v>
      </c>
      <c r="AI32" s="24">
        <v>304</v>
      </c>
      <c r="AJ32" s="31">
        <v>0.7</v>
      </c>
      <c r="AK32" s="31"/>
      <c r="AL32" s="29" t="s">
        <v>582</v>
      </c>
      <c r="AM32" s="29"/>
      <c r="AN32" s="24">
        <v>304</v>
      </c>
      <c r="AO32" s="26">
        <v>800</v>
      </c>
      <c r="AP32" s="27"/>
      <c r="AQ32" s="26">
        <f t="shared" si="15"/>
        <v>800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>
        <v>250078</v>
      </c>
      <c r="B33" s="24">
        <v>304</v>
      </c>
      <c r="C33" s="31">
        <v>0.6</v>
      </c>
      <c r="D33" s="31" t="s">
        <v>25</v>
      </c>
      <c r="E33" s="29" t="s">
        <v>615</v>
      </c>
      <c r="F33" s="29"/>
      <c r="G33" s="24">
        <v>304</v>
      </c>
      <c r="H33" s="26">
        <v>790</v>
      </c>
      <c r="I33" s="27"/>
      <c r="J33" s="26">
        <f t="shared" si="12"/>
        <v>790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>
        <v>250060</v>
      </c>
      <c r="X33" s="24">
        <v>304</v>
      </c>
      <c r="Y33" s="31">
        <v>0.8</v>
      </c>
      <c r="Z33" s="31"/>
      <c r="AA33" s="29" t="s">
        <v>557</v>
      </c>
      <c r="AB33" s="29"/>
      <c r="AC33" s="24">
        <v>304</v>
      </c>
      <c r="AD33" s="26">
        <v>680</v>
      </c>
      <c r="AE33" s="27"/>
      <c r="AF33" s="26">
        <f t="shared" si="14"/>
        <v>680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 t="s">
        <v>541</v>
      </c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>
        <v>250060</v>
      </c>
      <c r="X34" s="24">
        <v>304</v>
      </c>
      <c r="Y34" s="31">
        <v>0.8</v>
      </c>
      <c r="Z34" s="31"/>
      <c r="AA34" s="29" t="s">
        <v>558</v>
      </c>
      <c r="AB34" s="29"/>
      <c r="AC34" s="24">
        <v>304</v>
      </c>
      <c r="AD34" s="26">
        <v>680</v>
      </c>
      <c r="AE34" s="27"/>
      <c r="AF34" s="26">
        <f t="shared" si="14"/>
        <v>680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3950</v>
      </c>
      <c r="I35" s="27">
        <f>SUM(I29:I34)</f>
        <v>0</v>
      </c>
      <c r="J35" s="26">
        <f>SUM(J29:J34)</f>
        <v>3950</v>
      </c>
      <c r="L35" s="34"/>
      <c r="M35" s="34"/>
      <c r="N35" s="34"/>
      <c r="O35" s="34"/>
      <c r="P35" s="35"/>
      <c r="Q35" s="35"/>
      <c r="R35" s="36"/>
      <c r="S35" s="26">
        <f>SUM(S29:S34)</f>
        <v>2720</v>
      </c>
      <c r="T35" s="27">
        <f>SUM(T29:T34)</f>
        <v>0</v>
      </c>
      <c r="U35" s="26">
        <f>SUM(U29:U34)</f>
        <v>2720</v>
      </c>
      <c r="W35" s="34"/>
      <c r="X35" s="34"/>
      <c r="Y35" s="34"/>
      <c r="Z35" s="34"/>
      <c r="AA35" s="35"/>
      <c r="AB35" s="35"/>
      <c r="AC35" s="36"/>
      <c r="AD35" s="26">
        <f>SUM(AD29:AD34)</f>
        <v>4080</v>
      </c>
      <c r="AE35" s="27">
        <f>SUM(AE29:AE34)</f>
        <v>0</v>
      </c>
      <c r="AF35" s="26">
        <f>SUM(AF29:AF34)</f>
        <v>4080</v>
      </c>
      <c r="AH35" s="34"/>
      <c r="AI35" s="34"/>
      <c r="AJ35" s="34"/>
      <c r="AK35" s="34"/>
      <c r="AL35" s="35"/>
      <c r="AM35" s="35"/>
      <c r="AN35" s="36"/>
      <c r="AO35" s="26">
        <f>SUM(AO29:AO34)</f>
        <v>3200</v>
      </c>
      <c r="AP35" s="27">
        <f>SUM(AP29:AP34)</f>
        <v>0</v>
      </c>
      <c r="AQ35" s="26">
        <f>SUM(AQ29:AQ34)</f>
        <v>3200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/>
      <c r="B40" s="24"/>
      <c r="C40" s="31"/>
      <c r="D40" s="31"/>
      <c r="E40" s="29"/>
      <c r="F40" s="29"/>
      <c r="G40" s="24"/>
      <c r="H40" s="26"/>
      <c r="I40" s="27"/>
      <c r="J40" s="26">
        <f>H40-I40</f>
        <v>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33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29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topLeftCell="A14" zoomScale="70" zoomScaleNormal="70" workbookViewId="0">
      <selection activeCell="A19" sqref="A19"/>
    </sheetView>
  </sheetViews>
  <sheetFormatPr defaultRowHeight="14.4" x14ac:dyDescent="0.3"/>
  <cols>
    <col min="1" max="1" width="8.5546875" style="64" customWidth="1"/>
    <col min="2" max="2" width="7.5546875" style="64" customWidth="1"/>
    <col min="3" max="3" width="10.5546875" style="64" customWidth="1"/>
    <col min="4" max="4" width="9.5546875" style="64" customWidth="1"/>
    <col min="5" max="5" width="60.5546875" style="64" customWidth="1"/>
    <col min="6" max="6" width="0.77734375" style="64" customWidth="1"/>
    <col min="7" max="10" width="8.21875" style="64" customWidth="1"/>
    <col min="11" max="11" width="1.77734375" customWidth="1"/>
    <col min="12" max="12" width="8.5546875" style="64" customWidth="1"/>
    <col min="13" max="13" width="7.5546875" style="64" customWidth="1"/>
    <col min="14" max="14" width="10.5546875" style="64" customWidth="1"/>
    <col min="15" max="15" width="9.5546875" style="64" customWidth="1"/>
    <col min="16" max="16" width="60.5546875" style="64" customWidth="1"/>
    <col min="17" max="17" width="0.77734375" style="64" customWidth="1"/>
    <col min="18" max="21" width="8.21875" style="64" customWidth="1"/>
    <col min="22" max="22" width="1.77734375" customWidth="1"/>
    <col min="23" max="23" width="8.5546875" style="64" customWidth="1"/>
    <col min="24" max="24" width="7.5546875" style="64" customWidth="1"/>
    <col min="25" max="25" width="10.5546875" style="64" customWidth="1"/>
    <col min="26" max="26" width="9.5546875" style="64" customWidth="1"/>
    <col min="27" max="27" width="60.5546875" style="64" customWidth="1"/>
    <col min="28" max="28" width="0.77734375" style="64" customWidth="1"/>
    <col min="29" max="32" width="8.21875" style="64" customWidth="1"/>
    <col min="33" max="33" width="1.77734375" customWidth="1"/>
    <col min="34" max="34" width="8.5546875" style="64" customWidth="1"/>
    <col min="35" max="35" width="7.5546875" style="64" customWidth="1"/>
    <col min="36" max="36" width="9" style="64" bestFit="1" customWidth="1"/>
    <col min="37" max="37" width="9.5546875" style="64" customWidth="1"/>
    <col min="38" max="38" width="60.5546875" style="64" customWidth="1"/>
    <col min="39" max="39" width="0.77734375" style="64" customWidth="1"/>
    <col min="40" max="43" width="8.21875" style="64" customWidth="1"/>
    <col min="44" max="44" width="1.77734375" customWidth="1"/>
    <col min="45" max="45" width="8.5546875" style="64" customWidth="1"/>
    <col min="46" max="46" width="7.5546875" style="64" customWidth="1"/>
    <col min="47" max="47" width="10.5546875" style="64" customWidth="1"/>
    <col min="48" max="48" width="9.5546875" style="64" customWidth="1"/>
    <col min="49" max="49" width="60.5546875" style="64" customWidth="1"/>
    <col min="50" max="50" width="0.77734375" style="64" customWidth="1"/>
    <col min="51" max="54" width="8.21875" style="64" customWidth="1"/>
    <col min="55" max="55" width="1.77734375" customWidth="1"/>
    <col min="56" max="56" width="8.5546875" style="64" customWidth="1"/>
    <col min="57" max="57" width="7.5546875" style="64" customWidth="1"/>
    <col min="58" max="58" width="10.5546875" style="64" customWidth="1"/>
    <col min="59" max="59" width="9.5546875" style="64" customWidth="1"/>
    <col min="60" max="60" width="60.5546875" style="64" customWidth="1"/>
    <col min="61" max="61" width="0.77734375" style="64" customWidth="1"/>
    <col min="62" max="65" width="8.21875" style="64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65"/>
      <c r="F3" s="23"/>
      <c r="G3" s="65"/>
      <c r="P3" s="65"/>
      <c r="Q3" s="23"/>
      <c r="R3" s="65"/>
      <c r="AA3" s="65"/>
      <c r="AB3" s="23"/>
      <c r="AC3" s="85"/>
      <c r="AD3" s="86"/>
      <c r="AE3" s="89"/>
      <c r="AF3" s="90"/>
      <c r="AL3" s="65"/>
      <c r="AM3" s="23"/>
      <c r="AN3" s="65"/>
      <c r="AW3" s="65"/>
      <c r="AX3" s="23"/>
      <c r="AY3" s="65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33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250082</v>
      </c>
      <c r="B18" s="24">
        <v>430</v>
      </c>
      <c r="C18" s="31">
        <v>0.6</v>
      </c>
      <c r="D18" s="31" t="s">
        <v>25</v>
      </c>
      <c r="E18" s="29" t="s">
        <v>531</v>
      </c>
      <c r="F18" s="29"/>
      <c r="G18" s="24">
        <v>430</v>
      </c>
      <c r="H18" s="26">
        <v>1000</v>
      </c>
      <c r="I18" s="27"/>
      <c r="J18" s="26">
        <f>H18-I18</f>
        <v>1000</v>
      </c>
      <c r="L18" s="24">
        <v>250081</v>
      </c>
      <c r="M18" s="24">
        <v>304</v>
      </c>
      <c r="N18" s="31">
        <v>0.6</v>
      </c>
      <c r="O18" s="31" t="s">
        <v>25</v>
      </c>
      <c r="P18" s="29" t="s">
        <v>537</v>
      </c>
      <c r="Q18" s="29"/>
      <c r="R18" s="24">
        <v>430</v>
      </c>
      <c r="S18" s="26">
        <v>500</v>
      </c>
      <c r="T18" s="27"/>
      <c r="U18" s="26">
        <f>S18-T18</f>
        <v>500</v>
      </c>
      <c r="W18" s="24">
        <v>250084</v>
      </c>
      <c r="X18" s="24">
        <v>304</v>
      </c>
      <c r="Y18" s="31">
        <v>0.7</v>
      </c>
      <c r="Z18" s="31" t="s">
        <v>25</v>
      </c>
      <c r="AA18" s="29" t="s">
        <v>490</v>
      </c>
      <c r="AB18" s="29"/>
      <c r="AC18" s="24">
        <v>304</v>
      </c>
      <c r="AD18" s="26">
        <v>730</v>
      </c>
      <c r="AE18" s="27"/>
      <c r="AF18" s="26">
        <f>AD18-AE18</f>
        <v>730</v>
      </c>
      <c r="AH18" s="24">
        <v>250060</v>
      </c>
      <c r="AI18" s="24">
        <v>304</v>
      </c>
      <c r="AJ18" s="31">
        <v>0.8</v>
      </c>
      <c r="AK18" s="31" t="s">
        <v>41</v>
      </c>
      <c r="AL18" s="29" t="s">
        <v>545</v>
      </c>
      <c r="AM18" s="33"/>
      <c r="AN18" s="24">
        <v>304</v>
      </c>
      <c r="AO18" s="26">
        <v>680</v>
      </c>
      <c r="AP18" s="27"/>
      <c r="AQ18" s="26">
        <f>AO18-AP18</f>
        <v>680</v>
      </c>
      <c r="AS18" s="24">
        <v>250060</v>
      </c>
      <c r="AT18" s="24">
        <v>304</v>
      </c>
      <c r="AU18" s="31">
        <v>0.8</v>
      </c>
      <c r="AV18" s="31" t="s">
        <v>41</v>
      </c>
      <c r="AW18" s="29" t="s">
        <v>551</v>
      </c>
      <c r="AX18" s="33"/>
      <c r="AY18" s="44">
        <v>304</v>
      </c>
      <c r="AZ18" s="26">
        <v>680</v>
      </c>
      <c r="BA18" s="27"/>
      <c r="BB18" s="26">
        <f>AZ18-BA18</f>
        <v>680</v>
      </c>
      <c r="BD18" s="24">
        <v>250059</v>
      </c>
      <c r="BE18" s="24">
        <v>304</v>
      </c>
      <c r="BF18" s="31">
        <v>0.7</v>
      </c>
      <c r="BG18" s="31" t="s">
        <v>41</v>
      </c>
      <c r="BH18" s="29" t="s">
        <v>559</v>
      </c>
      <c r="BI18" s="29"/>
      <c r="BJ18" s="24">
        <v>304</v>
      </c>
      <c r="BK18" s="26">
        <v>680</v>
      </c>
      <c r="BL18" s="27"/>
      <c r="BM18" s="26">
        <f>BK18-BL18</f>
        <v>680</v>
      </c>
    </row>
    <row r="19" spans="1:65" s="30" customFormat="1" ht="20.100000000000001" customHeight="1" x14ac:dyDescent="0.3">
      <c r="A19" s="24">
        <v>250082</v>
      </c>
      <c r="B19" s="24">
        <v>430</v>
      </c>
      <c r="C19" s="31">
        <v>0.6</v>
      </c>
      <c r="D19" s="31" t="s">
        <v>25</v>
      </c>
      <c r="E19" s="29" t="s">
        <v>532</v>
      </c>
      <c r="F19" s="29"/>
      <c r="G19" s="24">
        <v>430</v>
      </c>
      <c r="H19" s="26">
        <v>1000</v>
      </c>
      <c r="I19" s="27"/>
      <c r="J19" s="26">
        <f t="shared" ref="J19:J23" si="6">H19-I19</f>
        <v>1000</v>
      </c>
      <c r="L19" s="24">
        <v>250081</v>
      </c>
      <c r="M19" s="24">
        <v>304</v>
      </c>
      <c r="N19" s="31">
        <v>0.6</v>
      </c>
      <c r="O19" s="31" t="s">
        <v>25</v>
      </c>
      <c r="P19" s="29" t="s">
        <v>538</v>
      </c>
      <c r="Q19" s="29"/>
      <c r="R19" s="24">
        <v>430</v>
      </c>
      <c r="S19" s="26">
        <v>500</v>
      </c>
      <c r="T19" s="27"/>
      <c r="U19" s="26">
        <f t="shared" ref="U19:U23" si="7">S19-T19</f>
        <v>500</v>
      </c>
      <c r="W19" s="24">
        <v>250084</v>
      </c>
      <c r="X19" s="24">
        <v>304</v>
      </c>
      <c r="Y19" s="31">
        <v>0.7</v>
      </c>
      <c r="Z19" s="31" t="s">
        <v>25</v>
      </c>
      <c r="AA19" s="29" t="s">
        <v>491</v>
      </c>
      <c r="AB19" s="29"/>
      <c r="AC19" s="24">
        <v>304</v>
      </c>
      <c r="AD19" s="26">
        <v>730</v>
      </c>
      <c r="AE19" s="27"/>
      <c r="AF19" s="26">
        <f t="shared" ref="AF19:AF23" si="8">AD19-AE19</f>
        <v>730</v>
      </c>
      <c r="AH19" s="24">
        <v>250060</v>
      </c>
      <c r="AI19" s="24">
        <v>304</v>
      </c>
      <c r="AJ19" s="31">
        <v>0.8</v>
      </c>
      <c r="AK19" s="31" t="s">
        <v>41</v>
      </c>
      <c r="AL19" s="29" t="s">
        <v>546</v>
      </c>
      <c r="AM19" s="29"/>
      <c r="AN19" s="24">
        <v>304</v>
      </c>
      <c r="AO19" s="26">
        <v>680</v>
      </c>
      <c r="AP19" s="27"/>
      <c r="AQ19" s="26">
        <f t="shared" ref="AQ19:AQ23" si="9">AO19-AP19</f>
        <v>680</v>
      </c>
      <c r="AS19" s="24">
        <v>250060</v>
      </c>
      <c r="AT19" s="24">
        <v>304</v>
      </c>
      <c r="AU19" s="31">
        <v>0.8</v>
      </c>
      <c r="AV19" s="31" t="s">
        <v>41</v>
      </c>
      <c r="AW19" s="29" t="s">
        <v>552</v>
      </c>
      <c r="AX19" s="29"/>
      <c r="AY19" s="44">
        <v>304</v>
      </c>
      <c r="AZ19" s="26">
        <v>680</v>
      </c>
      <c r="BA19" s="27"/>
      <c r="BB19" s="26">
        <f t="shared" ref="BB19:BB23" si="10">AZ19-BA19</f>
        <v>680</v>
      </c>
      <c r="BD19" s="24">
        <v>250059</v>
      </c>
      <c r="BE19" s="24">
        <v>304</v>
      </c>
      <c r="BF19" s="31">
        <v>0.7</v>
      </c>
      <c r="BG19" s="31" t="s">
        <v>41</v>
      </c>
      <c r="BH19" s="29" t="s">
        <v>560</v>
      </c>
      <c r="BI19" s="29"/>
      <c r="BJ19" s="24">
        <v>304</v>
      </c>
      <c r="BK19" s="26">
        <v>680</v>
      </c>
      <c r="BL19" s="27"/>
      <c r="BM19" s="26">
        <f t="shared" ref="BM19:BM23" si="11">BK19-BL19</f>
        <v>680</v>
      </c>
    </row>
    <row r="20" spans="1:65" s="30" customFormat="1" ht="20.100000000000001" customHeight="1" x14ac:dyDescent="0.3">
      <c r="A20" s="24">
        <v>250082</v>
      </c>
      <c r="B20" s="24">
        <v>430</v>
      </c>
      <c r="C20" s="31">
        <v>0.6</v>
      </c>
      <c r="D20" s="31" t="s">
        <v>25</v>
      </c>
      <c r="E20" s="29" t="s">
        <v>533</v>
      </c>
      <c r="F20" s="29"/>
      <c r="G20" s="24">
        <v>430</v>
      </c>
      <c r="H20" s="26">
        <v>1000</v>
      </c>
      <c r="I20" s="27"/>
      <c r="J20" s="26">
        <f t="shared" si="6"/>
        <v>1000</v>
      </c>
      <c r="L20" s="24">
        <v>250081</v>
      </c>
      <c r="M20" s="24">
        <v>304</v>
      </c>
      <c r="N20" s="31">
        <v>0.6</v>
      </c>
      <c r="O20" s="31" t="s">
        <v>25</v>
      </c>
      <c r="P20" s="29" t="s">
        <v>540</v>
      </c>
      <c r="Q20" s="29"/>
      <c r="R20" s="24">
        <v>430</v>
      </c>
      <c r="S20" s="26">
        <v>400</v>
      </c>
      <c r="T20" s="27"/>
      <c r="U20" s="26">
        <f t="shared" si="7"/>
        <v>400</v>
      </c>
      <c r="W20" s="24">
        <v>250084</v>
      </c>
      <c r="X20" s="24">
        <v>304</v>
      </c>
      <c r="Y20" s="31">
        <v>0.7</v>
      </c>
      <c r="Z20" s="31" t="s">
        <v>25</v>
      </c>
      <c r="AA20" s="29" t="s">
        <v>492</v>
      </c>
      <c r="AB20" s="29"/>
      <c r="AC20" s="24">
        <v>304</v>
      </c>
      <c r="AD20" s="26">
        <v>730</v>
      </c>
      <c r="AE20" s="27"/>
      <c r="AF20" s="26">
        <f t="shared" si="8"/>
        <v>730</v>
      </c>
      <c r="AH20" s="24">
        <v>250060</v>
      </c>
      <c r="AI20" s="24">
        <v>304</v>
      </c>
      <c r="AJ20" s="31">
        <v>0.8</v>
      </c>
      <c r="AK20" s="31" t="s">
        <v>41</v>
      </c>
      <c r="AL20" s="29" t="s">
        <v>547</v>
      </c>
      <c r="AM20" s="29"/>
      <c r="AN20" s="24">
        <v>304</v>
      </c>
      <c r="AO20" s="26">
        <v>680</v>
      </c>
      <c r="AP20" s="27"/>
      <c r="AQ20" s="26">
        <f t="shared" si="9"/>
        <v>680</v>
      </c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D20" s="24">
        <v>250059</v>
      </c>
      <c r="BE20" s="24">
        <v>304</v>
      </c>
      <c r="BF20" s="31">
        <v>0.7</v>
      </c>
      <c r="BG20" s="31" t="s">
        <v>41</v>
      </c>
      <c r="BH20" s="29" t="s">
        <v>561</v>
      </c>
      <c r="BI20" s="29"/>
      <c r="BJ20" s="24">
        <v>304</v>
      </c>
      <c r="BK20" s="26">
        <v>680</v>
      </c>
      <c r="BL20" s="27"/>
      <c r="BM20" s="26">
        <f t="shared" si="11"/>
        <v>680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27"/>
      <c r="J21" s="26">
        <f t="shared" si="6"/>
        <v>0</v>
      </c>
      <c r="L21" s="24">
        <v>250081</v>
      </c>
      <c r="M21" s="24">
        <v>304</v>
      </c>
      <c r="N21" s="31">
        <v>0.6</v>
      </c>
      <c r="O21" s="31" t="s">
        <v>25</v>
      </c>
      <c r="P21" s="29" t="s">
        <v>539</v>
      </c>
      <c r="Q21" s="29"/>
      <c r="R21" s="24">
        <v>430</v>
      </c>
      <c r="S21" s="26">
        <v>600</v>
      </c>
      <c r="T21" s="27"/>
      <c r="U21" s="26">
        <f t="shared" si="7"/>
        <v>600</v>
      </c>
      <c r="W21" s="24">
        <v>250084</v>
      </c>
      <c r="X21" s="24">
        <v>304</v>
      </c>
      <c r="Y21" s="31">
        <v>0.7</v>
      </c>
      <c r="Z21" s="31" t="s">
        <v>25</v>
      </c>
      <c r="AA21" s="29" t="s">
        <v>493</v>
      </c>
      <c r="AB21" s="29"/>
      <c r="AC21" s="24">
        <v>304</v>
      </c>
      <c r="AD21" s="26">
        <v>730</v>
      </c>
      <c r="AE21" s="27"/>
      <c r="AF21" s="26">
        <f t="shared" si="8"/>
        <v>730</v>
      </c>
      <c r="AH21" s="24">
        <v>250060</v>
      </c>
      <c r="AI21" s="24">
        <v>304</v>
      </c>
      <c r="AJ21" s="31">
        <v>0.8</v>
      </c>
      <c r="AK21" s="31" t="s">
        <v>41</v>
      </c>
      <c r="AL21" s="29" t="s">
        <v>548</v>
      </c>
      <c r="AM21" s="29"/>
      <c r="AN21" s="24">
        <v>304</v>
      </c>
      <c r="AO21" s="26">
        <v>680</v>
      </c>
      <c r="AP21" s="27"/>
      <c r="AQ21" s="26">
        <f t="shared" si="9"/>
        <v>680</v>
      </c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D21" s="24">
        <v>250059</v>
      </c>
      <c r="BE21" s="24">
        <v>304</v>
      </c>
      <c r="BF21" s="31">
        <v>0.7</v>
      </c>
      <c r="BG21" s="31" t="s">
        <v>41</v>
      </c>
      <c r="BH21" s="29" t="s">
        <v>562</v>
      </c>
      <c r="BI21" s="29"/>
      <c r="BJ21" s="24">
        <v>304</v>
      </c>
      <c r="BK21" s="26">
        <v>680</v>
      </c>
      <c r="BL21" s="27"/>
      <c r="BM21" s="26">
        <f t="shared" si="11"/>
        <v>680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>
        <v>250084</v>
      </c>
      <c r="X22" s="24">
        <v>304</v>
      </c>
      <c r="Y22" s="31">
        <v>0.7</v>
      </c>
      <c r="Z22" s="31" t="s">
        <v>25</v>
      </c>
      <c r="AA22" s="29" t="s">
        <v>542</v>
      </c>
      <c r="AB22" s="29"/>
      <c r="AC22" s="24">
        <v>304</v>
      </c>
      <c r="AD22" s="26">
        <v>730</v>
      </c>
      <c r="AE22" s="27"/>
      <c r="AF22" s="26">
        <f t="shared" si="8"/>
        <v>730</v>
      </c>
      <c r="AH22" s="24">
        <v>250060</v>
      </c>
      <c r="AI22" s="24">
        <v>304</v>
      </c>
      <c r="AJ22" s="31">
        <v>0.8</v>
      </c>
      <c r="AK22" s="31" t="s">
        <v>41</v>
      </c>
      <c r="AL22" s="29" t="s">
        <v>549</v>
      </c>
      <c r="AM22" s="29"/>
      <c r="AN22" s="24">
        <v>304</v>
      </c>
      <c r="AO22" s="26">
        <v>680</v>
      </c>
      <c r="AP22" s="27"/>
      <c r="AQ22" s="26">
        <f t="shared" si="9"/>
        <v>680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>
        <v>250059</v>
      </c>
      <c r="BE22" s="24">
        <v>304</v>
      </c>
      <c r="BF22" s="31">
        <v>0.7</v>
      </c>
      <c r="BG22" s="31" t="s">
        <v>41</v>
      </c>
      <c r="BH22" s="29" t="s">
        <v>563</v>
      </c>
      <c r="BI22" s="29"/>
      <c r="BJ22" s="24">
        <v>304</v>
      </c>
      <c r="BK22" s="26">
        <v>680</v>
      </c>
      <c r="BL22" s="27"/>
      <c r="BM22" s="26">
        <f t="shared" si="11"/>
        <v>680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 t="s">
        <v>541</v>
      </c>
      <c r="AB23" s="33"/>
      <c r="AC23" s="24"/>
      <c r="AD23" s="26"/>
      <c r="AE23" s="27"/>
      <c r="AF23" s="26">
        <f t="shared" si="8"/>
        <v>0</v>
      </c>
      <c r="AH23" s="24">
        <v>250060</v>
      </c>
      <c r="AI23" s="24">
        <v>304</v>
      </c>
      <c r="AJ23" s="31">
        <v>0.8</v>
      </c>
      <c r="AK23" s="31" t="s">
        <v>41</v>
      </c>
      <c r="AL23" s="29" t="s">
        <v>550</v>
      </c>
      <c r="AM23" s="33"/>
      <c r="AN23" s="24">
        <v>304</v>
      </c>
      <c r="AO23" s="26">
        <v>680</v>
      </c>
      <c r="AP23" s="27"/>
      <c r="AQ23" s="26">
        <f t="shared" si="9"/>
        <v>680</v>
      </c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D23" s="24">
        <v>250059</v>
      </c>
      <c r="BE23" s="24">
        <v>304</v>
      </c>
      <c r="BF23" s="31">
        <v>0.7</v>
      </c>
      <c r="BG23" s="31" t="s">
        <v>41</v>
      </c>
      <c r="BH23" s="29" t="s">
        <v>564</v>
      </c>
      <c r="BI23" s="29"/>
      <c r="BJ23" s="24">
        <v>304</v>
      </c>
      <c r="BK23" s="26">
        <v>680</v>
      </c>
      <c r="BL23" s="27"/>
      <c r="BM23" s="26">
        <f t="shared" si="11"/>
        <v>680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3000</v>
      </c>
      <c r="I24" s="27">
        <f>SUM(I18:I23)</f>
        <v>0</v>
      </c>
      <c r="J24" s="26">
        <f>SUM(J18:J23)</f>
        <v>3000</v>
      </c>
      <c r="L24" s="34"/>
      <c r="M24" s="34"/>
      <c r="N24" s="34"/>
      <c r="O24" s="34"/>
      <c r="P24" s="35"/>
      <c r="Q24" s="35"/>
      <c r="R24" s="36"/>
      <c r="S24" s="26">
        <f>SUM(S18:S23)</f>
        <v>2000</v>
      </c>
      <c r="T24" s="27">
        <f>SUM(T18:T23)</f>
        <v>0</v>
      </c>
      <c r="U24" s="26">
        <f>SUM(U18:U23)</f>
        <v>2000</v>
      </c>
      <c r="W24" s="34"/>
      <c r="X24" s="34"/>
      <c r="Y24" s="34"/>
      <c r="Z24" s="34"/>
      <c r="AA24" s="35"/>
      <c r="AB24" s="35"/>
      <c r="AC24" s="36"/>
      <c r="AD24" s="26">
        <f>SUM(AD18:AD23)</f>
        <v>3650</v>
      </c>
      <c r="AE24" s="27">
        <f>SUM(AE18:AE23)</f>
        <v>0</v>
      </c>
      <c r="AF24" s="26">
        <f>SUM(AF18:AF23)</f>
        <v>3650</v>
      </c>
      <c r="AH24" s="34"/>
      <c r="AI24" s="34"/>
      <c r="AJ24" s="34"/>
      <c r="AK24" s="34"/>
      <c r="AL24" s="35"/>
      <c r="AM24" s="35"/>
      <c r="AN24" s="36"/>
      <c r="AO24" s="26">
        <f>SUM(AO18:AO23)</f>
        <v>4080</v>
      </c>
      <c r="AP24" s="27">
        <f>SUM(AP18:AP23)</f>
        <v>0</v>
      </c>
      <c r="AQ24" s="26">
        <f>SUM(AQ18:AQ23)</f>
        <v>4080</v>
      </c>
      <c r="AS24" s="34"/>
      <c r="AT24" s="34"/>
      <c r="AU24" s="34"/>
      <c r="AV24" s="34"/>
      <c r="AW24" s="29" t="s">
        <v>376</v>
      </c>
      <c r="AX24" s="35"/>
      <c r="AY24" s="36"/>
      <c r="AZ24" s="26">
        <f>SUM(AZ18:AZ23)</f>
        <v>1360</v>
      </c>
      <c r="BA24" s="27">
        <f>SUM(BA18:BA23)</f>
        <v>0</v>
      </c>
      <c r="BB24" s="26">
        <f>SUM(BB18:BB23)</f>
        <v>1360</v>
      </c>
      <c r="BD24" s="34"/>
      <c r="BE24" s="34"/>
      <c r="BF24" s="34"/>
      <c r="BG24" s="34"/>
      <c r="BH24" s="35" t="s">
        <v>565</v>
      </c>
      <c r="BI24" s="35"/>
      <c r="BJ24" s="36"/>
      <c r="BK24" s="26">
        <f>SUM(BK18:BK23)</f>
        <v>4080</v>
      </c>
      <c r="BL24" s="27">
        <f>SUM(BL18:BL23)</f>
        <v>0</v>
      </c>
      <c r="BM24" s="26">
        <f>SUM(BM18:BM23)</f>
        <v>4080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/>
      <c r="B40" s="24"/>
      <c r="C40" s="31"/>
      <c r="D40" s="31"/>
      <c r="E40" s="29"/>
      <c r="F40" s="29"/>
      <c r="G40" s="24"/>
      <c r="H40" s="26"/>
      <c r="I40" s="27"/>
      <c r="J40" s="26">
        <f>H40-I40</f>
        <v>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A5:J5"/>
    <mergeCell ref="L5:U5"/>
    <mergeCell ref="W5:AF5"/>
    <mergeCell ref="AH5:AQ5"/>
    <mergeCell ref="AS5:BB5"/>
    <mergeCell ref="BD5:BM5"/>
    <mergeCell ref="AC2:AD3"/>
    <mergeCell ref="AE2:AF3"/>
    <mergeCell ref="BJ2:BK3"/>
    <mergeCell ref="BL2:BM3"/>
    <mergeCell ref="BD4:BM4"/>
    <mergeCell ref="A4:J4"/>
    <mergeCell ref="L4:U4"/>
    <mergeCell ref="W4:AF4"/>
    <mergeCell ref="AH4:AQ4"/>
    <mergeCell ref="AS4:BB4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M79"/>
  <sheetViews>
    <sheetView zoomScale="70" zoomScaleNormal="70" workbookViewId="0">
      <selection activeCell="A7" sqref="A7:H7"/>
    </sheetView>
  </sheetViews>
  <sheetFormatPr defaultRowHeight="14.4" x14ac:dyDescent="0.3"/>
  <cols>
    <col min="1" max="1" width="8.5546875" style="66" customWidth="1"/>
    <col min="2" max="2" width="7.5546875" style="66" customWidth="1"/>
    <col min="3" max="3" width="10.5546875" style="66" customWidth="1"/>
    <col min="4" max="4" width="9.5546875" style="66" customWidth="1"/>
    <col min="5" max="5" width="60.5546875" style="66" customWidth="1"/>
    <col min="6" max="6" width="0.77734375" style="66" customWidth="1"/>
    <col min="7" max="10" width="8.21875" style="66" customWidth="1"/>
    <col min="11" max="11" width="1.77734375" customWidth="1"/>
    <col min="12" max="12" width="8.5546875" style="66" customWidth="1"/>
    <col min="13" max="13" width="7.5546875" style="66" customWidth="1"/>
    <col min="14" max="14" width="10.5546875" style="66" customWidth="1"/>
    <col min="15" max="15" width="9.5546875" style="66" customWidth="1"/>
    <col min="16" max="16" width="60.5546875" style="66" customWidth="1"/>
    <col min="17" max="17" width="0.77734375" style="66" customWidth="1"/>
    <col min="18" max="21" width="8.21875" style="66" customWidth="1"/>
    <col min="22" max="22" width="1.77734375" customWidth="1"/>
    <col min="23" max="23" width="8.5546875" style="66" customWidth="1"/>
    <col min="24" max="24" width="7.5546875" style="66" customWidth="1"/>
    <col min="25" max="25" width="10.5546875" style="66" customWidth="1"/>
    <col min="26" max="26" width="9.5546875" style="66" customWidth="1"/>
    <col min="27" max="27" width="60.5546875" style="66" customWidth="1"/>
    <col min="28" max="28" width="0.77734375" style="66" customWidth="1"/>
    <col min="29" max="32" width="8.21875" style="66" customWidth="1"/>
    <col min="33" max="33" width="1.77734375" customWidth="1"/>
    <col min="34" max="34" width="8.5546875" style="66" customWidth="1"/>
    <col min="35" max="35" width="7.5546875" style="66" customWidth="1"/>
    <col min="36" max="36" width="9" style="66" bestFit="1" customWidth="1"/>
    <col min="37" max="37" width="9.5546875" style="66" customWidth="1"/>
    <col min="38" max="38" width="60.5546875" style="66" customWidth="1"/>
    <col min="39" max="39" width="0.77734375" style="66" customWidth="1"/>
    <col min="40" max="43" width="8.21875" style="66" customWidth="1"/>
    <col min="44" max="44" width="1.77734375" customWidth="1"/>
    <col min="45" max="45" width="8.5546875" style="66" customWidth="1"/>
    <col min="46" max="46" width="7.5546875" style="66" customWidth="1"/>
    <col min="47" max="47" width="10.5546875" style="66" customWidth="1"/>
    <col min="48" max="48" width="9.5546875" style="66" customWidth="1"/>
    <col min="49" max="49" width="60.5546875" style="66" customWidth="1"/>
    <col min="50" max="50" width="0.77734375" style="66" customWidth="1"/>
    <col min="51" max="54" width="8.21875" style="66" customWidth="1"/>
    <col min="55" max="55" width="1.77734375" customWidth="1"/>
    <col min="56" max="56" width="8.5546875" style="66" customWidth="1"/>
    <col min="57" max="57" width="7.5546875" style="66" customWidth="1"/>
    <col min="58" max="58" width="10.5546875" style="66" customWidth="1"/>
    <col min="59" max="59" width="9.5546875" style="66" customWidth="1"/>
    <col min="60" max="60" width="60.5546875" style="66" customWidth="1"/>
    <col min="61" max="61" width="0.77734375" style="66" customWidth="1"/>
    <col min="62" max="65" width="8.21875" style="66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67"/>
      <c r="F3" s="23"/>
      <c r="G3" s="67"/>
      <c r="P3" s="67"/>
      <c r="Q3" s="23"/>
      <c r="R3" s="67"/>
      <c r="AA3" s="67"/>
      <c r="AB3" s="23"/>
      <c r="AC3" s="85"/>
      <c r="AD3" s="86"/>
      <c r="AE3" s="89"/>
      <c r="AF3" s="90"/>
      <c r="AL3" s="67"/>
      <c r="AM3" s="23"/>
      <c r="AN3" s="67"/>
      <c r="AW3" s="67"/>
      <c r="AX3" s="23"/>
      <c r="AY3" s="67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>
        <v>255079</v>
      </c>
      <c r="B7" s="24">
        <v>304</v>
      </c>
      <c r="C7" s="31">
        <v>0.7</v>
      </c>
      <c r="D7" s="31" t="s">
        <v>25</v>
      </c>
      <c r="E7" s="29" t="s">
        <v>484</v>
      </c>
      <c r="F7" s="32"/>
      <c r="G7" s="24">
        <v>304</v>
      </c>
      <c r="H7" s="26">
        <v>1350</v>
      </c>
      <c r="I7" s="27"/>
      <c r="J7" s="26">
        <f>H7-I7</f>
        <v>1350</v>
      </c>
      <c r="L7" s="24">
        <v>151025</v>
      </c>
      <c r="M7" s="24">
        <v>304</v>
      </c>
      <c r="N7" s="31">
        <v>0.7</v>
      </c>
      <c r="O7" s="31" t="s">
        <v>41</v>
      </c>
      <c r="P7" s="29" t="s">
        <v>499</v>
      </c>
      <c r="Q7" s="29"/>
      <c r="R7" s="24">
        <v>430</v>
      </c>
      <c r="S7" s="26">
        <v>1000</v>
      </c>
      <c r="T7" s="27"/>
      <c r="U7" s="26">
        <f>S7-T7</f>
        <v>1000</v>
      </c>
      <c r="W7" s="24" t="s">
        <v>503</v>
      </c>
      <c r="X7" s="24">
        <v>304</v>
      </c>
      <c r="Y7" s="31">
        <v>0.7</v>
      </c>
      <c r="Z7" s="31" t="s">
        <v>41</v>
      </c>
      <c r="AA7" s="29" t="s">
        <v>504</v>
      </c>
      <c r="AB7" s="29"/>
      <c r="AC7" s="24">
        <v>430</v>
      </c>
      <c r="AD7" s="26">
        <v>1000</v>
      </c>
      <c r="AE7" s="27"/>
      <c r="AF7" s="26">
        <f>AD7-AE7</f>
        <v>1000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33"/>
      <c r="G8" s="24"/>
      <c r="H8" s="26"/>
      <c r="I8" s="27"/>
      <c r="J8" s="26">
        <f t="shared" ref="J8:J12" si="0">H8-I8</f>
        <v>0</v>
      </c>
      <c r="L8" s="24">
        <v>151025</v>
      </c>
      <c r="M8" s="24">
        <v>304</v>
      </c>
      <c r="N8" s="31">
        <v>0.7</v>
      </c>
      <c r="O8" s="31" t="s">
        <v>41</v>
      </c>
      <c r="P8" s="29" t="s">
        <v>500</v>
      </c>
      <c r="Q8" s="29"/>
      <c r="R8" s="24">
        <v>430</v>
      </c>
      <c r="S8" s="26">
        <v>1000</v>
      </c>
      <c r="T8" s="27"/>
      <c r="U8" s="26">
        <f t="shared" ref="U8:U12" si="1">S8-T8</f>
        <v>1000</v>
      </c>
      <c r="W8" s="24" t="s">
        <v>503</v>
      </c>
      <c r="X8" s="24">
        <v>304</v>
      </c>
      <c r="Y8" s="31">
        <v>0.7</v>
      </c>
      <c r="Z8" s="31" t="s">
        <v>41</v>
      </c>
      <c r="AA8" s="29" t="s">
        <v>505</v>
      </c>
      <c r="AB8" s="33"/>
      <c r="AC8" s="24">
        <v>430</v>
      </c>
      <c r="AD8" s="26">
        <v>1000</v>
      </c>
      <c r="AE8" s="27"/>
      <c r="AF8" s="26">
        <f t="shared" ref="AF8:AF12" si="2">AD8-AE8</f>
        <v>1000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>
        <v>151025</v>
      </c>
      <c r="M9" s="24">
        <v>304</v>
      </c>
      <c r="N9" s="31">
        <v>0.7</v>
      </c>
      <c r="O9" s="31" t="s">
        <v>41</v>
      </c>
      <c r="P9" s="29" t="s">
        <v>501</v>
      </c>
      <c r="Q9" s="29"/>
      <c r="R9" s="24">
        <v>430</v>
      </c>
      <c r="S9" s="26">
        <v>1000</v>
      </c>
      <c r="T9" s="27"/>
      <c r="U9" s="26">
        <f t="shared" si="1"/>
        <v>1000</v>
      </c>
      <c r="W9" s="24" t="s">
        <v>503</v>
      </c>
      <c r="X9" s="24">
        <v>304</v>
      </c>
      <c r="Y9" s="31">
        <v>0.7</v>
      </c>
      <c r="Z9" s="31" t="s">
        <v>41</v>
      </c>
      <c r="AA9" s="29" t="s">
        <v>499</v>
      </c>
      <c r="AB9" s="29"/>
      <c r="AC9" s="24">
        <v>430</v>
      </c>
      <c r="AD9" s="26">
        <v>1000</v>
      </c>
      <c r="AE9" s="27"/>
      <c r="AF9" s="26">
        <f t="shared" si="2"/>
        <v>1000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>
        <v>151025</v>
      </c>
      <c r="M10" s="24">
        <v>304</v>
      </c>
      <c r="N10" s="31">
        <v>0.7</v>
      </c>
      <c r="O10" s="31" t="s">
        <v>41</v>
      </c>
      <c r="P10" s="29" t="s">
        <v>502</v>
      </c>
      <c r="Q10" s="29"/>
      <c r="R10" s="24">
        <v>430</v>
      </c>
      <c r="S10" s="26">
        <v>1000</v>
      </c>
      <c r="T10" s="27"/>
      <c r="U10" s="26">
        <f t="shared" si="1"/>
        <v>1000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1350</v>
      </c>
      <c r="I13" s="27">
        <f>SUM(I7:I12)</f>
        <v>0</v>
      </c>
      <c r="J13" s="26">
        <f>SUM(J7:J12)</f>
        <v>1350</v>
      </c>
      <c r="L13" s="34"/>
      <c r="M13" s="34"/>
      <c r="N13" s="34"/>
      <c r="O13" s="34"/>
      <c r="P13" s="35"/>
      <c r="Q13" s="35"/>
      <c r="R13" s="36"/>
      <c r="S13" s="26">
        <f>SUM(S7:S12)</f>
        <v>4000</v>
      </c>
      <c r="T13" s="27">
        <f>SUM(T7:T12)</f>
        <v>0</v>
      </c>
      <c r="U13" s="26">
        <f>SUM(U7:U12)</f>
        <v>4000</v>
      </c>
      <c r="W13" s="34"/>
      <c r="X13" s="34"/>
      <c r="Y13" s="34"/>
      <c r="Z13" s="34"/>
      <c r="AA13" s="35"/>
      <c r="AB13" s="35"/>
      <c r="AC13" s="36"/>
      <c r="AD13" s="26">
        <f>SUM(AD7:AD12)</f>
        <v>3000</v>
      </c>
      <c r="AE13" s="27">
        <f>SUM(AE7:AE12)</f>
        <v>0</v>
      </c>
      <c r="AF13" s="26">
        <f>SUM(AF7:AF12)</f>
        <v>3000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>
        <v>250058</v>
      </c>
      <c r="B18" s="24">
        <v>304</v>
      </c>
      <c r="C18" s="31">
        <v>0.7</v>
      </c>
      <c r="D18" s="31" t="s">
        <v>25</v>
      </c>
      <c r="E18" s="29" t="s">
        <v>573</v>
      </c>
      <c r="F18" s="29"/>
      <c r="G18" s="24">
        <v>304</v>
      </c>
      <c r="H18" s="26">
        <v>800</v>
      </c>
      <c r="I18" s="27"/>
      <c r="J18" s="26">
        <f>H18-I18</f>
        <v>800</v>
      </c>
      <c r="L18" s="24" t="s">
        <v>602</v>
      </c>
      <c r="M18" s="24">
        <v>304</v>
      </c>
      <c r="N18" s="31">
        <v>0.6</v>
      </c>
      <c r="O18" s="31" t="s">
        <v>41</v>
      </c>
      <c r="P18" s="29" t="s">
        <v>605</v>
      </c>
      <c r="Q18" s="29"/>
      <c r="R18" s="24">
        <v>430</v>
      </c>
      <c r="S18" s="26">
        <v>2000</v>
      </c>
      <c r="T18" s="27"/>
      <c r="U18" s="26">
        <f>S18-T18</f>
        <v>2000</v>
      </c>
      <c r="W18" s="24">
        <v>250078</v>
      </c>
      <c r="X18" s="24">
        <v>304</v>
      </c>
      <c r="Y18" s="31">
        <v>0.7</v>
      </c>
      <c r="Z18" s="31" t="s">
        <v>25</v>
      </c>
      <c r="AA18" s="29" t="s">
        <v>606</v>
      </c>
      <c r="AB18" s="29"/>
      <c r="AC18" s="24">
        <v>304</v>
      </c>
      <c r="AD18" s="26">
        <v>790</v>
      </c>
      <c r="AE18" s="27"/>
      <c r="AF18" s="26">
        <f>AD18-AE18</f>
        <v>790</v>
      </c>
      <c r="AH18" s="24">
        <v>250079</v>
      </c>
      <c r="AI18" s="24">
        <v>304</v>
      </c>
      <c r="AJ18" s="31">
        <v>0.7</v>
      </c>
      <c r="AK18" s="31" t="s">
        <v>41</v>
      </c>
      <c r="AL18" s="29" t="s">
        <v>619</v>
      </c>
      <c r="AM18" s="33"/>
      <c r="AN18" s="24">
        <v>304</v>
      </c>
      <c r="AO18" s="26">
        <v>1000</v>
      </c>
      <c r="AP18" s="27"/>
      <c r="AQ18" s="26">
        <f>AO18-AP18</f>
        <v>1000</v>
      </c>
      <c r="AS18" s="24" t="s">
        <v>620</v>
      </c>
      <c r="AT18" s="24">
        <v>304</v>
      </c>
      <c r="AU18" s="31">
        <v>0.6</v>
      </c>
      <c r="AV18" s="31" t="s">
        <v>27</v>
      </c>
      <c r="AW18" s="29" t="s">
        <v>621</v>
      </c>
      <c r="AX18" s="29"/>
      <c r="AY18" s="24">
        <v>430</v>
      </c>
      <c r="AZ18" s="26">
        <v>1200</v>
      </c>
      <c r="BA18" s="27"/>
      <c r="BB18" s="26">
        <f>AZ18-BA18</f>
        <v>1200</v>
      </c>
      <c r="BD18" s="24">
        <v>221025</v>
      </c>
      <c r="BE18" s="24">
        <v>304</v>
      </c>
      <c r="BF18" s="31">
        <v>0.6</v>
      </c>
      <c r="BG18" s="31" t="s">
        <v>27</v>
      </c>
      <c r="BH18" s="29" t="s">
        <v>624</v>
      </c>
      <c r="BI18" s="29"/>
      <c r="BJ18" s="24">
        <v>430</v>
      </c>
      <c r="BK18" s="26">
        <v>2000</v>
      </c>
      <c r="BL18" s="27"/>
      <c r="BM18" s="26">
        <f>BK18-BL18</f>
        <v>2000</v>
      </c>
    </row>
    <row r="19" spans="1:65" s="30" customFormat="1" ht="20.100000000000001" customHeight="1" x14ac:dyDescent="0.3">
      <c r="A19" s="24">
        <v>250058</v>
      </c>
      <c r="B19" s="24">
        <v>304</v>
      </c>
      <c r="C19" s="31">
        <v>0.7</v>
      </c>
      <c r="D19" s="31" t="s">
        <v>25</v>
      </c>
      <c r="E19" s="29" t="s">
        <v>574</v>
      </c>
      <c r="F19" s="29"/>
      <c r="G19" s="24">
        <v>304</v>
      </c>
      <c r="H19" s="26">
        <v>800</v>
      </c>
      <c r="I19" s="27"/>
      <c r="J19" s="26">
        <f t="shared" ref="J19:J23" si="6">H19-I19</f>
        <v>800</v>
      </c>
      <c r="L19" s="24" t="s">
        <v>602</v>
      </c>
      <c r="M19" s="24">
        <v>304</v>
      </c>
      <c r="N19" s="31">
        <v>0.6</v>
      </c>
      <c r="O19" s="31" t="s">
        <v>41</v>
      </c>
      <c r="P19" s="29" t="s">
        <v>603</v>
      </c>
      <c r="Q19" s="29"/>
      <c r="R19" s="24">
        <v>430</v>
      </c>
      <c r="S19" s="26">
        <v>2000</v>
      </c>
      <c r="T19" s="27"/>
      <c r="U19" s="26">
        <f t="shared" ref="U19:U23" si="7">S19-T19</f>
        <v>2000</v>
      </c>
      <c r="W19" s="24">
        <v>250078</v>
      </c>
      <c r="X19" s="24">
        <v>304</v>
      </c>
      <c r="Y19" s="31">
        <v>0.7</v>
      </c>
      <c r="Z19" s="31" t="s">
        <v>25</v>
      </c>
      <c r="AA19" s="29" t="s">
        <v>607</v>
      </c>
      <c r="AB19" s="29"/>
      <c r="AC19" s="24">
        <v>304</v>
      </c>
      <c r="AD19" s="26">
        <v>790</v>
      </c>
      <c r="AE19" s="27"/>
      <c r="AF19" s="26">
        <f t="shared" ref="AF19:AF23" si="8">AD19-AE19</f>
        <v>790</v>
      </c>
      <c r="AH19" s="24"/>
      <c r="AI19" s="24"/>
      <c r="AJ19" s="31"/>
      <c r="AK19" s="31"/>
      <c r="AL19" s="29"/>
      <c r="AM19" s="29"/>
      <c r="AN19" s="24"/>
      <c r="AO19" s="26"/>
      <c r="AP19" s="27"/>
      <c r="AQ19" s="26">
        <f t="shared" ref="AQ19:AQ23" si="9">AO19-AP19</f>
        <v>0</v>
      </c>
      <c r="AS19" s="24" t="s">
        <v>620</v>
      </c>
      <c r="AT19" s="24">
        <v>304</v>
      </c>
      <c r="AU19" s="31">
        <v>0.6</v>
      </c>
      <c r="AV19" s="31" t="s">
        <v>27</v>
      </c>
      <c r="AW19" s="29" t="s">
        <v>622</v>
      </c>
      <c r="AX19" s="29"/>
      <c r="AY19" s="24">
        <v>430</v>
      </c>
      <c r="AZ19" s="26">
        <v>1200</v>
      </c>
      <c r="BA19" s="27"/>
      <c r="BB19" s="26">
        <f t="shared" ref="BB19:BB23" si="10">AZ19-BA19</f>
        <v>1200</v>
      </c>
      <c r="BD19" s="24">
        <v>221025</v>
      </c>
      <c r="BE19" s="24">
        <v>304</v>
      </c>
      <c r="BF19" s="31">
        <v>0.6</v>
      </c>
      <c r="BG19" s="31" t="s">
        <v>27</v>
      </c>
      <c r="BH19" s="29" t="s">
        <v>625</v>
      </c>
      <c r="BI19" s="29"/>
      <c r="BJ19" s="24">
        <v>430</v>
      </c>
      <c r="BK19" s="26">
        <v>2000</v>
      </c>
      <c r="BL19" s="27"/>
      <c r="BM19" s="26">
        <f t="shared" ref="BM19:BM23" si="11">BK19-BL19</f>
        <v>2000</v>
      </c>
    </row>
    <row r="20" spans="1:65" s="30" customFormat="1" ht="20.100000000000001" customHeight="1" x14ac:dyDescent="0.3">
      <c r="A20" s="24">
        <v>250058</v>
      </c>
      <c r="B20" s="24">
        <v>304</v>
      </c>
      <c r="C20" s="31">
        <v>0.7</v>
      </c>
      <c r="D20" s="31" t="s">
        <v>25</v>
      </c>
      <c r="E20" s="29" t="s">
        <v>575</v>
      </c>
      <c r="F20" s="29"/>
      <c r="G20" s="24">
        <v>304</v>
      </c>
      <c r="H20" s="26">
        <v>800</v>
      </c>
      <c r="I20" s="27"/>
      <c r="J20" s="26">
        <f t="shared" si="6"/>
        <v>800</v>
      </c>
      <c r="L20" s="24" t="s">
        <v>602</v>
      </c>
      <c r="M20" s="24">
        <v>304</v>
      </c>
      <c r="N20" s="31">
        <v>0.6</v>
      </c>
      <c r="O20" s="31" t="s">
        <v>41</v>
      </c>
      <c r="P20" s="29" t="s">
        <v>604</v>
      </c>
      <c r="Q20" s="29"/>
      <c r="R20" s="24">
        <v>430</v>
      </c>
      <c r="S20" s="26">
        <v>2000</v>
      </c>
      <c r="T20" s="27"/>
      <c r="U20" s="26">
        <f t="shared" si="7"/>
        <v>2000</v>
      </c>
      <c r="W20" s="24">
        <v>250078</v>
      </c>
      <c r="X20" s="24">
        <v>304</v>
      </c>
      <c r="Y20" s="31">
        <v>0.7</v>
      </c>
      <c r="Z20" s="31" t="s">
        <v>25</v>
      </c>
      <c r="AA20" s="29" t="s">
        <v>608</v>
      </c>
      <c r="AB20" s="29"/>
      <c r="AC20" s="24">
        <v>304</v>
      </c>
      <c r="AD20" s="26">
        <v>790</v>
      </c>
      <c r="AE20" s="27"/>
      <c r="AF20" s="26">
        <f t="shared" si="8"/>
        <v>790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24" t="s">
        <v>620</v>
      </c>
      <c r="AT20" s="24">
        <v>304</v>
      </c>
      <c r="AU20" s="31">
        <v>0.6</v>
      </c>
      <c r="AV20" s="31" t="s">
        <v>27</v>
      </c>
      <c r="AW20" s="29" t="s">
        <v>623</v>
      </c>
      <c r="AX20" s="29"/>
      <c r="AY20" s="24">
        <v>430</v>
      </c>
      <c r="AZ20" s="26">
        <v>1200</v>
      </c>
      <c r="BA20" s="27"/>
      <c r="BB20" s="26">
        <f t="shared" si="10"/>
        <v>1200</v>
      </c>
      <c r="BD20" s="24">
        <v>221025</v>
      </c>
      <c r="BE20" s="24">
        <v>304</v>
      </c>
      <c r="BF20" s="31">
        <v>0.6</v>
      </c>
      <c r="BG20" s="31" t="s">
        <v>27</v>
      </c>
      <c r="BH20" s="29" t="s">
        <v>626</v>
      </c>
      <c r="BI20" s="29"/>
      <c r="BJ20" s="24">
        <v>430</v>
      </c>
      <c r="BK20" s="26">
        <v>2000</v>
      </c>
      <c r="BL20" s="27"/>
      <c r="BM20" s="26">
        <f t="shared" si="11"/>
        <v>2000</v>
      </c>
    </row>
    <row r="21" spans="1:65" s="30" customFormat="1" ht="20.100000000000001" customHeight="1" x14ac:dyDescent="0.3">
      <c r="A21" s="24">
        <v>250058</v>
      </c>
      <c r="B21" s="24">
        <v>304</v>
      </c>
      <c r="C21" s="31">
        <v>0.7</v>
      </c>
      <c r="D21" s="31" t="s">
        <v>25</v>
      </c>
      <c r="E21" s="29" t="s">
        <v>576</v>
      </c>
      <c r="F21" s="29"/>
      <c r="G21" s="24">
        <v>304</v>
      </c>
      <c r="H21" s="26">
        <v>800</v>
      </c>
      <c r="I21" s="27"/>
      <c r="J21" s="26">
        <f t="shared" si="6"/>
        <v>800</v>
      </c>
      <c r="L21" s="24"/>
      <c r="M21" s="24"/>
      <c r="N21" s="31"/>
      <c r="O21" s="31"/>
      <c r="P21" s="29"/>
      <c r="Q21" s="29"/>
      <c r="R21" s="24"/>
      <c r="S21" s="26"/>
      <c r="T21" s="27"/>
      <c r="U21" s="26">
        <f t="shared" si="7"/>
        <v>0</v>
      </c>
      <c r="W21" s="24">
        <v>250078</v>
      </c>
      <c r="X21" s="24">
        <v>304</v>
      </c>
      <c r="Y21" s="31">
        <v>0.7</v>
      </c>
      <c r="Z21" s="31" t="s">
        <v>25</v>
      </c>
      <c r="AA21" s="29" t="s">
        <v>609</v>
      </c>
      <c r="AB21" s="29"/>
      <c r="AC21" s="24">
        <v>304</v>
      </c>
      <c r="AD21" s="26">
        <v>790</v>
      </c>
      <c r="AE21" s="27"/>
      <c r="AF21" s="26">
        <f t="shared" si="8"/>
        <v>790</v>
      </c>
      <c r="AH21" s="24"/>
      <c r="AI21" s="24"/>
      <c r="AJ21" s="31"/>
      <c r="AK21" s="31"/>
      <c r="AL21" s="29"/>
      <c r="AM21" s="29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D21" s="24">
        <v>221025</v>
      </c>
      <c r="BE21" s="24">
        <v>304</v>
      </c>
      <c r="BF21" s="31">
        <v>0.6</v>
      </c>
      <c r="BG21" s="31" t="s">
        <v>27</v>
      </c>
      <c r="BH21" s="29" t="s">
        <v>627</v>
      </c>
      <c r="BI21" s="29"/>
      <c r="BJ21" s="24">
        <v>430</v>
      </c>
      <c r="BK21" s="26">
        <v>2000</v>
      </c>
      <c r="BL21" s="27"/>
      <c r="BM21" s="26">
        <f t="shared" si="11"/>
        <v>2000</v>
      </c>
    </row>
    <row r="22" spans="1:65" s="30" customFormat="1" ht="20.100000000000001" customHeight="1" x14ac:dyDescent="0.3">
      <c r="A22" s="24">
        <v>250058</v>
      </c>
      <c r="B22" s="24">
        <v>304</v>
      </c>
      <c r="C22" s="31">
        <v>0.7</v>
      </c>
      <c r="D22" s="31" t="s">
        <v>25</v>
      </c>
      <c r="E22" s="29" t="s">
        <v>577</v>
      </c>
      <c r="F22" s="29"/>
      <c r="G22" s="24">
        <v>304</v>
      </c>
      <c r="H22" s="26">
        <v>800</v>
      </c>
      <c r="I22" s="27"/>
      <c r="J22" s="26">
        <f t="shared" si="6"/>
        <v>800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>
        <v>250078</v>
      </c>
      <c r="X22" s="24">
        <v>304</v>
      </c>
      <c r="Y22" s="31">
        <v>0.7</v>
      </c>
      <c r="Z22" s="31" t="s">
        <v>25</v>
      </c>
      <c r="AA22" s="29" t="s">
        <v>610</v>
      </c>
      <c r="AB22" s="29"/>
      <c r="AC22" s="24">
        <v>304</v>
      </c>
      <c r="AD22" s="26">
        <v>790</v>
      </c>
      <c r="AE22" s="27"/>
      <c r="AF22" s="26">
        <f t="shared" si="8"/>
        <v>790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33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>
        <v>250058</v>
      </c>
      <c r="B23" s="24">
        <v>304</v>
      </c>
      <c r="C23" s="31">
        <v>0.7</v>
      </c>
      <c r="D23" s="31" t="s">
        <v>25</v>
      </c>
      <c r="E23" s="29" t="s">
        <v>578</v>
      </c>
      <c r="F23" s="29"/>
      <c r="G23" s="24">
        <v>304</v>
      </c>
      <c r="H23" s="26">
        <v>800</v>
      </c>
      <c r="I23" s="27"/>
      <c r="J23" s="26">
        <f t="shared" si="6"/>
        <v>800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 t="s">
        <v>541</v>
      </c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4800</v>
      </c>
      <c r="I24" s="27">
        <f>SUM(I18:I23)</f>
        <v>0</v>
      </c>
      <c r="J24" s="26">
        <f>SUM(J18:J23)</f>
        <v>4800</v>
      </c>
      <c r="L24" s="34"/>
      <c r="M24" s="34"/>
      <c r="N24" s="34"/>
      <c r="O24" s="34"/>
      <c r="P24" s="35"/>
      <c r="Q24" s="35"/>
      <c r="R24" s="36"/>
      <c r="S24" s="26">
        <f>SUM(S18:S23)</f>
        <v>6000</v>
      </c>
      <c r="T24" s="27">
        <f>SUM(T18:T23)</f>
        <v>0</v>
      </c>
      <c r="U24" s="26">
        <f>SUM(U18:U23)</f>
        <v>6000</v>
      </c>
      <c r="W24" s="34"/>
      <c r="X24" s="34"/>
      <c r="Y24" s="34"/>
      <c r="Z24" s="34"/>
      <c r="AA24" s="35"/>
      <c r="AB24" s="35"/>
      <c r="AC24" s="36"/>
      <c r="AD24" s="26">
        <f>SUM(AD18:AD23)</f>
        <v>3950</v>
      </c>
      <c r="AE24" s="27">
        <f>SUM(AE18:AE23)</f>
        <v>0</v>
      </c>
      <c r="AF24" s="26">
        <f>SUM(AF18:AF23)</f>
        <v>3950</v>
      </c>
      <c r="AH24" s="34"/>
      <c r="AI24" s="34"/>
      <c r="AJ24" s="34"/>
      <c r="AK24" s="34"/>
      <c r="AL24" s="35"/>
      <c r="AM24" s="35"/>
      <c r="AN24" s="36"/>
      <c r="AO24" s="26">
        <f>SUM(AO18:AO23)</f>
        <v>1000</v>
      </c>
      <c r="AP24" s="27">
        <f>SUM(AP18:AP23)</f>
        <v>0</v>
      </c>
      <c r="AQ24" s="26">
        <f>SUM(AQ18:AQ23)</f>
        <v>1000</v>
      </c>
      <c r="AS24" s="34"/>
      <c r="AT24" s="34"/>
      <c r="AU24" s="34"/>
      <c r="AV24" s="34"/>
      <c r="AW24" s="29"/>
      <c r="AX24" s="35"/>
      <c r="AY24" s="36"/>
      <c r="AZ24" s="26">
        <f>SUM(AZ18:AZ23)</f>
        <v>3600</v>
      </c>
      <c r="BA24" s="27">
        <f>SUM(BA18:BA23)</f>
        <v>0</v>
      </c>
      <c r="BB24" s="26">
        <f>SUM(BB18:BB23)</f>
        <v>3600</v>
      </c>
      <c r="BD24" s="34"/>
      <c r="BE24" s="34"/>
      <c r="BF24" s="34"/>
      <c r="BG24" s="34"/>
      <c r="BH24" s="35"/>
      <c r="BI24" s="35"/>
      <c r="BJ24" s="36"/>
      <c r="BK24" s="26">
        <f>SUM(BK18:BK23)</f>
        <v>8000</v>
      </c>
      <c r="BL24" s="27">
        <f>SUM(BL18:BL23)</f>
        <v>0</v>
      </c>
      <c r="BM24" s="26">
        <f>SUM(BM18:BM23)</f>
        <v>8000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>
        <v>250079</v>
      </c>
      <c r="B40" s="24">
        <v>304</v>
      </c>
      <c r="C40" s="31">
        <v>0.7</v>
      </c>
      <c r="D40" s="31" t="s">
        <v>25</v>
      </c>
      <c r="E40" s="29" t="s">
        <v>616</v>
      </c>
      <c r="F40" s="29"/>
      <c r="G40" s="24">
        <v>304</v>
      </c>
      <c r="H40" s="26">
        <v>1350</v>
      </c>
      <c r="I40" s="27"/>
      <c r="J40" s="26">
        <f>H40-I40</f>
        <v>1350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>
        <v>250079</v>
      </c>
      <c r="B41" s="24">
        <v>304</v>
      </c>
      <c r="C41" s="31">
        <v>0.7</v>
      </c>
      <c r="D41" s="31" t="s">
        <v>25</v>
      </c>
      <c r="E41" s="29" t="s">
        <v>617</v>
      </c>
      <c r="F41" s="29"/>
      <c r="G41" s="24">
        <v>304</v>
      </c>
      <c r="H41" s="26">
        <v>1350</v>
      </c>
      <c r="I41" s="27"/>
      <c r="J41" s="26">
        <f t="shared" ref="J41:J45" si="18">H41-I41</f>
        <v>1350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>
        <v>250079</v>
      </c>
      <c r="B42" s="24">
        <v>304</v>
      </c>
      <c r="C42" s="31">
        <v>0.7</v>
      </c>
      <c r="D42" s="31" t="s">
        <v>25</v>
      </c>
      <c r="E42" s="29" t="s">
        <v>618</v>
      </c>
      <c r="F42" s="29"/>
      <c r="G42" s="24">
        <v>304</v>
      </c>
      <c r="H42" s="26">
        <v>1000</v>
      </c>
      <c r="I42" s="27"/>
      <c r="J42" s="26">
        <f t="shared" si="18"/>
        <v>1000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3700</v>
      </c>
      <c r="I46" s="27">
        <f>SUM(I40:I45)</f>
        <v>0</v>
      </c>
      <c r="J46" s="26">
        <f>SUM(J40:J45)</f>
        <v>3700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 t="s">
        <v>632</v>
      </c>
      <c r="B73" s="24">
        <v>430</v>
      </c>
      <c r="C73" s="31">
        <v>0.5</v>
      </c>
      <c r="D73" s="31" t="s">
        <v>27</v>
      </c>
      <c r="E73" s="29" t="s">
        <v>633</v>
      </c>
      <c r="F73" s="29"/>
      <c r="G73" s="24"/>
      <c r="H73" s="26">
        <v>1000</v>
      </c>
      <c r="I73" s="27"/>
      <c r="J73" s="26">
        <f>H73-I73</f>
        <v>1000</v>
      </c>
      <c r="L73" s="24">
        <v>311125</v>
      </c>
      <c r="M73" s="24">
        <v>430</v>
      </c>
      <c r="N73" s="31">
        <v>0.5</v>
      </c>
      <c r="O73" s="31" t="s">
        <v>27</v>
      </c>
      <c r="P73" s="29" t="s">
        <v>638</v>
      </c>
      <c r="Q73" s="29"/>
      <c r="R73" s="24"/>
      <c r="S73" s="26">
        <v>1000</v>
      </c>
      <c r="T73" s="27"/>
      <c r="U73" s="26">
        <f>S73-T73</f>
        <v>1000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 t="s">
        <v>632</v>
      </c>
      <c r="B74" s="24">
        <v>430</v>
      </c>
      <c r="C74" s="31">
        <v>0.5</v>
      </c>
      <c r="D74" s="31" t="s">
        <v>27</v>
      </c>
      <c r="E74" s="29" t="s">
        <v>634</v>
      </c>
      <c r="F74" s="29"/>
      <c r="G74" s="24"/>
      <c r="H74" s="26">
        <v>1000</v>
      </c>
      <c r="I74" s="27"/>
      <c r="J74" s="26">
        <f t="shared" ref="J74:J78" si="36">H74-I74</f>
        <v>1000</v>
      </c>
      <c r="L74" s="24">
        <v>311125</v>
      </c>
      <c r="M74" s="24">
        <v>430</v>
      </c>
      <c r="N74" s="31">
        <v>0.5</v>
      </c>
      <c r="O74" s="31" t="s">
        <v>27</v>
      </c>
      <c r="P74" s="29" t="s">
        <v>639</v>
      </c>
      <c r="Q74" s="29"/>
      <c r="R74" s="24"/>
      <c r="S74" s="26">
        <v>1000</v>
      </c>
      <c r="T74" s="27"/>
      <c r="U74" s="26">
        <f t="shared" ref="U74:U78" si="37">S74-T74</f>
        <v>1000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 t="s">
        <v>632</v>
      </c>
      <c r="B75" s="24">
        <v>430</v>
      </c>
      <c r="C75" s="31">
        <v>0.6</v>
      </c>
      <c r="D75" s="31" t="s">
        <v>27</v>
      </c>
      <c r="E75" s="29" t="s">
        <v>635</v>
      </c>
      <c r="F75" s="29"/>
      <c r="G75" s="24"/>
      <c r="H75" s="26">
        <v>1000</v>
      </c>
      <c r="I75" s="27"/>
      <c r="J75" s="26">
        <f t="shared" si="36"/>
        <v>1000</v>
      </c>
      <c r="L75" s="24">
        <v>311125</v>
      </c>
      <c r="M75" s="24">
        <v>430</v>
      </c>
      <c r="N75" s="31">
        <v>0.6</v>
      </c>
      <c r="O75" s="31" t="s">
        <v>27</v>
      </c>
      <c r="P75" s="29" t="s">
        <v>640</v>
      </c>
      <c r="Q75" s="29"/>
      <c r="R75" s="24"/>
      <c r="S75" s="26">
        <v>1000</v>
      </c>
      <c r="T75" s="27"/>
      <c r="U75" s="26">
        <f t="shared" si="37"/>
        <v>1000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 t="s">
        <v>632</v>
      </c>
      <c r="B76" s="24">
        <v>430</v>
      </c>
      <c r="C76" s="31">
        <v>0.6</v>
      </c>
      <c r="D76" s="31" t="s">
        <v>27</v>
      </c>
      <c r="E76" s="29" t="s">
        <v>636</v>
      </c>
      <c r="F76" s="29"/>
      <c r="G76" s="24"/>
      <c r="H76" s="26">
        <v>1000</v>
      </c>
      <c r="I76" s="27"/>
      <c r="J76" s="26">
        <f t="shared" si="36"/>
        <v>1000</v>
      </c>
      <c r="L76" s="24">
        <v>311125</v>
      </c>
      <c r="M76" s="24">
        <v>430</v>
      </c>
      <c r="N76" s="31">
        <v>0.6</v>
      </c>
      <c r="O76" s="31" t="s">
        <v>27</v>
      </c>
      <c r="P76" s="29" t="s">
        <v>641</v>
      </c>
      <c r="Q76" s="29"/>
      <c r="R76" s="24"/>
      <c r="S76" s="26">
        <v>1000</v>
      </c>
      <c r="T76" s="27"/>
      <c r="U76" s="26">
        <f t="shared" si="37"/>
        <v>1000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 t="s">
        <v>632</v>
      </c>
      <c r="B77" s="24">
        <v>430</v>
      </c>
      <c r="C77" s="31">
        <v>0.5</v>
      </c>
      <c r="D77" s="31" t="s">
        <v>27</v>
      </c>
      <c r="E77" s="29" t="s">
        <v>637</v>
      </c>
      <c r="F77" s="29"/>
      <c r="G77" s="24"/>
      <c r="H77" s="26">
        <v>1000</v>
      </c>
      <c r="I77" s="27"/>
      <c r="J77" s="26">
        <f t="shared" si="36"/>
        <v>1000</v>
      </c>
      <c r="L77" s="24">
        <v>311125</v>
      </c>
      <c r="M77" s="24">
        <v>430</v>
      </c>
      <c r="N77" s="31">
        <v>0.5</v>
      </c>
      <c r="O77" s="31" t="s">
        <v>27</v>
      </c>
      <c r="P77" s="29" t="s">
        <v>642</v>
      </c>
      <c r="Q77" s="29"/>
      <c r="R77" s="24"/>
      <c r="S77" s="26">
        <v>1000</v>
      </c>
      <c r="T77" s="27"/>
      <c r="U77" s="26">
        <f t="shared" si="37"/>
        <v>1000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31"/>
      <c r="D78" s="31"/>
      <c r="E78" s="29"/>
      <c r="F78" s="29"/>
      <c r="G78" s="24"/>
      <c r="H78" s="26"/>
      <c r="I78" s="27"/>
      <c r="J78" s="26">
        <f t="shared" si="36"/>
        <v>0</v>
      </c>
      <c r="L78" s="24"/>
      <c r="M78" s="24"/>
      <c r="N78" s="31"/>
      <c r="O78" s="31"/>
      <c r="P78" s="29"/>
      <c r="Q78" s="29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5000</v>
      </c>
      <c r="I79" s="27">
        <f>SUM(I73:I78)</f>
        <v>0</v>
      </c>
      <c r="J79" s="26">
        <f>SUM(J73:J78)</f>
        <v>5000</v>
      </c>
      <c r="L79" s="34"/>
      <c r="M79" s="34"/>
      <c r="N79" s="34"/>
      <c r="O79" s="34"/>
      <c r="P79" s="35"/>
      <c r="Q79" s="35"/>
      <c r="R79" s="36"/>
      <c r="S79" s="26">
        <f>SUM(S73:S78)</f>
        <v>5000</v>
      </c>
      <c r="T79" s="27">
        <f>SUM(T73:T78)</f>
        <v>0</v>
      </c>
      <c r="U79" s="26">
        <f>SUM(U73:U78)</f>
        <v>5000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zoomScale="60" zoomScaleNormal="60" workbookViewId="0">
      <selection activeCell="E23" sqref="E23"/>
    </sheetView>
  </sheetViews>
  <sheetFormatPr defaultRowHeight="14.4" x14ac:dyDescent="0.3"/>
  <cols>
    <col min="1" max="1" width="8.5546875" style="68" customWidth="1"/>
    <col min="2" max="2" width="7.5546875" style="68" customWidth="1"/>
    <col min="3" max="3" width="10.5546875" style="68" customWidth="1"/>
    <col min="4" max="4" width="9.5546875" style="68" customWidth="1"/>
    <col min="5" max="5" width="60.5546875" style="68" customWidth="1"/>
    <col min="6" max="6" width="0.77734375" style="68" customWidth="1"/>
    <col min="7" max="10" width="8.21875" style="68" customWidth="1"/>
    <col min="11" max="11" width="1.77734375" customWidth="1"/>
    <col min="12" max="12" width="8.5546875" style="68" customWidth="1"/>
    <col min="13" max="13" width="7.5546875" style="68" customWidth="1"/>
    <col min="14" max="14" width="10.5546875" style="68" customWidth="1"/>
    <col min="15" max="15" width="9.5546875" style="68" customWidth="1"/>
    <col min="16" max="16" width="60.5546875" style="68" customWidth="1"/>
    <col min="17" max="17" width="0.77734375" style="68" customWidth="1"/>
    <col min="18" max="21" width="8.21875" style="68" customWidth="1"/>
    <col min="22" max="22" width="1.77734375" customWidth="1"/>
    <col min="23" max="23" width="8.5546875" style="68" customWidth="1"/>
    <col min="24" max="24" width="7.5546875" style="68" customWidth="1"/>
    <col min="25" max="25" width="10.5546875" style="68" customWidth="1"/>
    <col min="26" max="26" width="9.5546875" style="68" customWidth="1"/>
    <col min="27" max="27" width="60.5546875" style="68" customWidth="1"/>
    <col min="28" max="28" width="0.77734375" style="68" customWidth="1"/>
    <col min="29" max="32" width="8.21875" style="68" customWidth="1"/>
    <col min="33" max="33" width="1.77734375" customWidth="1"/>
    <col min="34" max="34" width="8.5546875" style="68" customWidth="1"/>
    <col min="35" max="35" width="7.5546875" style="68" customWidth="1"/>
    <col min="36" max="36" width="9" style="68" bestFit="1" customWidth="1"/>
    <col min="37" max="37" width="9.5546875" style="68" customWidth="1"/>
    <col min="38" max="38" width="60.5546875" style="68" customWidth="1"/>
    <col min="39" max="39" width="0.77734375" style="68" customWidth="1"/>
    <col min="40" max="43" width="8.21875" style="68" customWidth="1"/>
    <col min="44" max="44" width="1.77734375" customWidth="1"/>
    <col min="45" max="45" width="8.5546875" style="68" customWidth="1"/>
    <col min="46" max="46" width="7.5546875" style="68" customWidth="1"/>
    <col min="47" max="47" width="10.5546875" style="68" customWidth="1"/>
    <col min="48" max="48" width="9.5546875" style="68" customWidth="1"/>
    <col min="49" max="49" width="60.5546875" style="68" customWidth="1"/>
    <col min="50" max="50" width="0.77734375" style="68" customWidth="1"/>
    <col min="51" max="54" width="8.21875" style="68" customWidth="1"/>
    <col min="55" max="55" width="1.77734375" customWidth="1"/>
    <col min="56" max="56" width="8.5546875" style="68" customWidth="1"/>
    <col min="57" max="57" width="7.5546875" style="68" customWidth="1"/>
    <col min="58" max="58" width="10.5546875" style="68" customWidth="1"/>
    <col min="59" max="59" width="9.5546875" style="68" customWidth="1"/>
    <col min="60" max="60" width="60.5546875" style="68" customWidth="1"/>
    <col min="61" max="61" width="0.77734375" style="68" customWidth="1"/>
    <col min="62" max="65" width="8.21875" style="68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69"/>
      <c r="F3" s="23"/>
      <c r="G3" s="69"/>
      <c r="P3" s="69"/>
      <c r="Q3" s="23"/>
      <c r="R3" s="69"/>
      <c r="AA3" s="69"/>
      <c r="AB3" s="23"/>
      <c r="AC3" s="85"/>
      <c r="AD3" s="86"/>
      <c r="AE3" s="89"/>
      <c r="AF3" s="90"/>
      <c r="AL3" s="69"/>
      <c r="AM3" s="23"/>
      <c r="AN3" s="69"/>
      <c r="AW3" s="69"/>
      <c r="AX3" s="23"/>
      <c r="AY3" s="69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33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 t="s">
        <v>628</v>
      </c>
      <c r="B18" s="24">
        <v>304</v>
      </c>
      <c r="C18" s="31">
        <v>0.7</v>
      </c>
      <c r="D18" s="31" t="s">
        <v>27</v>
      </c>
      <c r="E18" s="29" t="s">
        <v>629</v>
      </c>
      <c r="F18" s="29"/>
      <c r="G18" s="24">
        <v>430</v>
      </c>
      <c r="H18" s="26">
        <v>500</v>
      </c>
      <c r="I18" s="27"/>
      <c r="J18" s="26">
        <f>H18-I18</f>
        <v>500</v>
      </c>
      <c r="L18" s="24"/>
      <c r="M18" s="24"/>
      <c r="N18" s="31"/>
      <c r="O18" s="31"/>
      <c r="P18" s="29"/>
      <c r="Q18" s="29"/>
      <c r="R18" s="24"/>
      <c r="S18" s="26"/>
      <c r="T18" s="27"/>
      <c r="U18" s="26">
        <f>S18-T18</f>
        <v>0</v>
      </c>
      <c r="W18" s="24"/>
      <c r="X18" s="24"/>
      <c r="Y18" s="31"/>
      <c r="Z18" s="31"/>
      <c r="AA18" s="29"/>
      <c r="AB18" s="29"/>
      <c r="AC18" s="24"/>
      <c r="AD18" s="26"/>
      <c r="AE18" s="27"/>
      <c r="AF18" s="26">
        <f>AD18-AE18</f>
        <v>0</v>
      </c>
      <c r="AH18" s="24"/>
      <c r="AI18" s="24"/>
      <c r="AJ18" s="31"/>
      <c r="AK18" s="31"/>
      <c r="AL18" s="29"/>
      <c r="AM18" s="33"/>
      <c r="AN18" s="24"/>
      <c r="AO18" s="26"/>
      <c r="AP18" s="27"/>
      <c r="AQ18" s="26">
        <f>AO18-AP18</f>
        <v>0</v>
      </c>
      <c r="AS18" s="24"/>
      <c r="AT18" s="24"/>
      <c r="AU18" s="31"/>
      <c r="AV18" s="31"/>
      <c r="AW18" s="29"/>
      <c r="AX18" s="29"/>
      <c r="AY18" s="24"/>
      <c r="AZ18" s="26"/>
      <c r="BA18" s="27"/>
      <c r="BB18" s="26">
        <f>AZ18-BA18</f>
        <v>0</v>
      </c>
      <c r="BD18" s="24"/>
      <c r="BE18" s="24"/>
      <c r="BF18" s="31"/>
      <c r="BG18" s="31"/>
      <c r="BH18" s="29"/>
      <c r="BI18" s="29"/>
      <c r="BJ18" s="24"/>
      <c r="BK18" s="26"/>
      <c r="BL18" s="27"/>
      <c r="BM18" s="26">
        <f>BK18-BL18</f>
        <v>0</v>
      </c>
    </row>
    <row r="19" spans="1:65" s="30" customFormat="1" ht="20.100000000000001" customHeight="1" x14ac:dyDescent="0.3">
      <c r="A19" s="24" t="s">
        <v>628</v>
      </c>
      <c r="B19" s="24">
        <v>304</v>
      </c>
      <c r="C19" s="31">
        <v>0.7</v>
      </c>
      <c r="D19" s="31" t="s">
        <v>27</v>
      </c>
      <c r="E19" s="29" t="s">
        <v>630</v>
      </c>
      <c r="F19" s="29"/>
      <c r="G19" s="24">
        <v>430</v>
      </c>
      <c r="H19" s="26">
        <v>500</v>
      </c>
      <c r="I19" s="27"/>
      <c r="J19" s="26">
        <f t="shared" ref="J19:J23" si="6">H19-I19</f>
        <v>500</v>
      </c>
      <c r="L19" s="24"/>
      <c r="M19" s="24"/>
      <c r="N19" s="31"/>
      <c r="O19" s="31"/>
      <c r="P19" s="29"/>
      <c r="Q19" s="29"/>
      <c r="R19" s="24"/>
      <c r="S19" s="26"/>
      <c r="T19" s="27"/>
      <c r="U19" s="26">
        <f t="shared" ref="U19:U23" si="7">S19-T19</f>
        <v>0</v>
      </c>
      <c r="W19" s="24"/>
      <c r="X19" s="24"/>
      <c r="Y19" s="31"/>
      <c r="Z19" s="31"/>
      <c r="AA19" s="29"/>
      <c r="AB19" s="29"/>
      <c r="AC19" s="24"/>
      <c r="AD19" s="26"/>
      <c r="AE19" s="27"/>
      <c r="AF19" s="26">
        <f t="shared" ref="AF19:AF23" si="8">AD19-AE19</f>
        <v>0</v>
      </c>
      <c r="AH19" s="24"/>
      <c r="AI19" s="24"/>
      <c r="AJ19" s="31"/>
      <c r="AK19" s="31"/>
      <c r="AL19" s="29"/>
      <c r="AM19" s="29"/>
      <c r="AN19" s="24"/>
      <c r="AO19" s="26"/>
      <c r="AP19" s="27"/>
      <c r="AQ19" s="26">
        <f t="shared" ref="AQ19:AQ23" si="9">AO19-AP19</f>
        <v>0</v>
      </c>
      <c r="AS19" s="24"/>
      <c r="AT19" s="24"/>
      <c r="AU19" s="31"/>
      <c r="AV19" s="31"/>
      <c r="AW19" s="29"/>
      <c r="AX19" s="29"/>
      <c r="AY19" s="24"/>
      <c r="AZ19" s="26"/>
      <c r="BA19" s="27"/>
      <c r="BB19" s="26">
        <f t="shared" ref="BB19:BB23" si="10">AZ19-BA19</f>
        <v>0</v>
      </c>
      <c r="BD19" s="24"/>
      <c r="BE19" s="24"/>
      <c r="BF19" s="31"/>
      <c r="BG19" s="31"/>
      <c r="BH19" s="29"/>
      <c r="BI19" s="29"/>
      <c r="BJ19" s="24"/>
      <c r="BK19" s="26"/>
      <c r="BL19" s="27"/>
      <c r="BM19" s="26">
        <f t="shared" ref="BM19:BM23" si="11">BK19-BL19</f>
        <v>0</v>
      </c>
    </row>
    <row r="20" spans="1:65" s="30" customFormat="1" ht="20.100000000000001" customHeight="1" x14ac:dyDescent="0.3">
      <c r="A20" s="24" t="s">
        <v>628</v>
      </c>
      <c r="B20" s="24">
        <v>304</v>
      </c>
      <c r="C20" s="31">
        <v>0.7</v>
      </c>
      <c r="D20" s="31" t="s">
        <v>27</v>
      </c>
      <c r="E20" s="29" t="s">
        <v>631</v>
      </c>
      <c r="F20" s="29"/>
      <c r="G20" s="24">
        <v>430</v>
      </c>
      <c r="H20" s="26">
        <v>500</v>
      </c>
      <c r="I20" s="27"/>
      <c r="J20" s="26">
        <f t="shared" si="6"/>
        <v>500</v>
      </c>
      <c r="L20" s="24"/>
      <c r="M20" s="24"/>
      <c r="N20" s="31"/>
      <c r="O20" s="31"/>
      <c r="P20" s="29"/>
      <c r="Q20" s="29"/>
      <c r="R20" s="24"/>
      <c r="S20" s="26"/>
      <c r="T20" s="27"/>
      <c r="U20" s="26">
        <f t="shared" si="7"/>
        <v>0</v>
      </c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27"/>
      <c r="J21" s="26">
        <f t="shared" si="6"/>
        <v>0</v>
      </c>
      <c r="L21" s="24"/>
      <c r="M21" s="24"/>
      <c r="N21" s="31"/>
      <c r="O21" s="31"/>
      <c r="P21" s="29"/>
      <c r="Q21" s="29"/>
      <c r="R21" s="24"/>
      <c r="S21" s="26"/>
      <c r="T21" s="27"/>
      <c r="U21" s="26">
        <f t="shared" si="7"/>
        <v>0</v>
      </c>
      <c r="W21" s="24"/>
      <c r="X21" s="24"/>
      <c r="Y21" s="31"/>
      <c r="Z21" s="31"/>
      <c r="AA21" s="29"/>
      <c r="AB21" s="32"/>
      <c r="AC21" s="24"/>
      <c r="AD21" s="26"/>
      <c r="AE21" s="27"/>
      <c r="AF21" s="26">
        <f t="shared" si="8"/>
        <v>0</v>
      </c>
      <c r="AH21" s="24"/>
      <c r="AI21" s="24"/>
      <c r="AJ21" s="31"/>
      <c r="AK21" s="31"/>
      <c r="AL21" s="29"/>
      <c r="AM21" s="29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D21" s="24"/>
      <c r="BE21" s="24"/>
      <c r="BF21" s="31"/>
      <c r="BG21" s="31"/>
      <c r="BH21" s="29"/>
      <c r="BI21" s="32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33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33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1500</v>
      </c>
      <c r="I24" s="27">
        <f>SUM(I18:I23)</f>
        <v>0</v>
      </c>
      <c r="J24" s="26">
        <f>SUM(J18:J23)</f>
        <v>1500</v>
      </c>
      <c r="L24" s="34"/>
      <c r="M24" s="34"/>
      <c r="N24" s="34"/>
      <c r="O24" s="34"/>
      <c r="P24" s="35"/>
      <c r="Q24" s="35"/>
      <c r="R24" s="36"/>
      <c r="S24" s="26">
        <f>SUM(S18:S23)</f>
        <v>0</v>
      </c>
      <c r="T24" s="27">
        <f>SUM(T18:T23)</f>
        <v>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0</v>
      </c>
      <c r="AE24" s="27">
        <f>SUM(AE18:AE23)</f>
        <v>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0</v>
      </c>
      <c r="AP24" s="27">
        <f>SUM(AP18:AP23)</f>
        <v>0</v>
      </c>
      <c r="AQ24" s="26">
        <f>SUM(AQ18:AQ23)</f>
        <v>0</v>
      </c>
      <c r="AS24" s="34"/>
      <c r="AT24" s="34"/>
      <c r="AU24" s="34"/>
      <c r="AV24" s="34"/>
      <c r="AW24" s="29" t="s">
        <v>376</v>
      </c>
      <c r="AX24" s="35"/>
      <c r="AY24" s="36"/>
      <c r="AZ24" s="26">
        <f>SUM(AZ18:AZ23)</f>
        <v>0</v>
      </c>
      <c r="BA24" s="27">
        <f>SUM(BA18:BA23)</f>
        <v>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0</v>
      </c>
      <c r="BL24" s="27">
        <f>SUM(BL18:BL23)</f>
        <v>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/>
      <c r="B40" s="24"/>
      <c r="C40" s="31"/>
      <c r="D40" s="31"/>
      <c r="E40" s="29"/>
      <c r="F40" s="29"/>
      <c r="G40" s="24"/>
      <c r="H40" s="26"/>
      <c r="I40" s="27"/>
      <c r="J40" s="26">
        <f>H40-I40</f>
        <v>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A5:J5"/>
    <mergeCell ref="L5:U5"/>
    <mergeCell ref="W5:AF5"/>
    <mergeCell ref="AH5:AQ5"/>
    <mergeCell ref="AS5:BB5"/>
    <mergeCell ref="BD5:BM5"/>
    <mergeCell ref="AC2:AD3"/>
    <mergeCell ref="AE2:AF3"/>
    <mergeCell ref="BJ2:BK3"/>
    <mergeCell ref="BL2:BM3"/>
    <mergeCell ref="BD4:BM4"/>
    <mergeCell ref="A4:J4"/>
    <mergeCell ref="L4:U4"/>
    <mergeCell ref="W4:AF4"/>
    <mergeCell ref="AH4:AQ4"/>
    <mergeCell ref="AS4:BB4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M79"/>
  <sheetViews>
    <sheetView zoomScale="60" zoomScaleNormal="60" workbookViewId="0">
      <selection activeCell="L7" sqref="L7:S10"/>
    </sheetView>
  </sheetViews>
  <sheetFormatPr defaultRowHeight="14.4" x14ac:dyDescent="0.3"/>
  <cols>
    <col min="1" max="1" width="8.5546875" style="75" customWidth="1"/>
    <col min="2" max="2" width="7.5546875" style="75" customWidth="1"/>
    <col min="3" max="3" width="10.5546875" style="75" customWidth="1"/>
    <col min="4" max="4" width="9.5546875" style="75" customWidth="1"/>
    <col min="5" max="5" width="60.5546875" style="75" customWidth="1"/>
    <col min="6" max="6" width="0.77734375" style="75" customWidth="1"/>
    <col min="7" max="10" width="8.21875" style="75" customWidth="1"/>
    <col min="11" max="11" width="1.77734375" customWidth="1"/>
    <col min="12" max="12" width="8.5546875" style="75" customWidth="1"/>
    <col min="13" max="13" width="7.5546875" style="75" customWidth="1"/>
    <col min="14" max="14" width="10.5546875" style="75" customWidth="1"/>
    <col min="15" max="15" width="9.5546875" style="75" customWidth="1"/>
    <col min="16" max="16" width="60.5546875" style="75" customWidth="1"/>
    <col min="17" max="17" width="0.77734375" style="75" customWidth="1"/>
    <col min="18" max="21" width="8.21875" style="75" customWidth="1"/>
    <col min="22" max="22" width="1.77734375" customWidth="1"/>
    <col min="23" max="23" width="8.5546875" style="75" customWidth="1"/>
    <col min="24" max="24" width="7.5546875" style="75" customWidth="1"/>
    <col min="25" max="25" width="10.5546875" style="75" customWidth="1"/>
    <col min="26" max="26" width="9.5546875" style="75" customWidth="1"/>
    <col min="27" max="27" width="60.5546875" style="75" customWidth="1"/>
    <col min="28" max="28" width="0.77734375" style="75" customWidth="1"/>
    <col min="29" max="32" width="8.21875" style="75" customWidth="1"/>
    <col min="33" max="33" width="1.77734375" customWidth="1"/>
    <col min="34" max="34" width="8.5546875" style="75" customWidth="1"/>
    <col min="35" max="35" width="7.5546875" style="75" customWidth="1"/>
    <col min="36" max="36" width="9" style="75" bestFit="1" customWidth="1"/>
    <col min="37" max="37" width="9.5546875" style="75" customWidth="1"/>
    <col min="38" max="38" width="60.5546875" style="75" customWidth="1"/>
    <col min="39" max="39" width="0.77734375" style="75" customWidth="1"/>
    <col min="40" max="43" width="8.21875" style="75" customWidth="1"/>
    <col min="44" max="44" width="1.77734375" customWidth="1"/>
    <col min="45" max="45" width="8.5546875" style="75" customWidth="1"/>
    <col min="46" max="46" width="7.5546875" style="75" customWidth="1"/>
    <col min="47" max="47" width="10.5546875" style="75" customWidth="1"/>
    <col min="48" max="48" width="9.5546875" style="75" customWidth="1"/>
    <col min="49" max="49" width="60.5546875" style="75" customWidth="1"/>
    <col min="50" max="50" width="0.77734375" style="75" customWidth="1"/>
    <col min="51" max="54" width="8.21875" style="75" customWidth="1"/>
    <col min="55" max="55" width="1.77734375" customWidth="1"/>
    <col min="56" max="56" width="8.5546875" style="75" customWidth="1"/>
    <col min="57" max="57" width="7.5546875" style="75" customWidth="1"/>
    <col min="58" max="58" width="10.5546875" style="75" customWidth="1"/>
    <col min="59" max="59" width="9.5546875" style="75" customWidth="1"/>
    <col min="60" max="60" width="60.5546875" style="75" customWidth="1"/>
    <col min="61" max="61" width="0.77734375" style="75" customWidth="1"/>
    <col min="62" max="65" width="8.21875" style="75" customWidth="1"/>
  </cols>
  <sheetData>
    <row r="2" spans="1:65" x14ac:dyDescent="0.3">
      <c r="AC2" s="83" t="s">
        <v>472</v>
      </c>
      <c r="AD2" s="84"/>
      <c r="AE2" s="87" t="s">
        <v>473</v>
      </c>
      <c r="AF2" s="88"/>
      <c r="BJ2" s="83" t="s">
        <v>472</v>
      </c>
      <c r="BK2" s="84"/>
      <c r="BL2" s="87" t="s">
        <v>473</v>
      </c>
      <c r="BM2" s="88"/>
    </row>
    <row r="3" spans="1:65" x14ac:dyDescent="0.3">
      <c r="E3" s="76"/>
      <c r="F3" s="23"/>
      <c r="G3" s="76"/>
      <c r="P3" s="76"/>
      <c r="Q3" s="23"/>
      <c r="R3" s="76"/>
      <c r="AA3" s="76"/>
      <c r="AB3" s="23"/>
      <c r="AC3" s="85"/>
      <c r="AD3" s="86"/>
      <c r="AE3" s="89"/>
      <c r="AF3" s="90"/>
      <c r="AL3" s="76"/>
      <c r="AM3" s="23"/>
      <c r="AN3" s="76"/>
      <c r="AW3" s="76"/>
      <c r="AX3" s="23"/>
      <c r="AY3" s="76"/>
      <c r="BI3" s="23"/>
      <c r="BJ3" s="85"/>
      <c r="BK3" s="86"/>
      <c r="BL3" s="89"/>
      <c r="BM3" s="90"/>
    </row>
    <row r="4" spans="1:65" s="28" customFormat="1" ht="15.6" x14ac:dyDescent="0.3">
      <c r="A4" s="82" t="s">
        <v>0</v>
      </c>
      <c r="B4" s="82"/>
      <c r="C4" s="82"/>
      <c r="D4" s="82"/>
      <c r="E4" s="82"/>
      <c r="F4" s="82"/>
      <c r="G4" s="82"/>
      <c r="H4" s="82"/>
      <c r="I4" s="82"/>
      <c r="J4" s="82"/>
      <c r="L4" s="82" t="s">
        <v>1</v>
      </c>
      <c r="M4" s="82"/>
      <c r="N4" s="82"/>
      <c r="O4" s="82"/>
      <c r="P4" s="82"/>
      <c r="Q4" s="82"/>
      <c r="R4" s="82"/>
      <c r="S4" s="82"/>
      <c r="T4" s="82"/>
      <c r="U4" s="82"/>
      <c r="W4" s="82" t="s">
        <v>2</v>
      </c>
      <c r="X4" s="82"/>
      <c r="Y4" s="82"/>
      <c r="Z4" s="82"/>
      <c r="AA4" s="82"/>
      <c r="AB4" s="82"/>
      <c r="AC4" s="82"/>
      <c r="AD4" s="82"/>
      <c r="AE4" s="82"/>
      <c r="AF4" s="82"/>
      <c r="AH4" s="82" t="s">
        <v>3</v>
      </c>
      <c r="AI4" s="82"/>
      <c r="AJ4" s="82"/>
      <c r="AK4" s="82"/>
      <c r="AL4" s="82"/>
      <c r="AM4" s="82"/>
      <c r="AN4" s="82"/>
      <c r="AO4" s="82"/>
      <c r="AP4" s="82"/>
      <c r="AQ4" s="82"/>
      <c r="AS4" s="82" t="s">
        <v>4</v>
      </c>
      <c r="AT4" s="82"/>
      <c r="AU4" s="82"/>
      <c r="AV4" s="82"/>
      <c r="AW4" s="82"/>
      <c r="AX4" s="82"/>
      <c r="AY4" s="82"/>
      <c r="AZ4" s="82"/>
      <c r="BA4" s="82"/>
      <c r="BB4" s="82"/>
      <c r="BD4" s="82" t="s">
        <v>5</v>
      </c>
      <c r="BE4" s="82"/>
      <c r="BF4" s="82"/>
      <c r="BG4" s="82"/>
      <c r="BH4" s="82"/>
      <c r="BI4" s="82"/>
      <c r="BJ4" s="82"/>
      <c r="BK4" s="82"/>
      <c r="BL4" s="82"/>
      <c r="BM4" s="82"/>
    </row>
    <row r="5" spans="1:65" s="28" customFormat="1" ht="15.6" x14ac:dyDescent="0.3">
      <c r="A5" s="82" t="s">
        <v>6</v>
      </c>
      <c r="B5" s="82"/>
      <c r="C5" s="82"/>
      <c r="D5" s="82"/>
      <c r="E5" s="82"/>
      <c r="F5" s="82"/>
      <c r="G5" s="82"/>
      <c r="H5" s="82"/>
      <c r="I5" s="82"/>
      <c r="J5" s="82"/>
      <c r="L5" s="82" t="s">
        <v>6</v>
      </c>
      <c r="M5" s="82"/>
      <c r="N5" s="82"/>
      <c r="O5" s="82"/>
      <c r="P5" s="82"/>
      <c r="Q5" s="82"/>
      <c r="R5" s="82"/>
      <c r="S5" s="82"/>
      <c r="T5" s="82"/>
      <c r="U5" s="82"/>
      <c r="W5" s="82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H5" s="82" t="s">
        <v>6</v>
      </c>
      <c r="AI5" s="82"/>
      <c r="AJ5" s="82"/>
      <c r="AK5" s="82"/>
      <c r="AL5" s="82"/>
      <c r="AM5" s="82"/>
      <c r="AN5" s="82"/>
      <c r="AO5" s="82"/>
      <c r="AP5" s="82"/>
      <c r="AQ5" s="82"/>
      <c r="AS5" s="82" t="s">
        <v>6</v>
      </c>
      <c r="AT5" s="82"/>
      <c r="AU5" s="82"/>
      <c r="AV5" s="82"/>
      <c r="AW5" s="82"/>
      <c r="AX5" s="82"/>
      <c r="AY5" s="82"/>
      <c r="AZ5" s="82"/>
      <c r="BA5" s="82"/>
      <c r="BB5" s="82"/>
      <c r="BD5" s="82" t="s">
        <v>6</v>
      </c>
      <c r="BE5" s="82"/>
      <c r="BF5" s="82"/>
      <c r="BG5" s="82"/>
      <c r="BH5" s="82"/>
      <c r="BI5" s="82"/>
      <c r="BJ5" s="82"/>
      <c r="BK5" s="82"/>
      <c r="BL5" s="82"/>
      <c r="BM5" s="82"/>
    </row>
    <row r="6" spans="1:65" s="30" customFormat="1" ht="35.1" customHeight="1" x14ac:dyDescent="0.3">
      <c r="A6" s="37" t="s">
        <v>308</v>
      </c>
      <c r="B6" s="38" t="s">
        <v>309</v>
      </c>
      <c r="C6" s="37" t="s">
        <v>310</v>
      </c>
      <c r="D6" s="37" t="s">
        <v>311</v>
      </c>
      <c r="E6" s="38" t="s">
        <v>312</v>
      </c>
      <c r="F6" s="39"/>
      <c r="G6" s="38" t="s">
        <v>313</v>
      </c>
      <c r="H6" s="38" t="s">
        <v>314</v>
      </c>
      <c r="I6" s="38" t="s">
        <v>315</v>
      </c>
      <c r="J6" s="38" t="s">
        <v>316</v>
      </c>
      <c r="L6" s="37" t="s">
        <v>308</v>
      </c>
      <c r="M6" s="38" t="s">
        <v>309</v>
      </c>
      <c r="N6" s="37" t="s">
        <v>310</v>
      </c>
      <c r="O6" s="37" t="s">
        <v>311</v>
      </c>
      <c r="P6" s="38" t="s">
        <v>312</v>
      </c>
      <c r="Q6" s="39"/>
      <c r="R6" s="38" t="s">
        <v>313</v>
      </c>
      <c r="S6" s="38" t="s">
        <v>314</v>
      </c>
      <c r="T6" s="38" t="s">
        <v>315</v>
      </c>
      <c r="U6" s="38" t="s">
        <v>316</v>
      </c>
      <c r="W6" s="37" t="s">
        <v>308</v>
      </c>
      <c r="X6" s="38" t="s">
        <v>309</v>
      </c>
      <c r="Y6" s="37" t="s">
        <v>310</v>
      </c>
      <c r="Z6" s="37" t="s">
        <v>311</v>
      </c>
      <c r="AA6" s="38" t="s">
        <v>312</v>
      </c>
      <c r="AB6" s="39"/>
      <c r="AC6" s="38" t="s">
        <v>313</v>
      </c>
      <c r="AD6" s="38" t="s">
        <v>314</v>
      </c>
      <c r="AE6" s="38" t="s">
        <v>315</v>
      </c>
      <c r="AF6" s="38" t="s">
        <v>316</v>
      </c>
      <c r="AH6" s="37" t="s">
        <v>308</v>
      </c>
      <c r="AI6" s="38" t="s">
        <v>309</v>
      </c>
      <c r="AJ6" s="37" t="s">
        <v>310</v>
      </c>
      <c r="AK6" s="37" t="s">
        <v>311</v>
      </c>
      <c r="AL6" s="38" t="s">
        <v>312</v>
      </c>
      <c r="AM6" s="39"/>
      <c r="AN6" s="38" t="s">
        <v>313</v>
      </c>
      <c r="AO6" s="38" t="s">
        <v>314</v>
      </c>
      <c r="AP6" s="38" t="s">
        <v>315</v>
      </c>
      <c r="AQ6" s="38" t="s">
        <v>316</v>
      </c>
      <c r="AS6" s="37" t="s">
        <v>308</v>
      </c>
      <c r="AT6" s="38" t="s">
        <v>309</v>
      </c>
      <c r="AU6" s="37" t="s">
        <v>310</v>
      </c>
      <c r="AV6" s="37" t="s">
        <v>311</v>
      </c>
      <c r="AW6" s="38" t="s">
        <v>312</v>
      </c>
      <c r="AX6" s="39"/>
      <c r="AY6" s="38" t="s">
        <v>313</v>
      </c>
      <c r="AZ6" s="38" t="s">
        <v>314</v>
      </c>
      <c r="BA6" s="38" t="s">
        <v>315</v>
      </c>
      <c r="BB6" s="38" t="s">
        <v>316</v>
      </c>
      <c r="BD6" s="37" t="s">
        <v>308</v>
      </c>
      <c r="BE6" s="38" t="s">
        <v>309</v>
      </c>
      <c r="BF6" s="37" t="s">
        <v>310</v>
      </c>
      <c r="BG6" s="37" t="s">
        <v>311</v>
      </c>
      <c r="BH6" s="38" t="s">
        <v>312</v>
      </c>
      <c r="BI6" s="39"/>
      <c r="BJ6" s="38" t="s">
        <v>313</v>
      </c>
      <c r="BK6" s="38" t="s">
        <v>314</v>
      </c>
      <c r="BL6" s="38" t="s">
        <v>315</v>
      </c>
      <c r="BM6" s="38" t="s">
        <v>316</v>
      </c>
    </row>
    <row r="7" spans="1:65" s="30" customFormat="1" ht="20.100000000000001" customHeight="1" x14ac:dyDescent="0.3">
      <c r="A7" s="24"/>
      <c r="B7" s="24"/>
      <c r="C7" s="31"/>
      <c r="D7" s="31"/>
      <c r="E7" s="29"/>
      <c r="F7" s="29"/>
      <c r="G7" s="24"/>
      <c r="H7" s="26"/>
      <c r="I7" s="27"/>
      <c r="J7" s="26">
        <f>H7-I7</f>
        <v>0</v>
      </c>
      <c r="L7" s="24"/>
      <c r="M7" s="24"/>
      <c r="N7" s="31"/>
      <c r="O7" s="31"/>
      <c r="P7" s="29"/>
      <c r="Q7" s="29"/>
      <c r="R7" s="24"/>
      <c r="S7" s="26"/>
      <c r="T7" s="27"/>
      <c r="U7" s="26">
        <f>S7-T7</f>
        <v>0</v>
      </c>
      <c r="W7" s="24"/>
      <c r="X7" s="24"/>
      <c r="Y7" s="31"/>
      <c r="Z7" s="31"/>
      <c r="AA7" s="29"/>
      <c r="AB7" s="29"/>
      <c r="AC7" s="24"/>
      <c r="AD7" s="26"/>
      <c r="AE7" s="27"/>
      <c r="AF7" s="26">
        <f>AD7-AE7</f>
        <v>0</v>
      </c>
      <c r="AH7" s="24"/>
      <c r="AI7" s="24"/>
      <c r="AJ7" s="31"/>
      <c r="AK7" s="31"/>
      <c r="AL7" s="29"/>
      <c r="AM7" s="29"/>
      <c r="AN7" s="24"/>
      <c r="AO7" s="26"/>
      <c r="AP7" s="27"/>
      <c r="AQ7" s="26">
        <f>AO7-AP7</f>
        <v>0</v>
      </c>
      <c r="AS7" s="24"/>
      <c r="AT7" s="24"/>
      <c r="AU7" s="31"/>
      <c r="AV7" s="31"/>
      <c r="AW7" s="29"/>
      <c r="AX7" s="29"/>
      <c r="AY7" s="24"/>
      <c r="AZ7" s="26"/>
      <c r="BA7" s="27"/>
      <c r="BB7" s="26">
        <f>AZ7-BA7</f>
        <v>0</v>
      </c>
      <c r="BD7" s="24"/>
      <c r="BE7" s="24"/>
      <c r="BF7" s="31"/>
      <c r="BG7" s="31"/>
      <c r="BH7" s="29"/>
      <c r="BI7" s="29"/>
      <c r="BJ7" s="24"/>
      <c r="BK7" s="26"/>
      <c r="BL7" s="27"/>
      <c r="BM7" s="26">
        <f>BK7-BL7</f>
        <v>0</v>
      </c>
    </row>
    <row r="8" spans="1:65" s="30" customFormat="1" ht="20.100000000000001" customHeight="1" x14ac:dyDescent="0.3">
      <c r="A8" s="24"/>
      <c r="B8" s="24"/>
      <c r="C8" s="31"/>
      <c r="D8" s="31"/>
      <c r="E8" s="29"/>
      <c r="F8" s="33"/>
      <c r="G8" s="24"/>
      <c r="H8" s="26"/>
      <c r="I8" s="27"/>
      <c r="J8" s="26">
        <f t="shared" ref="J8:J12" si="0">H8-I8</f>
        <v>0</v>
      </c>
      <c r="L8" s="24"/>
      <c r="M8" s="24"/>
      <c r="N8" s="31"/>
      <c r="O8" s="31"/>
      <c r="P8" s="29"/>
      <c r="Q8" s="29"/>
      <c r="R8" s="24"/>
      <c r="S8" s="26"/>
      <c r="T8" s="27"/>
      <c r="U8" s="26">
        <f t="shared" ref="U8:U12" si="1">S8-T8</f>
        <v>0</v>
      </c>
      <c r="W8" s="24"/>
      <c r="X8" s="24"/>
      <c r="Y8" s="31"/>
      <c r="Z8" s="31"/>
      <c r="AA8" s="29"/>
      <c r="AB8" s="29"/>
      <c r="AC8" s="24"/>
      <c r="AD8" s="26"/>
      <c r="AE8" s="27"/>
      <c r="AF8" s="26">
        <f t="shared" ref="AF8:AF12" si="2">AD8-AE8</f>
        <v>0</v>
      </c>
      <c r="AH8" s="24"/>
      <c r="AI8" s="24"/>
      <c r="AJ8" s="31"/>
      <c r="AK8" s="31"/>
      <c r="AL8" s="29"/>
      <c r="AM8" s="29"/>
      <c r="AN8" s="24"/>
      <c r="AO8" s="26"/>
      <c r="AP8" s="27"/>
      <c r="AQ8" s="26">
        <f t="shared" ref="AQ8:AQ12" si="3">AO8-AP8</f>
        <v>0</v>
      </c>
      <c r="AS8" s="24"/>
      <c r="AT8" s="24"/>
      <c r="AU8" s="31"/>
      <c r="AV8" s="31"/>
      <c r="AW8" s="29"/>
      <c r="AX8" s="29"/>
      <c r="AY8" s="24"/>
      <c r="AZ8" s="26"/>
      <c r="BA8" s="27"/>
      <c r="BB8" s="26">
        <f t="shared" ref="BB8:BB12" si="4">AZ8-BA8</f>
        <v>0</v>
      </c>
      <c r="BD8" s="24"/>
      <c r="BE8" s="24"/>
      <c r="BF8" s="31"/>
      <c r="BG8" s="31"/>
      <c r="BH8" s="29"/>
      <c r="BI8" s="29"/>
      <c r="BJ8" s="24"/>
      <c r="BK8" s="26"/>
      <c r="BL8" s="27"/>
      <c r="BM8" s="26">
        <f t="shared" ref="BM8:BM12" si="5">BK8-BL8</f>
        <v>0</v>
      </c>
    </row>
    <row r="9" spans="1:65" s="30" customFormat="1" ht="20.100000000000001" customHeight="1" x14ac:dyDescent="0.3">
      <c r="A9" s="24"/>
      <c r="B9" s="24"/>
      <c r="C9" s="31"/>
      <c r="D9" s="31"/>
      <c r="E9" s="29"/>
      <c r="F9" s="29"/>
      <c r="G9" s="24"/>
      <c r="H9" s="26"/>
      <c r="I9" s="27"/>
      <c r="J9" s="26">
        <f t="shared" si="0"/>
        <v>0</v>
      </c>
      <c r="L9" s="24"/>
      <c r="M9" s="24"/>
      <c r="N9" s="31"/>
      <c r="O9" s="31"/>
      <c r="P9" s="29"/>
      <c r="Q9" s="29"/>
      <c r="R9" s="24"/>
      <c r="S9" s="26"/>
      <c r="T9" s="27"/>
      <c r="U9" s="26">
        <f t="shared" si="1"/>
        <v>0</v>
      </c>
      <c r="W9" s="24"/>
      <c r="X9" s="24"/>
      <c r="Y9" s="31"/>
      <c r="Z9" s="31"/>
      <c r="AA9" s="29"/>
      <c r="AB9" s="29"/>
      <c r="AC9" s="24"/>
      <c r="AD9" s="26"/>
      <c r="AE9" s="27"/>
      <c r="AF9" s="26">
        <f t="shared" si="2"/>
        <v>0</v>
      </c>
      <c r="AH9" s="24"/>
      <c r="AI9" s="24"/>
      <c r="AJ9" s="31"/>
      <c r="AK9" s="31"/>
      <c r="AL9" s="29"/>
      <c r="AM9" s="29"/>
      <c r="AN9" s="24"/>
      <c r="AO9" s="26"/>
      <c r="AP9" s="27"/>
      <c r="AQ9" s="26">
        <f t="shared" si="3"/>
        <v>0</v>
      </c>
      <c r="AS9" s="24"/>
      <c r="AT9" s="24"/>
      <c r="AU9" s="31"/>
      <c r="AV9" s="31"/>
      <c r="AW9" s="29"/>
      <c r="AX9" s="29"/>
      <c r="AY9" s="24"/>
      <c r="AZ9" s="26"/>
      <c r="BA9" s="27"/>
      <c r="BB9" s="26">
        <f t="shared" si="4"/>
        <v>0</v>
      </c>
      <c r="BD9" s="24"/>
      <c r="BE9" s="24"/>
      <c r="BF9" s="31"/>
      <c r="BG9" s="31"/>
      <c r="BH9" s="29"/>
      <c r="BI9" s="29"/>
      <c r="BJ9" s="24"/>
      <c r="BK9" s="26"/>
      <c r="BL9" s="27"/>
      <c r="BM9" s="26">
        <f t="shared" si="5"/>
        <v>0</v>
      </c>
    </row>
    <row r="10" spans="1:65" s="30" customFormat="1" ht="20.100000000000001" customHeight="1" x14ac:dyDescent="0.3">
      <c r="A10" s="24"/>
      <c r="B10" s="24"/>
      <c r="C10" s="31"/>
      <c r="D10" s="31"/>
      <c r="E10" s="29"/>
      <c r="F10" s="32"/>
      <c r="G10" s="24"/>
      <c r="H10" s="26"/>
      <c r="I10" s="27"/>
      <c r="J10" s="26">
        <f t="shared" si="0"/>
        <v>0</v>
      </c>
      <c r="L10" s="24"/>
      <c r="M10" s="24"/>
      <c r="N10" s="31"/>
      <c r="O10" s="31"/>
      <c r="P10" s="29"/>
      <c r="Q10" s="29"/>
      <c r="R10" s="24"/>
      <c r="S10" s="26"/>
      <c r="T10" s="27"/>
      <c r="U10" s="26">
        <f t="shared" si="1"/>
        <v>0</v>
      </c>
      <c r="W10" s="24"/>
      <c r="X10" s="24"/>
      <c r="Y10" s="31"/>
      <c r="Z10" s="31"/>
      <c r="AA10" s="29"/>
      <c r="AB10" s="32"/>
      <c r="AC10" s="24"/>
      <c r="AD10" s="26"/>
      <c r="AE10" s="27"/>
      <c r="AF10" s="26">
        <f t="shared" si="2"/>
        <v>0</v>
      </c>
      <c r="AH10" s="24"/>
      <c r="AI10" s="24"/>
      <c r="AJ10" s="31"/>
      <c r="AK10" s="31"/>
      <c r="AL10" s="29"/>
      <c r="AM10" s="32"/>
      <c r="AN10" s="24"/>
      <c r="AO10" s="26"/>
      <c r="AP10" s="27"/>
      <c r="AQ10" s="26">
        <f t="shared" si="3"/>
        <v>0</v>
      </c>
      <c r="AS10" s="24"/>
      <c r="AT10" s="24"/>
      <c r="AU10" s="31"/>
      <c r="AV10" s="31"/>
      <c r="AW10" s="29"/>
      <c r="AX10" s="32"/>
      <c r="AY10" s="24"/>
      <c r="AZ10" s="26"/>
      <c r="BA10" s="27"/>
      <c r="BB10" s="26">
        <f t="shared" si="4"/>
        <v>0</v>
      </c>
      <c r="BD10" s="24"/>
      <c r="BE10" s="24"/>
      <c r="BF10" s="31"/>
      <c r="BG10" s="31"/>
      <c r="BH10" s="29"/>
      <c r="BI10" s="32"/>
      <c r="BJ10" s="24"/>
      <c r="BK10" s="26"/>
      <c r="BL10" s="27"/>
      <c r="BM10" s="26">
        <f t="shared" si="5"/>
        <v>0</v>
      </c>
    </row>
    <row r="11" spans="1:65" s="30" customFormat="1" ht="20.100000000000001" customHeight="1" x14ac:dyDescent="0.3">
      <c r="A11" s="24"/>
      <c r="B11" s="24"/>
      <c r="C11" s="31"/>
      <c r="D11" s="31"/>
      <c r="E11" s="29"/>
      <c r="F11" s="33"/>
      <c r="G11" s="24"/>
      <c r="H11" s="26"/>
      <c r="I11" s="27"/>
      <c r="J11" s="26">
        <f t="shared" si="0"/>
        <v>0</v>
      </c>
      <c r="L11" s="24"/>
      <c r="M11" s="24"/>
      <c r="N11" s="31"/>
      <c r="O11" s="31"/>
      <c r="P11" s="29"/>
      <c r="Q11" s="33"/>
      <c r="R11" s="24"/>
      <c r="S11" s="26"/>
      <c r="T11" s="27"/>
      <c r="U11" s="26">
        <f t="shared" si="1"/>
        <v>0</v>
      </c>
      <c r="W11" s="24"/>
      <c r="X11" s="24"/>
      <c r="Y11" s="31"/>
      <c r="Z11" s="31"/>
      <c r="AA11" s="29"/>
      <c r="AB11" s="33"/>
      <c r="AC11" s="24"/>
      <c r="AD11" s="26"/>
      <c r="AE11" s="27"/>
      <c r="AF11" s="26">
        <f t="shared" si="2"/>
        <v>0</v>
      </c>
      <c r="AH11" s="24"/>
      <c r="AI11" s="24"/>
      <c r="AJ11" s="31"/>
      <c r="AK11" s="31"/>
      <c r="AL11" s="29"/>
      <c r="AM11" s="33"/>
      <c r="AN11" s="24"/>
      <c r="AO11" s="26"/>
      <c r="AP11" s="27"/>
      <c r="AQ11" s="26">
        <f t="shared" si="3"/>
        <v>0</v>
      </c>
      <c r="AS11" s="24"/>
      <c r="AT11" s="24"/>
      <c r="AU11" s="31"/>
      <c r="AV11" s="31"/>
      <c r="AW11" s="29"/>
      <c r="AX11" s="33"/>
      <c r="AY11" s="24"/>
      <c r="AZ11" s="26"/>
      <c r="BA11" s="27"/>
      <c r="BB11" s="26">
        <f t="shared" si="4"/>
        <v>0</v>
      </c>
      <c r="BD11" s="24"/>
      <c r="BE11" s="24"/>
      <c r="BF11" s="31"/>
      <c r="BG11" s="31"/>
      <c r="BH11" s="29"/>
      <c r="BI11" s="33"/>
      <c r="BJ11" s="24"/>
      <c r="BK11" s="26"/>
      <c r="BL11" s="27"/>
      <c r="BM11" s="26">
        <f t="shared" si="5"/>
        <v>0</v>
      </c>
    </row>
    <row r="12" spans="1:65" s="30" customFormat="1" ht="20.100000000000001" customHeight="1" x14ac:dyDescent="0.3">
      <c r="A12" s="24"/>
      <c r="B12" s="24"/>
      <c r="C12" s="24"/>
      <c r="D12" s="24"/>
      <c r="E12" s="29"/>
      <c r="F12" s="33"/>
      <c r="G12" s="24"/>
      <c r="H12" s="26"/>
      <c r="I12" s="27"/>
      <c r="J12" s="26">
        <f t="shared" si="0"/>
        <v>0</v>
      </c>
      <c r="L12" s="24"/>
      <c r="M12" s="24"/>
      <c r="N12" s="24"/>
      <c r="O12" s="24"/>
      <c r="P12" s="29"/>
      <c r="Q12" s="33"/>
      <c r="R12" s="24"/>
      <c r="S12" s="26"/>
      <c r="T12" s="27"/>
      <c r="U12" s="26">
        <f t="shared" si="1"/>
        <v>0</v>
      </c>
      <c r="W12" s="24"/>
      <c r="X12" s="24"/>
      <c r="Y12" s="24"/>
      <c r="Z12" s="24"/>
      <c r="AA12" s="29"/>
      <c r="AB12" s="33"/>
      <c r="AC12" s="24"/>
      <c r="AD12" s="26"/>
      <c r="AE12" s="27"/>
      <c r="AF12" s="26">
        <f t="shared" si="2"/>
        <v>0</v>
      </c>
      <c r="AH12" s="24"/>
      <c r="AI12" s="24"/>
      <c r="AJ12" s="24"/>
      <c r="AK12" s="24"/>
      <c r="AL12" s="29"/>
      <c r="AM12" s="33"/>
      <c r="AN12" s="24"/>
      <c r="AO12" s="26"/>
      <c r="AP12" s="27"/>
      <c r="AQ12" s="26">
        <f t="shared" si="3"/>
        <v>0</v>
      </c>
      <c r="AS12" s="24"/>
      <c r="AT12" s="24"/>
      <c r="AU12" s="24"/>
      <c r="AV12" s="24"/>
      <c r="AW12" s="29"/>
      <c r="AX12" s="33"/>
      <c r="AY12" s="24"/>
      <c r="AZ12" s="26"/>
      <c r="BA12" s="27"/>
      <c r="BB12" s="26">
        <f t="shared" si="4"/>
        <v>0</v>
      </c>
      <c r="BD12" s="24"/>
      <c r="BE12" s="24"/>
      <c r="BF12" s="24"/>
      <c r="BG12" s="24"/>
      <c r="BH12" s="29"/>
      <c r="BI12" s="33"/>
      <c r="BJ12" s="24"/>
      <c r="BK12" s="26"/>
      <c r="BL12" s="27"/>
      <c r="BM12" s="26">
        <f t="shared" si="5"/>
        <v>0</v>
      </c>
    </row>
    <row r="13" spans="1:65" s="30" customFormat="1" ht="20.100000000000001" customHeight="1" x14ac:dyDescent="0.3">
      <c r="A13" s="34"/>
      <c r="B13" s="34"/>
      <c r="C13" s="34"/>
      <c r="D13" s="34"/>
      <c r="E13" s="35"/>
      <c r="F13" s="35"/>
      <c r="G13" s="36"/>
      <c r="H13" s="26">
        <f>SUM(H7:H12)</f>
        <v>0</v>
      </c>
      <c r="I13" s="27">
        <f>SUM(I7:I12)</f>
        <v>0</v>
      </c>
      <c r="J13" s="26">
        <f>SUM(J7:J12)</f>
        <v>0</v>
      </c>
      <c r="L13" s="34"/>
      <c r="M13" s="34"/>
      <c r="N13" s="34"/>
      <c r="O13" s="34"/>
      <c r="P13" s="35"/>
      <c r="Q13" s="35"/>
      <c r="R13" s="36"/>
      <c r="S13" s="26">
        <f>SUM(S7:S12)</f>
        <v>0</v>
      </c>
      <c r="T13" s="27">
        <f>SUM(T7:T12)</f>
        <v>0</v>
      </c>
      <c r="U13" s="26">
        <f>SUM(U7:U12)</f>
        <v>0</v>
      </c>
      <c r="W13" s="34"/>
      <c r="X13" s="34"/>
      <c r="Y13" s="34"/>
      <c r="Z13" s="34"/>
      <c r="AA13" s="35"/>
      <c r="AB13" s="35"/>
      <c r="AC13" s="36"/>
      <c r="AD13" s="26">
        <f>SUM(AD7:AD12)</f>
        <v>0</v>
      </c>
      <c r="AE13" s="27">
        <f>SUM(AE7:AE12)</f>
        <v>0</v>
      </c>
      <c r="AF13" s="26">
        <f>SUM(AF7:AF12)</f>
        <v>0</v>
      </c>
      <c r="AH13" s="34"/>
      <c r="AI13" s="34"/>
      <c r="AJ13" s="34"/>
      <c r="AK13" s="34"/>
      <c r="AL13" s="35"/>
      <c r="AM13" s="35"/>
      <c r="AN13" s="36"/>
      <c r="AO13" s="26">
        <f>SUM(AO7:AO12)</f>
        <v>0</v>
      </c>
      <c r="AP13" s="27">
        <f>SUM(AP7:AP12)</f>
        <v>0</v>
      </c>
      <c r="AQ13" s="26">
        <f>SUM(AQ7:AQ12)</f>
        <v>0</v>
      </c>
      <c r="AS13" s="34"/>
      <c r="AT13" s="34"/>
      <c r="AU13" s="34"/>
      <c r="AV13" s="34"/>
      <c r="AW13" s="35"/>
      <c r="AX13" s="35"/>
      <c r="AY13" s="36"/>
      <c r="AZ13" s="26">
        <f>SUM(AZ7:AZ12)</f>
        <v>0</v>
      </c>
      <c r="BA13" s="27">
        <f>SUM(BA7:BA12)</f>
        <v>0</v>
      </c>
      <c r="BB13" s="26">
        <f>SUM(BB7:BB12)</f>
        <v>0</v>
      </c>
      <c r="BD13" s="34"/>
      <c r="BE13" s="34"/>
      <c r="BF13" s="34"/>
      <c r="BG13" s="34"/>
      <c r="BH13" s="35"/>
      <c r="BI13" s="35"/>
      <c r="BJ13" s="36"/>
      <c r="BK13" s="26">
        <f>SUM(BK7:BK12)</f>
        <v>0</v>
      </c>
      <c r="BL13" s="27">
        <f>SUM(BL7:BL12)</f>
        <v>0</v>
      </c>
      <c r="BM13" s="26">
        <f>SUM(BM7:BM12)</f>
        <v>0</v>
      </c>
    </row>
    <row r="14" spans="1:65" ht="15.6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2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28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28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28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28"/>
      <c r="BD14" s="41"/>
      <c r="BE14" s="41"/>
      <c r="BF14" s="41"/>
      <c r="BG14" s="41"/>
      <c r="BH14" s="41"/>
      <c r="BI14" s="41"/>
      <c r="BJ14" s="41"/>
      <c r="BK14" s="41"/>
      <c r="BL14" s="42"/>
      <c r="BM14" s="42"/>
    </row>
    <row r="15" spans="1:65" s="40" customFormat="1" ht="15.6" x14ac:dyDescent="0.3">
      <c r="A15" s="82" t="s">
        <v>0</v>
      </c>
      <c r="B15" s="82"/>
      <c r="C15" s="82"/>
      <c r="D15" s="82"/>
      <c r="E15" s="82"/>
      <c r="F15" s="82"/>
      <c r="G15" s="82"/>
      <c r="H15" s="82"/>
      <c r="I15" s="82"/>
      <c r="J15" s="82"/>
      <c r="K15" s="43"/>
      <c r="L15" s="82" t="s">
        <v>1</v>
      </c>
      <c r="M15" s="82"/>
      <c r="N15" s="82"/>
      <c r="O15" s="82"/>
      <c r="P15" s="82"/>
      <c r="Q15" s="82"/>
      <c r="R15" s="82"/>
      <c r="S15" s="82"/>
      <c r="T15" s="82"/>
      <c r="U15" s="82"/>
      <c r="V15" s="43"/>
      <c r="W15" s="82" t="s">
        <v>2</v>
      </c>
      <c r="X15" s="82"/>
      <c r="Y15" s="82"/>
      <c r="Z15" s="82"/>
      <c r="AA15" s="82"/>
      <c r="AB15" s="82"/>
      <c r="AC15" s="82"/>
      <c r="AD15" s="82"/>
      <c r="AE15" s="82"/>
      <c r="AF15" s="82"/>
      <c r="AG15" s="43"/>
      <c r="AH15" s="82" t="s">
        <v>3</v>
      </c>
      <c r="AI15" s="82"/>
      <c r="AJ15" s="82"/>
      <c r="AK15" s="82"/>
      <c r="AL15" s="82"/>
      <c r="AM15" s="82"/>
      <c r="AN15" s="82"/>
      <c r="AO15" s="82"/>
      <c r="AP15" s="82"/>
      <c r="AQ15" s="82"/>
      <c r="AR15" s="43"/>
      <c r="AS15" s="82" t="s">
        <v>4</v>
      </c>
      <c r="AT15" s="82"/>
      <c r="AU15" s="82"/>
      <c r="AV15" s="82"/>
      <c r="AW15" s="82"/>
      <c r="AX15" s="82"/>
      <c r="AY15" s="82"/>
      <c r="AZ15" s="82"/>
      <c r="BA15" s="82"/>
      <c r="BB15" s="82"/>
      <c r="BC15" s="43"/>
      <c r="BD15" s="82" t="s">
        <v>5</v>
      </c>
      <c r="BE15" s="82"/>
      <c r="BF15" s="82"/>
      <c r="BG15" s="82"/>
      <c r="BH15" s="82"/>
      <c r="BI15" s="82"/>
      <c r="BJ15" s="82"/>
      <c r="BK15" s="82"/>
      <c r="BL15" s="82"/>
      <c r="BM15" s="82"/>
    </row>
    <row r="16" spans="1:65" ht="15.6" x14ac:dyDescent="0.3">
      <c r="A16" s="82" t="s">
        <v>15</v>
      </c>
      <c r="B16" s="82"/>
      <c r="C16" s="82"/>
      <c r="D16" s="82"/>
      <c r="E16" s="82"/>
      <c r="F16" s="82"/>
      <c r="G16" s="82"/>
      <c r="H16" s="82"/>
      <c r="I16" s="82"/>
      <c r="J16" s="82"/>
      <c r="K16" s="28"/>
      <c r="L16" s="82" t="s">
        <v>15</v>
      </c>
      <c r="M16" s="82"/>
      <c r="N16" s="82"/>
      <c r="O16" s="82"/>
      <c r="P16" s="82"/>
      <c r="Q16" s="82"/>
      <c r="R16" s="82"/>
      <c r="S16" s="82"/>
      <c r="T16" s="82"/>
      <c r="U16" s="82"/>
      <c r="V16" s="28"/>
      <c r="W16" s="82" t="s">
        <v>15</v>
      </c>
      <c r="X16" s="82"/>
      <c r="Y16" s="82"/>
      <c r="Z16" s="82"/>
      <c r="AA16" s="82"/>
      <c r="AB16" s="82"/>
      <c r="AC16" s="82"/>
      <c r="AD16" s="82"/>
      <c r="AE16" s="82"/>
      <c r="AF16" s="82"/>
      <c r="AG16" s="28"/>
      <c r="AH16" s="82" t="s">
        <v>15</v>
      </c>
      <c r="AI16" s="82"/>
      <c r="AJ16" s="82"/>
      <c r="AK16" s="82"/>
      <c r="AL16" s="82"/>
      <c r="AM16" s="82"/>
      <c r="AN16" s="82"/>
      <c r="AO16" s="82"/>
      <c r="AP16" s="82"/>
      <c r="AQ16" s="82"/>
      <c r="AR16" s="28"/>
      <c r="AS16" s="82" t="s">
        <v>15</v>
      </c>
      <c r="AT16" s="82"/>
      <c r="AU16" s="82"/>
      <c r="AV16" s="82"/>
      <c r="AW16" s="82"/>
      <c r="AX16" s="82"/>
      <c r="AY16" s="82"/>
      <c r="AZ16" s="82"/>
      <c r="BA16" s="82"/>
      <c r="BB16" s="82"/>
      <c r="BC16" s="28"/>
      <c r="BD16" s="82" t="s">
        <v>15</v>
      </c>
      <c r="BE16" s="82"/>
      <c r="BF16" s="82"/>
      <c r="BG16" s="82"/>
      <c r="BH16" s="82"/>
      <c r="BI16" s="82"/>
      <c r="BJ16" s="82"/>
      <c r="BK16" s="82"/>
      <c r="BL16" s="82"/>
      <c r="BM16" s="82"/>
    </row>
    <row r="17" spans="1:65" s="30" customFormat="1" ht="35.1" customHeight="1" x14ac:dyDescent="0.3">
      <c r="A17" s="37" t="s">
        <v>308</v>
      </c>
      <c r="B17" s="38" t="s">
        <v>309</v>
      </c>
      <c r="C17" s="37" t="s">
        <v>310</v>
      </c>
      <c r="D17" s="37" t="s">
        <v>311</v>
      </c>
      <c r="E17" s="38" t="s">
        <v>312</v>
      </c>
      <c r="F17" s="39"/>
      <c r="G17" s="38" t="s">
        <v>313</v>
      </c>
      <c r="H17" s="38" t="s">
        <v>314</v>
      </c>
      <c r="I17" s="38" t="s">
        <v>315</v>
      </c>
      <c r="J17" s="38" t="s">
        <v>316</v>
      </c>
      <c r="L17" s="37" t="s">
        <v>308</v>
      </c>
      <c r="M17" s="38" t="s">
        <v>309</v>
      </c>
      <c r="N17" s="37" t="s">
        <v>310</v>
      </c>
      <c r="O17" s="37" t="s">
        <v>311</v>
      </c>
      <c r="P17" s="38" t="s">
        <v>312</v>
      </c>
      <c r="Q17" s="39"/>
      <c r="R17" s="38" t="s">
        <v>313</v>
      </c>
      <c r="S17" s="38" t="s">
        <v>314</v>
      </c>
      <c r="T17" s="38" t="s">
        <v>315</v>
      </c>
      <c r="U17" s="38" t="s">
        <v>316</v>
      </c>
      <c r="W17" s="37" t="s">
        <v>308</v>
      </c>
      <c r="X17" s="38" t="s">
        <v>309</v>
      </c>
      <c r="Y17" s="37" t="s">
        <v>310</v>
      </c>
      <c r="Z17" s="37" t="s">
        <v>311</v>
      </c>
      <c r="AA17" s="38" t="s">
        <v>312</v>
      </c>
      <c r="AB17" s="39"/>
      <c r="AC17" s="38" t="s">
        <v>313</v>
      </c>
      <c r="AD17" s="38" t="s">
        <v>314</v>
      </c>
      <c r="AE17" s="38" t="s">
        <v>315</v>
      </c>
      <c r="AF17" s="38" t="s">
        <v>316</v>
      </c>
      <c r="AH17" s="37" t="s">
        <v>308</v>
      </c>
      <c r="AI17" s="38" t="s">
        <v>309</v>
      </c>
      <c r="AJ17" s="37" t="s">
        <v>310</v>
      </c>
      <c r="AK17" s="37" t="s">
        <v>311</v>
      </c>
      <c r="AL17" s="38" t="s">
        <v>312</v>
      </c>
      <c r="AM17" s="39"/>
      <c r="AN17" s="38" t="s">
        <v>313</v>
      </c>
      <c r="AO17" s="38" t="s">
        <v>314</v>
      </c>
      <c r="AP17" s="38" t="s">
        <v>315</v>
      </c>
      <c r="AQ17" s="38" t="s">
        <v>316</v>
      </c>
      <c r="AS17" s="37" t="s">
        <v>308</v>
      </c>
      <c r="AT17" s="38" t="s">
        <v>309</v>
      </c>
      <c r="AU17" s="37" t="s">
        <v>310</v>
      </c>
      <c r="AV17" s="37" t="s">
        <v>311</v>
      </c>
      <c r="AW17" s="38" t="s">
        <v>312</v>
      </c>
      <c r="AX17" s="39"/>
      <c r="AY17" s="38" t="s">
        <v>313</v>
      </c>
      <c r="AZ17" s="38" t="s">
        <v>314</v>
      </c>
      <c r="BA17" s="38" t="s">
        <v>315</v>
      </c>
      <c r="BB17" s="38" t="s">
        <v>316</v>
      </c>
      <c r="BD17" s="37" t="s">
        <v>308</v>
      </c>
      <c r="BE17" s="38" t="s">
        <v>309</v>
      </c>
      <c r="BF17" s="37" t="s">
        <v>310</v>
      </c>
      <c r="BG17" s="37" t="s">
        <v>311</v>
      </c>
      <c r="BH17" s="38" t="s">
        <v>312</v>
      </c>
      <c r="BI17" s="39"/>
      <c r="BJ17" s="38" t="s">
        <v>313</v>
      </c>
      <c r="BK17" s="38" t="s">
        <v>314</v>
      </c>
      <c r="BL17" s="38" t="s">
        <v>315</v>
      </c>
      <c r="BM17" s="38" t="s">
        <v>316</v>
      </c>
    </row>
    <row r="18" spans="1:65" s="30" customFormat="1" ht="20.100000000000001" customHeight="1" x14ac:dyDescent="0.3">
      <c r="A18" s="24"/>
      <c r="B18" s="24"/>
      <c r="C18" s="31"/>
      <c r="D18" s="31"/>
      <c r="E18" s="29"/>
      <c r="F18" s="29"/>
      <c r="G18" s="24"/>
      <c r="H18" s="26"/>
      <c r="I18" s="27"/>
      <c r="J18" s="26">
        <f>H18-I18</f>
        <v>0</v>
      </c>
      <c r="L18" s="24"/>
      <c r="M18" s="24"/>
      <c r="N18" s="31"/>
      <c r="O18" s="31"/>
      <c r="P18" s="29"/>
      <c r="Q18" s="29"/>
      <c r="R18" s="24"/>
      <c r="S18" s="26"/>
      <c r="T18" s="27"/>
      <c r="U18" s="26">
        <f>S18-T18</f>
        <v>0</v>
      </c>
      <c r="W18" s="24"/>
      <c r="X18" s="24"/>
      <c r="Y18" s="31"/>
      <c r="Z18" s="31"/>
      <c r="AA18" s="29"/>
      <c r="AB18" s="29"/>
      <c r="AC18" s="24"/>
      <c r="AD18" s="26"/>
      <c r="AE18" s="27"/>
      <c r="AF18" s="26">
        <f>AD18-AE18</f>
        <v>0</v>
      </c>
      <c r="AH18" s="24"/>
      <c r="AI18" s="24"/>
      <c r="AJ18" s="31"/>
      <c r="AK18" s="31"/>
      <c r="AL18" s="29"/>
      <c r="AM18" s="33"/>
      <c r="AN18" s="24"/>
      <c r="AO18" s="26"/>
      <c r="AP18" s="27"/>
      <c r="AQ18" s="26">
        <f>AO18-AP18</f>
        <v>0</v>
      </c>
      <c r="AS18" s="24"/>
      <c r="AT18" s="24"/>
      <c r="AU18" s="31"/>
      <c r="AV18" s="31"/>
      <c r="AW18" s="29"/>
      <c r="AX18" s="29"/>
      <c r="AY18" s="24"/>
      <c r="AZ18" s="26"/>
      <c r="BA18" s="27"/>
      <c r="BB18" s="26">
        <f>AZ18-BA18</f>
        <v>0</v>
      </c>
      <c r="BD18" s="24"/>
      <c r="BE18" s="24"/>
      <c r="BF18" s="31"/>
      <c r="BG18" s="31"/>
      <c r="BH18" s="29"/>
      <c r="BI18" s="29"/>
      <c r="BJ18" s="24"/>
      <c r="BK18" s="26"/>
      <c r="BL18" s="27"/>
      <c r="BM18" s="26">
        <f>BK18-BL18</f>
        <v>0</v>
      </c>
    </row>
    <row r="19" spans="1:65" s="30" customFormat="1" ht="20.100000000000001" customHeight="1" x14ac:dyDescent="0.3">
      <c r="A19" s="24"/>
      <c r="B19" s="24"/>
      <c r="C19" s="31"/>
      <c r="D19" s="31"/>
      <c r="E19" s="29"/>
      <c r="F19" s="29"/>
      <c r="G19" s="24"/>
      <c r="H19" s="26"/>
      <c r="I19" s="27"/>
      <c r="J19" s="26">
        <f t="shared" ref="J19:J23" si="6">H19-I19</f>
        <v>0</v>
      </c>
      <c r="L19" s="24"/>
      <c r="M19" s="24"/>
      <c r="N19" s="31"/>
      <c r="O19" s="31"/>
      <c r="P19" s="29"/>
      <c r="Q19" s="29"/>
      <c r="R19" s="24"/>
      <c r="S19" s="26"/>
      <c r="T19" s="27"/>
      <c r="U19" s="26">
        <f t="shared" ref="U19:U23" si="7">S19-T19</f>
        <v>0</v>
      </c>
      <c r="W19" s="24"/>
      <c r="X19" s="24"/>
      <c r="Y19" s="31"/>
      <c r="Z19" s="31"/>
      <c r="AA19" s="29"/>
      <c r="AB19" s="29"/>
      <c r="AC19" s="24"/>
      <c r="AD19" s="26"/>
      <c r="AE19" s="27"/>
      <c r="AF19" s="26">
        <f t="shared" ref="AF19:AF23" si="8">AD19-AE19</f>
        <v>0</v>
      </c>
      <c r="AH19" s="24"/>
      <c r="AI19" s="24"/>
      <c r="AJ19" s="31"/>
      <c r="AK19" s="31"/>
      <c r="AL19" s="29"/>
      <c r="AM19" s="29"/>
      <c r="AN19" s="24"/>
      <c r="AO19" s="26"/>
      <c r="AP19" s="27"/>
      <c r="AQ19" s="26">
        <f t="shared" ref="AQ19:AQ23" si="9">AO19-AP19</f>
        <v>0</v>
      </c>
      <c r="AS19" s="24"/>
      <c r="AT19" s="24"/>
      <c r="AU19" s="31"/>
      <c r="AV19" s="31"/>
      <c r="AW19" s="29"/>
      <c r="AX19" s="29"/>
      <c r="AY19" s="24"/>
      <c r="AZ19" s="26"/>
      <c r="BA19" s="27"/>
      <c r="BB19" s="26">
        <f t="shared" ref="BB19:BB23" si="10">AZ19-BA19</f>
        <v>0</v>
      </c>
      <c r="BD19" s="24"/>
      <c r="BE19" s="24"/>
      <c r="BF19" s="31"/>
      <c r="BG19" s="31"/>
      <c r="BH19" s="29"/>
      <c r="BI19" s="29"/>
      <c r="BJ19" s="24"/>
      <c r="BK19" s="26"/>
      <c r="BL19" s="27"/>
      <c r="BM19" s="26">
        <f t="shared" ref="BM19:BM23" si="11">BK19-BL19</f>
        <v>0</v>
      </c>
    </row>
    <row r="20" spans="1:65" s="30" customFormat="1" ht="20.100000000000001" customHeight="1" x14ac:dyDescent="0.3">
      <c r="A20" s="24"/>
      <c r="B20" s="24"/>
      <c r="C20" s="31"/>
      <c r="D20" s="31"/>
      <c r="E20" s="29"/>
      <c r="F20" s="29"/>
      <c r="G20" s="24"/>
      <c r="H20" s="26"/>
      <c r="I20" s="27"/>
      <c r="J20" s="26">
        <f t="shared" si="6"/>
        <v>0</v>
      </c>
      <c r="L20" s="24"/>
      <c r="M20" s="24"/>
      <c r="N20" s="31"/>
      <c r="O20" s="31"/>
      <c r="P20" s="29"/>
      <c r="Q20" s="29"/>
      <c r="R20" s="24"/>
      <c r="S20" s="26"/>
      <c r="T20" s="27"/>
      <c r="U20" s="26">
        <f t="shared" si="7"/>
        <v>0</v>
      </c>
      <c r="W20" s="24"/>
      <c r="X20" s="24"/>
      <c r="Y20" s="31"/>
      <c r="Z20" s="31"/>
      <c r="AA20" s="29"/>
      <c r="AB20" s="29"/>
      <c r="AC20" s="24"/>
      <c r="AD20" s="26"/>
      <c r="AE20" s="27"/>
      <c r="AF20" s="26">
        <f t="shared" si="8"/>
        <v>0</v>
      </c>
      <c r="AH20" s="24"/>
      <c r="AI20" s="24"/>
      <c r="AJ20" s="31"/>
      <c r="AK20" s="31"/>
      <c r="AL20" s="29"/>
      <c r="AM20" s="29"/>
      <c r="AN20" s="24"/>
      <c r="AO20" s="26"/>
      <c r="AP20" s="27"/>
      <c r="AQ20" s="26">
        <f t="shared" si="9"/>
        <v>0</v>
      </c>
      <c r="AS20" s="24"/>
      <c r="AT20" s="24"/>
      <c r="AU20" s="31"/>
      <c r="AV20" s="31"/>
      <c r="AW20" s="29"/>
      <c r="AX20" s="29"/>
      <c r="AY20" s="24"/>
      <c r="AZ20" s="26"/>
      <c r="BA20" s="27"/>
      <c r="BB20" s="26">
        <f t="shared" si="10"/>
        <v>0</v>
      </c>
      <c r="BD20" s="24"/>
      <c r="BE20" s="24"/>
      <c r="BF20" s="31"/>
      <c r="BG20" s="31"/>
      <c r="BH20" s="29"/>
      <c r="BI20" s="29"/>
      <c r="BJ20" s="24"/>
      <c r="BK20" s="26"/>
      <c r="BL20" s="27"/>
      <c r="BM20" s="26">
        <f t="shared" si="11"/>
        <v>0</v>
      </c>
    </row>
    <row r="21" spans="1:65" s="30" customFormat="1" ht="20.100000000000001" customHeight="1" x14ac:dyDescent="0.3">
      <c r="A21" s="24"/>
      <c r="B21" s="24"/>
      <c r="C21" s="31"/>
      <c r="D21" s="31"/>
      <c r="E21" s="29"/>
      <c r="F21" s="29"/>
      <c r="G21" s="24"/>
      <c r="H21" s="26"/>
      <c r="I21" s="27"/>
      <c r="J21" s="26">
        <f t="shared" si="6"/>
        <v>0</v>
      </c>
      <c r="L21" s="24"/>
      <c r="M21" s="24"/>
      <c r="N21" s="31"/>
      <c r="O21" s="31"/>
      <c r="P21" s="29"/>
      <c r="Q21" s="29"/>
      <c r="R21" s="24"/>
      <c r="S21" s="26"/>
      <c r="T21" s="27"/>
      <c r="U21" s="26">
        <f t="shared" si="7"/>
        <v>0</v>
      </c>
      <c r="W21" s="24"/>
      <c r="X21" s="24"/>
      <c r="Y21" s="31"/>
      <c r="Z21" s="31"/>
      <c r="AA21" s="29"/>
      <c r="AB21" s="32"/>
      <c r="AC21" s="24"/>
      <c r="AD21" s="26"/>
      <c r="AE21" s="27"/>
      <c r="AF21" s="26">
        <f t="shared" si="8"/>
        <v>0</v>
      </c>
      <c r="AH21" s="24"/>
      <c r="AI21" s="24"/>
      <c r="AJ21" s="31"/>
      <c r="AK21" s="31"/>
      <c r="AL21" s="29"/>
      <c r="AM21" s="29"/>
      <c r="AN21" s="24"/>
      <c r="AO21" s="26"/>
      <c r="AP21" s="27"/>
      <c r="AQ21" s="26">
        <f t="shared" si="9"/>
        <v>0</v>
      </c>
      <c r="AS21" s="24"/>
      <c r="AT21" s="24"/>
      <c r="AU21" s="31"/>
      <c r="AV21" s="31"/>
      <c r="AW21" s="29"/>
      <c r="AX21" s="32"/>
      <c r="AY21" s="24"/>
      <c r="AZ21" s="26"/>
      <c r="BA21" s="27"/>
      <c r="BB21" s="26">
        <f t="shared" si="10"/>
        <v>0</v>
      </c>
      <c r="BD21" s="24"/>
      <c r="BE21" s="24"/>
      <c r="BF21" s="31"/>
      <c r="BG21" s="31"/>
      <c r="BH21" s="29"/>
      <c r="BI21" s="32"/>
      <c r="BJ21" s="24"/>
      <c r="BK21" s="26"/>
      <c r="BL21" s="27"/>
      <c r="BM21" s="26">
        <f t="shared" si="11"/>
        <v>0</v>
      </c>
    </row>
    <row r="22" spans="1:65" s="30" customFormat="1" ht="20.100000000000001" customHeight="1" x14ac:dyDescent="0.3">
      <c r="A22" s="24"/>
      <c r="B22" s="24"/>
      <c r="C22" s="31"/>
      <c r="D22" s="31"/>
      <c r="E22" s="29"/>
      <c r="F22" s="29"/>
      <c r="G22" s="24"/>
      <c r="H22" s="26"/>
      <c r="I22" s="27"/>
      <c r="J22" s="26">
        <f t="shared" si="6"/>
        <v>0</v>
      </c>
      <c r="L22" s="24"/>
      <c r="M22" s="24"/>
      <c r="N22" s="31"/>
      <c r="O22" s="31"/>
      <c r="P22" s="29"/>
      <c r="Q22" s="29"/>
      <c r="R22" s="24"/>
      <c r="S22" s="26"/>
      <c r="T22" s="27"/>
      <c r="U22" s="26">
        <f t="shared" si="7"/>
        <v>0</v>
      </c>
      <c r="W22" s="24"/>
      <c r="X22" s="24"/>
      <c r="Y22" s="31"/>
      <c r="Z22" s="31"/>
      <c r="AA22" s="29"/>
      <c r="AB22" s="33"/>
      <c r="AC22" s="24"/>
      <c r="AD22" s="26"/>
      <c r="AE22" s="27"/>
      <c r="AF22" s="26">
        <f t="shared" si="8"/>
        <v>0</v>
      </c>
      <c r="AH22" s="24"/>
      <c r="AI22" s="24"/>
      <c r="AJ22" s="31"/>
      <c r="AK22" s="31"/>
      <c r="AL22" s="29"/>
      <c r="AM22" s="29"/>
      <c r="AN22" s="24"/>
      <c r="AO22" s="26"/>
      <c r="AP22" s="27"/>
      <c r="AQ22" s="26">
        <f t="shared" si="9"/>
        <v>0</v>
      </c>
      <c r="AS22" s="24"/>
      <c r="AT22" s="24"/>
      <c r="AU22" s="31"/>
      <c r="AV22" s="31"/>
      <c r="AW22" s="29"/>
      <c r="AX22" s="33"/>
      <c r="AY22" s="24"/>
      <c r="AZ22" s="26"/>
      <c r="BA22" s="27"/>
      <c r="BB22" s="26">
        <f t="shared" si="10"/>
        <v>0</v>
      </c>
      <c r="BD22" s="24"/>
      <c r="BE22" s="24"/>
      <c r="BF22" s="31"/>
      <c r="BG22" s="31"/>
      <c r="BH22" s="29"/>
      <c r="BI22" s="33"/>
      <c r="BJ22" s="24"/>
      <c r="BK22" s="26"/>
      <c r="BL22" s="27"/>
      <c r="BM22" s="26">
        <f t="shared" si="11"/>
        <v>0</v>
      </c>
    </row>
    <row r="23" spans="1:65" s="30" customFormat="1" ht="20.100000000000001" customHeight="1" x14ac:dyDescent="0.3">
      <c r="A23" s="24"/>
      <c r="B23" s="24"/>
      <c r="C23" s="24"/>
      <c r="D23" s="24"/>
      <c r="E23" s="29"/>
      <c r="F23" s="33"/>
      <c r="G23" s="24"/>
      <c r="H23" s="26"/>
      <c r="I23" s="27"/>
      <c r="J23" s="26">
        <f t="shared" si="6"/>
        <v>0</v>
      </c>
      <c r="L23" s="24"/>
      <c r="M23" s="24"/>
      <c r="N23" s="24"/>
      <c r="O23" s="24"/>
      <c r="P23" s="29"/>
      <c r="Q23" s="33"/>
      <c r="R23" s="24"/>
      <c r="S23" s="26"/>
      <c r="T23" s="27"/>
      <c r="U23" s="26">
        <f t="shared" si="7"/>
        <v>0</v>
      </c>
      <c r="W23" s="24"/>
      <c r="X23" s="24"/>
      <c r="Y23" s="31"/>
      <c r="Z23" s="31"/>
      <c r="AA23" s="29"/>
      <c r="AB23" s="33"/>
      <c r="AC23" s="24"/>
      <c r="AD23" s="26"/>
      <c r="AE23" s="27"/>
      <c r="AF23" s="26">
        <f t="shared" si="8"/>
        <v>0</v>
      </c>
      <c r="AH23" s="24"/>
      <c r="AI23" s="24"/>
      <c r="AJ23" s="31"/>
      <c r="AK23" s="31"/>
      <c r="AL23" s="29"/>
      <c r="AM23" s="33"/>
      <c r="AN23" s="24"/>
      <c r="AO23" s="26"/>
      <c r="AP23" s="27"/>
      <c r="AQ23" s="26">
        <f t="shared" si="9"/>
        <v>0</v>
      </c>
      <c r="AS23" s="24"/>
      <c r="AT23" s="24"/>
      <c r="AU23" s="31"/>
      <c r="AV23" s="31"/>
      <c r="AW23" s="29"/>
      <c r="AX23" s="33"/>
      <c r="AY23" s="24"/>
      <c r="AZ23" s="26"/>
      <c r="BA23" s="27"/>
      <c r="BB23" s="26">
        <f t="shared" si="10"/>
        <v>0</v>
      </c>
      <c r="BD23" s="24"/>
      <c r="BE23" s="24"/>
      <c r="BF23" s="24"/>
      <c r="BG23" s="24"/>
      <c r="BH23" s="29"/>
      <c r="BI23" s="33"/>
      <c r="BJ23" s="24"/>
      <c r="BK23" s="26"/>
      <c r="BL23" s="27"/>
      <c r="BM23" s="26">
        <f t="shared" si="11"/>
        <v>0</v>
      </c>
    </row>
    <row r="24" spans="1:65" s="30" customFormat="1" ht="20.100000000000001" customHeight="1" x14ac:dyDescent="0.3">
      <c r="A24" s="34"/>
      <c r="B24" s="34"/>
      <c r="C24" s="34"/>
      <c r="D24" s="34"/>
      <c r="E24" s="35"/>
      <c r="F24" s="35"/>
      <c r="G24" s="36"/>
      <c r="H24" s="26">
        <f>SUM(H18:H23)</f>
        <v>0</v>
      </c>
      <c r="I24" s="27">
        <f>SUM(I18:I23)</f>
        <v>0</v>
      </c>
      <c r="J24" s="26">
        <f>SUM(J18:J23)</f>
        <v>0</v>
      </c>
      <c r="L24" s="34"/>
      <c r="M24" s="34"/>
      <c r="N24" s="34"/>
      <c r="O24" s="34"/>
      <c r="P24" s="35"/>
      <c r="Q24" s="35"/>
      <c r="R24" s="36"/>
      <c r="S24" s="26">
        <f>SUM(S18:S23)</f>
        <v>0</v>
      </c>
      <c r="T24" s="27">
        <f>SUM(T18:T23)</f>
        <v>0</v>
      </c>
      <c r="U24" s="26">
        <f>SUM(U18:U23)</f>
        <v>0</v>
      </c>
      <c r="W24" s="34"/>
      <c r="X24" s="34"/>
      <c r="Y24" s="34"/>
      <c r="Z24" s="34"/>
      <c r="AA24" s="35"/>
      <c r="AB24" s="35"/>
      <c r="AC24" s="36"/>
      <c r="AD24" s="26">
        <f>SUM(AD18:AD23)</f>
        <v>0</v>
      </c>
      <c r="AE24" s="27">
        <f>SUM(AE18:AE23)</f>
        <v>0</v>
      </c>
      <c r="AF24" s="26">
        <f>SUM(AF18:AF23)</f>
        <v>0</v>
      </c>
      <c r="AH24" s="34"/>
      <c r="AI24" s="34"/>
      <c r="AJ24" s="34"/>
      <c r="AK24" s="34"/>
      <c r="AL24" s="35"/>
      <c r="AM24" s="35"/>
      <c r="AN24" s="36"/>
      <c r="AO24" s="26">
        <f>SUM(AO18:AO23)</f>
        <v>0</v>
      </c>
      <c r="AP24" s="27">
        <f>SUM(AP18:AP23)</f>
        <v>0</v>
      </c>
      <c r="AQ24" s="26">
        <f>SUM(AQ18:AQ23)</f>
        <v>0</v>
      </c>
      <c r="AS24" s="34"/>
      <c r="AT24" s="34"/>
      <c r="AU24" s="34"/>
      <c r="AV24" s="34"/>
      <c r="AW24" s="29" t="s">
        <v>376</v>
      </c>
      <c r="AX24" s="35"/>
      <c r="AY24" s="36"/>
      <c r="AZ24" s="26">
        <f>SUM(AZ18:AZ23)</f>
        <v>0</v>
      </c>
      <c r="BA24" s="27">
        <f>SUM(BA18:BA23)</f>
        <v>0</v>
      </c>
      <c r="BB24" s="26">
        <f>SUM(BB18:BB23)</f>
        <v>0</v>
      </c>
      <c r="BD24" s="34"/>
      <c r="BE24" s="34"/>
      <c r="BF24" s="34"/>
      <c r="BG24" s="34"/>
      <c r="BH24" s="35"/>
      <c r="BI24" s="35"/>
      <c r="BJ24" s="36"/>
      <c r="BK24" s="26">
        <f>SUM(BK18:BK23)</f>
        <v>0</v>
      </c>
      <c r="BL24" s="27">
        <f>SUM(BL18:BL23)</f>
        <v>0</v>
      </c>
      <c r="BM24" s="26">
        <f>SUM(BM18:BM23)</f>
        <v>0</v>
      </c>
    </row>
    <row r="25" spans="1:65" ht="15.6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2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28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28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28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28"/>
      <c r="BD25" s="41"/>
      <c r="BE25" s="41"/>
      <c r="BF25" s="41"/>
      <c r="BG25" s="41"/>
      <c r="BH25" s="41"/>
      <c r="BI25" s="41"/>
      <c r="BJ25" s="41"/>
      <c r="BK25" s="41"/>
      <c r="BL25" s="41"/>
      <c r="BM25" s="41"/>
    </row>
    <row r="26" spans="1:65" ht="15.6" x14ac:dyDescent="0.3">
      <c r="A26" s="82" t="s">
        <v>0</v>
      </c>
      <c r="B26" s="82"/>
      <c r="C26" s="82"/>
      <c r="D26" s="82"/>
      <c r="E26" s="82"/>
      <c r="F26" s="82"/>
      <c r="G26" s="82"/>
      <c r="H26" s="82"/>
      <c r="I26" s="82"/>
      <c r="J26" s="82"/>
      <c r="K26" s="28"/>
      <c r="L26" s="82" t="s">
        <v>1</v>
      </c>
      <c r="M26" s="82"/>
      <c r="N26" s="82"/>
      <c r="O26" s="82"/>
      <c r="P26" s="82"/>
      <c r="Q26" s="82"/>
      <c r="R26" s="82"/>
      <c r="S26" s="82"/>
      <c r="T26" s="82"/>
      <c r="U26" s="82"/>
      <c r="V26" s="28"/>
      <c r="W26" s="82" t="s">
        <v>2</v>
      </c>
      <c r="X26" s="82"/>
      <c r="Y26" s="82"/>
      <c r="Z26" s="82"/>
      <c r="AA26" s="82"/>
      <c r="AB26" s="82"/>
      <c r="AC26" s="82"/>
      <c r="AD26" s="82"/>
      <c r="AE26" s="82"/>
      <c r="AF26" s="82"/>
      <c r="AG26" s="28"/>
      <c r="AH26" s="82" t="s">
        <v>3</v>
      </c>
      <c r="AI26" s="82"/>
      <c r="AJ26" s="82"/>
      <c r="AK26" s="82"/>
      <c r="AL26" s="82"/>
      <c r="AM26" s="82"/>
      <c r="AN26" s="82"/>
      <c r="AO26" s="82"/>
      <c r="AP26" s="82"/>
      <c r="AQ26" s="82"/>
      <c r="AR26" s="28"/>
      <c r="AS26" s="82" t="s">
        <v>4</v>
      </c>
      <c r="AT26" s="82"/>
      <c r="AU26" s="82"/>
      <c r="AV26" s="82"/>
      <c r="AW26" s="82"/>
      <c r="AX26" s="82"/>
      <c r="AY26" s="82"/>
      <c r="AZ26" s="82"/>
      <c r="BA26" s="82"/>
      <c r="BB26" s="82"/>
      <c r="BC26" s="28"/>
      <c r="BD26" s="82" t="s">
        <v>5</v>
      </c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ht="15.6" x14ac:dyDescent="0.3">
      <c r="A27" s="82" t="s">
        <v>19</v>
      </c>
      <c r="B27" s="82"/>
      <c r="C27" s="82"/>
      <c r="D27" s="82"/>
      <c r="E27" s="82"/>
      <c r="F27" s="82"/>
      <c r="G27" s="82"/>
      <c r="H27" s="82"/>
      <c r="I27" s="82"/>
      <c r="J27" s="82"/>
      <c r="K27" s="28"/>
      <c r="L27" s="82" t="s">
        <v>19</v>
      </c>
      <c r="M27" s="82"/>
      <c r="N27" s="82"/>
      <c r="O27" s="82"/>
      <c r="P27" s="82"/>
      <c r="Q27" s="82"/>
      <c r="R27" s="82"/>
      <c r="S27" s="82"/>
      <c r="T27" s="82"/>
      <c r="U27" s="82"/>
      <c r="V27" s="28"/>
      <c r="W27" s="82" t="s">
        <v>19</v>
      </c>
      <c r="X27" s="82"/>
      <c r="Y27" s="82"/>
      <c r="Z27" s="82"/>
      <c r="AA27" s="82"/>
      <c r="AB27" s="82"/>
      <c r="AC27" s="82"/>
      <c r="AD27" s="82"/>
      <c r="AE27" s="82"/>
      <c r="AF27" s="82"/>
      <c r="AG27" s="28"/>
      <c r="AH27" s="82" t="s">
        <v>19</v>
      </c>
      <c r="AI27" s="82"/>
      <c r="AJ27" s="82"/>
      <c r="AK27" s="82"/>
      <c r="AL27" s="82"/>
      <c r="AM27" s="82"/>
      <c r="AN27" s="82"/>
      <c r="AO27" s="82"/>
      <c r="AP27" s="82"/>
      <c r="AQ27" s="82"/>
      <c r="AR27" s="28"/>
      <c r="AS27" s="82" t="s">
        <v>19</v>
      </c>
      <c r="AT27" s="82"/>
      <c r="AU27" s="82"/>
      <c r="AV27" s="82"/>
      <c r="AW27" s="82"/>
      <c r="AX27" s="82"/>
      <c r="AY27" s="82"/>
      <c r="AZ27" s="82"/>
      <c r="BA27" s="82"/>
      <c r="BB27" s="82"/>
      <c r="BC27" s="28"/>
      <c r="BD27" s="82" t="s">
        <v>19</v>
      </c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s="30" customFormat="1" ht="35.1" customHeight="1" x14ac:dyDescent="0.3">
      <c r="A28" s="37" t="s">
        <v>308</v>
      </c>
      <c r="B28" s="38" t="s">
        <v>309</v>
      </c>
      <c r="C28" s="37" t="s">
        <v>310</v>
      </c>
      <c r="D28" s="37" t="s">
        <v>311</v>
      </c>
      <c r="E28" s="38" t="s">
        <v>312</v>
      </c>
      <c r="F28" s="39"/>
      <c r="G28" s="38" t="s">
        <v>313</v>
      </c>
      <c r="H28" s="38" t="s">
        <v>314</v>
      </c>
      <c r="I28" s="38" t="s">
        <v>315</v>
      </c>
      <c r="J28" s="38" t="s">
        <v>316</v>
      </c>
      <c r="L28" s="37" t="s">
        <v>308</v>
      </c>
      <c r="M28" s="38" t="s">
        <v>309</v>
      </c>
      <c r="N28" s="37" t="s">
        <v>310</v>
      </c>
      <c r="O28" s="37" t="s">
        <v>311</v>
      </c>
      <c r="P28" s="38" t="s">
        <v>312</v>
      </c>
      <c r="Q28" s="39"/>
      <c r="R28" s="38" t="s">
        <v>313</v>
      </c>
      <c r="S28" s="38" t="s">
        <v>314</v>
      </c>
      <c r="T28" s="38" t="s">
        <v>315</v>
      </c>
      <c r="U28" s="38" t="s">
        <v>316</v>
      </c>
      <c r="W28" s="37" t="s">
        <v>308</v>
      </c>
      <c r="X28" s="38" t="s">
        <v>309</v>
      </c>
      <c r="Y28" s="37" t="s">
        <v>310</v>
      </c>
      <c r="Z28" s="37" t="s">
        <v>311</v>
      </c>
      <c r="AA28" s="38" t="s">
        <v>312</v>
      </c>
      <c r="AB28" s="39"/>
      <c r="AC28" s="38" t="s">
        <v>313</v>
      </c>
      <c r="AD28" s="38" t="s">
        <v>314</v>
      </c>
      <c r="AE28" s="38" t="s">
        <v>315</v>
      </c>
      <c r="AF28" s="38" t="s">
        <v>316</v>
      </c>
      <c r="AH28" s="37" t="s">
        <v>308</v>
      </c>
      <c r="AI28" s="38" t="s">
        <v>309</v>
      </c>
      <c r="AJ28" s="37" t="s">
        <v>310</v>
      </c>
      <c r="AK28" s="37" t="s">
        <v>311</v>
      </c>
      <c r="AL28" s="38" t="s">
        <v>312</v>
      </c>
      <c r="AM28" s="39"/>
      <c r="AN28" s="38" t="s">
        <v>313</v>
      </c>
      <c r="AO28" s="38" t="s">
        <v>314</v>
      </c>
      <c r="AP28" s="38" t="s">
        <v>315</v>
      </c>
      <c r="AQ28" s="38" t="s">
        <v>316</v>
      </c>
      <c r="AS28" s="37" t="s">
        <v>308</v>
      </c>
      <c r="AT28" s="38" t="s">
        <v>309</v>
      </c>
      <c r="AU28" s="37" t="s">
        <v>310</v>
      </c>
      <c r="AV28" s="37" t="s">
        <v>311</v>
      </c>
      <c r="AW28" s="38" t="s">
        <v>312</v>
      </c>
      <c r="AX28" s="39"/>
      <c r="AY28" s="38" t="s">
        <v>313</v>
      </c>
      <c r="AZ28" s="38" t="s">
        <v>314</v>
      </c>
      <c r="BA28" s="38" t="s">
        <v>315</v>
      </c>
      <c r="BB28" s="38" t="s">
        <v>316</v>
      </c>
      <c r="BD28" s="37" t="s">
        <v>308</v>
      </c>
      <c r="BE28" s="38" t="s">
        <v>309</v>
      </c>
      <c r="BF28" s="37" t="s">
        <v>310</v>
      </c>
      <c r="BG28" s="37" t="s">
        <v>311</v>
      </c>
      <c r="BH28" s="38" t="s">
        <v>312</v>
      </c>
      <c r="BI28" s="39"/>
      <c r="BJ28" s="38" t="s">
        <v>313</v>
      </c>
      <c r="BK28" s="38" t="s">
        <v>314</v>
      </c>
      <c r="BL28" s="38" t="s">
        <v>315</v>
      </c>
      <c r="BM28" s="38" t="s">
        <v>316</v>
      </c>
    </row>
    <row r="29" spans="1:65" s="30" customFormat="1" ht="20.100000000000001" customHeight="1" x14ac:dyDescent="0.3">
      <c r="A29" s="24"/>
      <c r="B29" s="24"/>
      <c r="C29" s="31"/>
      <c r="D29" s="31"/>
      <c r="E29" s="29"/>
      <c r="F29" s="29"/>
      <c r="G29" s="24"/>
      <c r="H29" s="26"/>
      <c r="I29" s="27"/>
      <c r="J29" s="26">
        <f>H29-I29</f>
        <v>0</v>
      </c>
      <c r="L29" s="24"/>
      <c r="M29" s="24"/>
      <c r="N29" s="31"/>
      <c r="O29" s="31"/>
      <c r="P29" s="29"/>
      <c r="Q29" s="29"/>
      <c r="R29" s="24"/>
      <c r="S29" s="26"/>
      <c r="T29" s="27"/>
      <c r="U29" s="26">
        <f>S29-T29</f>
        <v>0</v>
      </c>
      <c r="W29" s="24"/>
      <c r="X29" s="24"/>
      <c r="Y29" s="31"/>
      <c r="Z29" s="31"/>
      <c r="AA29" s="29"/>
      <c r="AB29" s="29"/>
      <c r="AC29" s="24"/>
      <c r="AD29" s="26"/>
      <c r="AE29" s="27"/>
      <c r="AF29" s="26">
        <f>AD29-AE29</f>
        <v>0</v>
      </c>
      <c r="AH29" s="24"/>
      <c r="AI29" s="24"/>
      <c r="AJ29" s="31"/>
      <c r="AK29" s="31"/>
      <c r="AL29" s="29"/>
      <c r="AM29" s="29"/>
      <c r="AN29" s="24"/>
      <c r="AO29" s="26"/>
      <c r="AP29" s="27"/>
      <c r="AQ29" s="26">
        <f>AO29-AP29</f>
        <v>0</v>
      </c>
      <c r="AS29" s="24"/>
      <c r="AT29" s="24"/>
      <c r="AU29" s="31"/>
      <c r="AV29" s="31"/>
      <c r="AW29" s="29"/>
      <c r="AX29" s="29"/>
      <c r="AY29" s="24"/>
      <c r="AZ29" s="26"/>
      <c r="BA29" s="27"/>
      <c r="BB29" s="26">
        <f>AZ29-BA29</f>
        <v>0</v>
      </c>
      <c r="BD29" s="24"/>
      <c r="BE29" s="24"/>
      <c r="BF29" s="31"/>
      <c r="BG29" s="31"/>
      <c r="BH29" s="29"/>
      <c r="BI29" s="29"/>
      <c r="BJ29" s="24"/>
      <c r="BK29" s="26"/>
      <c r="BL29" s="27"/>
      <c r="BM29" s="26">
        <f>BK29-BL29</f>
        <v>0</v>
      </c>
    </row>
    <row r="30" spans="1:65" s="30" customFormat="1" ht="20.100000000000001" customHeight="1" x14ac:dyDescent="0.3">
      <c r="A30" s="24"/>
      <c r="B30" s="24"/>
      <c r="C30" s="31"/>
      <c r="D30" s="31"/>
      <c r="E30" s="29"/>
      <c r="F30" s="29"/>
      <c r="G30" s="24"/>
      <c r="H30" s="26"/>
      <c r="I30" s="27"/>
      <c r="J30" s="26">
        <f t="shared" ref="J30:J34" si="12">H30-I30</f>
        <v>0</v>
      </c>
      <c r="L30" s="24"/>
      <c r="M30" s="24"/>
      <c r="N30" s="31"/>
      <c r="O30" s="31"/>
      <c r="P30" s="29"/>
      <c r="Q30" s="29"/>
      <c r="R30" s="24"/>
      <c r="S30" s="26"/>
      <c r="T30" s="27"/>
      <c r="U30" s="26">
        <f t="shared" ref="U30:U34" si="13">S30-T30</f>
        <v>0</v>
      </c>
      <c r="W30" s="24"/>
      <c r="X30" s="24"/>
      <c r="Y30" s="31"/>
      <c r="Z30" s="31"/>
      <c r="AA30" s="29"/>
      <c r="AB30" s="29"/>
      <c r="AC30" s="24"/>
      <c r="AD30" s="26"/>
      <c r="AE30" s="27"/>
      <c r="AF30" s="26">
        <f t="shared" ref="AF30:AF34" si="14">AD30-AE30</f>
        <v>0</v>
      </c>
      <c r="AH30" s="24"/>
      <c r="AI30" s="24"/>
      <c r="AJ30" s="31"/>
      <c r="AK30" s="31"/>
      <c r="AL30" s="29"/>
      <c r="AM30" s="29"/>
      <c r="AN30" s="24"/>
      <c r="AO30" s="26"/>
      <c r="AP30" s="27"/>
      <c r="AQ30" s="26">
        <f t="shared" ref="AQ30:AQ34" si="15">AO30-AP30</f>
        <v>0</v>
      </c>
      <c r="AS30" s="24"/>
      <c r="AT30" s="24"/>
      <c r="AU30" s="31"/>
      <c r="AV30" s="31"/>
      <c r="AW30" s="29"/>
      <c r="AX30" s="29"/>
      <c r="AY30" s="24"/>
      <c r="AZ30" s="26"/>
      <c r="BA30" s="27"/>
      <c r="BB30" s="26">
        <f t="shared" ref="BB30:BB34" si="16">AZ30-BA30</f>
        <v>0</v>
      </c>
      <c r="BD30" s="24"/>
      <c r="BE30" s="24"/>
      <c r="BF30" s="31"/>
      <c r="BG30" s="31"/>
      <c r="BH30" s="29"/>
      <c r="BI30" s="29"/>
      <c r="BJ30" s="24"/>
      <c r="BK30" s="26"/>
      <c r="BL30" s="27"/>
      <c r="BM30" s="26">
        <f t="shared" ref="BM30:BM34" si="17">BK30-BL30</f>
        <v>0</v>
      </c>
    </row>
    <row r="31" spans="1:65" s="30" customFormat="1" ht="20.100000000000001" customHeight="1" x14ac:dyDescent="0.3">
      <c r="A31" s="24"/>
      <c r="B31" s="24"/>
      <c r="C31" s="31"/>
      <c r="D31" s="31"/>
      <c r="E31" s="29"/>
      <c r="F31" s="29"/>
      <c r="G31" s="24"/>
      <c r="H31" s="26"/>
      <c r="I31" s="27"/>
      <c r="J31" s="26">
        <f t="shared" si="12"/>
        <v>0</v>
      </c>
      <c r="L31" s="24"/>
      <c r="M31" s="24"/>
      <c r="N31" s="31"/>
      <c r="O31" s="31"/>
      <c r="P31" s="29"/>
      <c r="Q31" s="29"/>
      <c r="R31" s="24"/>
      <c r="S31" s="26"/>
      <c r="T31" s="27"/>
      <c r="U31" s="26">
        <f t="shared" si="13"/>
        <v>0</v>
      </c>
      <c r="W31" s="24"/>
      <c r="X31" s="24"/>
      <c r="Y31" s="31"/>
      <c r="Z31" s="31"/>
      <c r="AA31" s="29"/>
      <c r="AB31" s="29"/>
      <c r="AC31" s="24"/>
      <c r="AD31" s="26"/>
      <c r="AE31" s="27"/>
      <c r="AF31" s="26">
        <f t="shared" si="14"/>
        <v>0</v>
      </c>
      <c r="AH31" s="24"/>
      <c r="AI31" s="24"/>
      <c r="AJ31" s="31"/>
      <c r="AK31" s="31"/>
      <c r="AL31" s="29"/>
      <c r="AM31" s="29"/>
      <c r="AN31" s="24"/>
      <c r="AO31" s="26"/>
      <c r="AP31" s="27"/>
      <c r="AQ31" s="26">
        <f t="shared" si="15"/>
        <v>0</v>
      </c>
      <c r="AS31" s="24"/>
      <c r="AT31" s="24"/>
      <c r="AU31" s="31"/>
      <c r="AV31" s="31"/>
      <c r="AW31" s="29"/>
      <c r="AX31" s="29"/>
      <c r="AY31" s="24"/>
      <c r="AZ31" s="26"/>
      <c r="BA31" s="27"/>
      <c r="BB31" s="26">
        <f t="shared" si="16"/>
        <v>0</v>
      </c>
      <c r="BD31" s="24"/>
      <c r="BE31" s="24"/>
      <c r="BF31" s="31"/>
      <c r="BG31" s="31"/>
      <c r="BH31" s="29"/>
      <c r="BI31" s="29"/>
      <c r="BJ31" s="24"/>
      <c r="BK31" s="26"/>
      <c r="BL31" s="27"/>
      <c r="BM31" s="26">
        <f t="shared" si="17"/>
        <v>0</v>
      </c>
    </row>
    <row r="32" spans="1:65" s="30" customFormat="1" ht="20.100000000000001" customHeight="1" x14ac:dyDescent="0.3">
      <c r="A32" s="24"/>
      <c r="B32" s="24"/>
      <c r="C32" s="31"/>
      <c r="D32" s="31"/>
      <c r="E32" s="29"/>
      <c r="F32" s="29"/>
      <c r="G32" s="24"/>
      <c r="H32" s="26"/>
      <c r="I32" s="27"/>
      <c r="J32" s="26">
        <f t="shared" si="12"/>
        <v>0</v>
      </c>
      <c r="L32" s="24"/>
      <c r="M32" s="24"/>
      <c r="N32" s="31"/>
      <c r="O32" s="31"/>
      <c r="P32" s="29"/>
      <c r="Q32" s="29"/>
      <c r="R32" s="24"/>
      <c r="S32" s="26"/>
      <c r="T32" s="27"/>
      <c r="U32" s="26">
        <f t="shared" si="13"/>
        <v>0</v>
      </c>
      <c r="W32" s="24"/>
      <c r="X32" s="24"/>
      <c r="Y32" s="31"/>
      <c r="Z32" s="31"/>
      <c r="AA32" s="29"/>
      <c r="AB32" s="32"/>
      <c r="AC32" s="24"/>
      <c r="AD32" s="26"/>
      <c r="AE32" s="27"/>
      <c r="AF32" s="26">
        <f t="shared" si="14"/>
        <v>0</v>
      </c>
      <c r="AH32" s="24"/>
      <c r="AI32" s="24"/>
      <c r="AJ32" s="31"/>
      <c r="AK32" s="31"/>
      <c r="AL32" s="29"/>
      <c r="AM32" s="33"/>
      <c r="AN32" s="24"/>
      <c r="AO32" s="26"/>
      <c r="AP32" s="27"/>
      <c r="AQ32" s="26">
        <f t="shared" si="15"/>
        <v>0</v>
      </c>
      <c r="AS32" s="24"/>
      <c r="AT32" s="24"/>
      <c r="AU32" s="31"/>
      <c r="AV32" s="31"/>
      <c r="AW32" s="29"/>
      <c r="AX32" s="32"/>
      <c r="AY32" s="24"/>
      <c r="AZ32" s="26"/>
      <c r="BA32" s="27"/>
      <c r="BB32" s="26">
        <f t="shared" si="16"/>
        <v>0</v>
      </c>
      <c r="BD32" s="24"/>
      <c r="BE32" s="24"/>
      <c r="BF32" s="31"/>
      <c r="BG32" s="31"/>
      <c r="BH32" s="29"/>
      <c r="BI32" s="32"/>
      <c r="BJ32" s="24"/>
      <c r="BK32" s="26"/>
      <c r="BL32" s="27"/>
      <c r="BM32" s="26">
        <f t="shared" si="17"/>
        <v>0</v>
      </c>
    </row>
    <row r="33" spans="1:65" s="30" customFormat="1" ht="20.100000000000001" customHeight="1" x14ac:dyDescent="0.3">
      <c r="A33" s="24"/>
      <c r="B33" s="24"/>
      <c r="C33" s="31"/>
      <c r="D33" s="31"/>
      <c r="E33" s="29"/>
      <c r="F33" s="29"/>
      <c r="G33" s="24"/>
      <c r="H33" s="26"/>
      <c r="I33" s="27"/>
      <c r="J33" s="26">
        <f t="shared" si="12"/>
        <v>0</v>
      </c>
      <c r="L33" s="24"/>
      <c r="M33" s="24"/>
      <c r="N33" s="31"/>
      <c r="O33" s="31"/>
      <c r="P33" s="29"/>
      <c r="Q33" s="29"/>
      <c r="R33" s="24"/>
      <c r="S33" s="26"/>
      <c r="T33" s="27"/>
      <c r="U33" s="26">
        <f t="shared" si="13"/>
        <v>0</v>
      </c>
      <c r="W33" s="24"/>
      <c r="X33" s="24"/>
      <c r="Y33" s="31"/>
      <c r="Z33" s="31"/>
      <c r="AA33" s="29"/>
      <c r="AB33" s="33"/>
      <c r="AC33" s="24"/>
      <c r="AD33" s="26"/>
      <c r="AE33" s="27"/>
      <c r="AF33" s="26">
        <f t="shared" si="14"/>
        <v>0</v>
      </c>
      <c r="AH33" s="24"/>
      <c r="AI33" s="24"/>
      <c r="AJ33" s="31"/>
      <c r="AK33" s="31"/>
      <c r="AL33" s="29"/>
      <c r="AM33" s="33"/>
      <c r="AN33" s="24"/>
      <c r="AO33" s="26"/>
      <c r="AP33" s="27"/>
      <c r="AQ33" s="26">
        <f t="shared" si="15"/>
        <v>0</v>
      </c>
      <c r="AS33" s="24"/>
      <c r="AT33" s="24"/>
      <c r="AU33" s="31"/>
      <c r="AV33" s="31"/>
      <c r="AW33" s="29"/>
      <c r="AX33" s="33"/>
      <c r="AY33" s="24"/>
      <c r="AZ33" s="26"/>
      <c r="BA33" s="27"/>
      <c r="BB33" s="26">
        <f t="shared" si="16"/>
        <v>0</v>
      </c>
      <c r="BD33" s="24"/>
      <c r="BE33" s="24"/>
      <c r="BF33" s="31"/>
      <c r="BG33" s="31"/>
      <c r="BH33" s="29"/>
      <c r="BI33" s="33"/>
      <c r="BJ33" s="24"/>
      <c r="BK33" s="26"/>
      <c r="BL33" s="27"/>
      <c r="BM33" s="26">
        <f t="shared" si="17"/>
        <v>0</v>
      </c>
    </row>
    <row r="34" spans="1:65" s="30" customFormat="1" ht="20.100000000000001" customHeight="1" x14ac:dyDescent="0.3">
      <c r="A34" s="24"/>
      <c r="B34" s="24"/>
      <c r="C34" s="24"/>
      <c r="D34" s="24"/>
      <c r="E34" s="29"/>
      <c r="F34" s="33"/>
      <c r="G34" s="24"/>
      <c r="H34" s="26"/>
      <c r="I34" s="27"/>
      <c r="J34" s="26">
        <f t="shared" si="12"/>
        <v>0</v>
      </c>
      <c r="L34" s="24"/>
      <c r="M34" s="24"/>
      <c r="N34" s="24"/>
      <c r="O34" s="24"/>
      <c r="P34" s="29"/>
      <c r="Q34" s="33"/>
      <c r="R34" s="24"/>
      <c r="S34" s="26"/>
      <c r="T34" s="27"/>
      <c r="U34" s="26">
        <f t="shared" si="13"/>
        <v>0</v>
      </c>
      <c r="W34" s="24"/>
      <c r="X34" s="24"/>
      <c r="Y34" s="31"/>
      <c r="Z34" s="31"/>
      <c r="AA34" s="29"/>
      <c r="AB34" s="33"/>
      <c r="AC34" s="24"/>
      <c r="AD34" s="26"/>
      <c r="AE34" s="27"/>
      <c r="AF34" s="26">
        <f t="shared" si="14"/>
        <v>0</v>
      </c>
      <c r="AH34" s="24"/>
      <c r="AI34" s="24"/>
      <c r="AJ34" s="24"/>
      <c r="AK34" s="24"/>
      <c r="AL34" s="29"/>
      <c r="AM34" s="33"/>
      <c r="AN34" s="24"/>
      <c r="AO34" s="26"/>
      <c r="AP34" s="27"/>
      <c r="AQ34" s="26">
        <f t="shared" si="15"/>
        <v>0</v>
      </c>
      <c r="AS34" s="24"/>
      <c r="AT34" s="24"/>
      <c r="AU34" s="31"/>
      <c r="AV34" s="31"/>
      <c r="AW34" s="29"/>
      <c r="AX34" s="33"/>
      <c r="AY34" s="24"/>
      <c r="AZ34" s="26"/>
      <c r="BA34" s="27"/>
      <c r="BB34" s="26">
        <f t="shared" si="16"/>
        <v>0</v>
      </c>
      <c r="BD34" s="24"/>
      <c r="BE34" s="24"/>
      <c r="BF34" s="24"/>
      <c r="BG34" s="24"/>
      <c r="BH34" s="29"/>
      <c r="BI34" s="33"/>
      <c r="BJ34" s="24"/>
      <c r="BK34" s="26"/>
      <c r="BL34" s="27"/>
      <c r="BM34" s="26">
        <f t="shared" si="17"/>
        <v>0</v>
      </c>
    </row>
    <row r="35" spans="1:65" s="30" customFormat="1" ht="20.100000000000001" customHeight="1" x14ac:dyDescent="0.3">
      <c r="A35" s="34"/>
      <c r="B35" s="34"/>
      <c r="C35" s="34"/>
      <c r="D35" s="34"/>
      <c r="E35" s="35"/>
      <c r="F35" s="35"/>
      <c r="G35" s="36"/>
      <c r="H35" s="26">
        <f>SUM(H29:H34)</f>
        <v>0</v>
      </c>
      <c r="I35" s="27">
        <f>SUM(I29:I34)</f>
        <v>0</v>
      </c>
      <c r="J35" s="26">
        <f>SUM(J29:J34)</f>
        <v>0</v>
      </c>
      <c r="L35" s="34"/>
      <c r="M35" s="34"/>
      <c r="N35" s="34"/>
      <c r="O35" s="34"/>
      <c r="P35" s="35"/>
      <c r="Q35" s="35"/>
      <c r="R35" s="36"/>
      <c r="S35" s="26">
        <f>SUM(S29:S34)</f>
        <v>0</v>
      </c>
      <c r="T35" s="27">
        <f>SUM(T29:T34)</f>
        <v>0</v>
      </c>
      <c r="U35" s="26">
        <f>SUM(U29:U34)</f>
        <v>0</v>
      </c>
      <c r="W35" s="34"/>
      <c r="X35" s="34"/>
      <c r="Y35" s="34"/>
      <c r="Z35" s="34"/>
      <c r="AA35" s="35"/>
      <c r="AB35" s="35"/>
      <c r="AC35" s="36"/>
      <c r="AD35" s="26">
        <f>SUM(AD29:AD34)</f>
        <v>0</v>
      </c>
      <c r="AE35" s="27">
        <f>SUM(AE29:AE34)</f>
        <v>0</v>
      </c>
      <c r="AF35" s="26">
        <f>SUM(AF29:AF34)</f>
        <v>0</v>
      </c>
      <c r="AH35" s="34"/>
      <c r="AI35" s="34"/>
      <c r="AJ35" s="34"/>
      <c r="AK35" s="34"/>
      <c r="AL35" s="35"/>
      <c r="AM35" s="35"/>
      <c r="AN35" s="36"/>
      <c r="AO35" s="26">
        <f>SUM(AO29:AO34)</f>
        <v>0</v>
      </c>
      <c r="AP35" s="27">
        <f>SUM(AP29:AP34)</f>
        <v>0</v>
      </c>
      <c r="AQ35" s="26">
        <f>SUM(AQ29:AQ34)</f>
        <v>0</v>
      </c>
      <c r="AS35" s="34"/>
      <c r="AT35" s="34"/>
      <c r="AU35" s="34"/>
      <c r="AV35" s="34"/>
      <c r="AW35" s="35"/>
      <c r="AX35" s="35"/>
      <c r="AY35" s="36"/>
      <c r="AZ35" s="26">
        <f>SUM(AZ29:AZ34)</f>
        <v>0</v>
      </c>
      <c r="BA35" s="27">
        <f>SUM(BA29:BA34)</f>
        <v>0</v>
      </c>
      <c r="BB35" s="26">
        <f>SUM(BB29:BB34)</f>
        <v>0</v>
      </c>
      <c r="BD35" s="34"/>
      <c r="BE35" s="34"/>
      <c r="BF35" s="34"/>
      <c r="BG35" s="34"/>
      <c r="BH35" s="35"/>
      <c r="BI35" s="35"/>
      <c r="BJ35" s="36"/>
      <c r="BK35" s="26">
        <f>SUM(BK29:BK34)</f>
        <v>0</v>
      </c>
      <c r="BL35" s="27">
        <f>SUM(BL29:BL34)</f>
        <v>0</v>
      </c>
      <c r="BM35" s="26">
        <f>SUM(BM29:BM34)</f>
        <v>0</v>
      </c>
    </row>
    <row r="36" spans="1:65" ht="15.6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2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28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28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28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28"/>
      <c r="BD36" s="41"/>
      <c r="BE36" s="41"/>
      <c r="BF36" s="41"/>
      <c r="BG36" s="41"/>
      <c r="BH36" s="41"/>
      <c r="BI36" s="41"/>
      <c r="BJ36" s="41"/>
      <c r="BK36" s="41"/>
      <c r="BL36" s="41"/>
      <c r="BM36" s="41"/>
    </row>
    <row r="37" spans="1:65" ht="15.6" x14ac:dyDescent="0.3">
      <c r="A37" s="82" t="s">
        <v>0</v>
      </c>
      <c r="B37" s="82"/>
      <c r="C37" s="82"/>
      <c r="D37" s="82"/>
      <c r="E37" s="82"/>
      <c r="F37" s="82"/>
      <c r="G37" s="82"/>
      <c r="H37" s="82"/>
      <c r="I37" s="82"/>
      <c r="J37" s="82"/>
      <c r="K37" s="28"/>
      <c r="L37" s="82" t="s">
        <v>1</v>
      </c>
      <c r="M37" s="82"/>
      <c r="N37" s="82"/>
      <c r="O37" s="82"/>
      <c r="P37" s="82"/>
      <c r="Q37" s="82"/>
      <c r="R37" s="82"/>
      <c r="S37" s="82"/>
      <c r="T37" s="82"/>
      <c r="U37" s="82"/>
      <c r="V37" s="28"/>
      <c r="W37" s="82" t="s">
        <v>2</v>
      </c>
      <c r="X37" s="82"/>
      <c r="Y37" s="82"/>
      <c r="Z37" s="82"/>
      <c r="AA37" s="82"/>
      <c r="AB37" s="82"/>
      <c r="AC37" s="82"/>
      <c r="AD37" s="82"/>
      <c r="AE37" s="82"/>
      <c r="AF37" s="82"/>
      <c r="AG37" s="28"/>
      <c r="AH37" s="82" t="s">
        <v>3</v>
      </c>
      <c r="AI37" s="82"/>
      <c r="AJ37" s="82"/>
      <c r="AK37" s="82"/>
      <c r="AL37" s="82"/>
      <c r="AM37" s="82"/>
      <c r="AN37" s="82"/>
      <c r="AO37" s="82"/>
      <c r="AP37" s="82"/>
      <c r="AQ37" s="82"/>
      <c r="AR37" s="28"/>
      <c r="AS37" s="82" t="s">
        <v>4</v>
      </c>
      <c r="AT37" s="82"/>
      <c r="AU37" s="82"/>
      <c r="AV37" s="82"/>
      <c r="AW37" s="82"/>
      <c r="AX37" s="82"/>
      <c r="AY37" s="82"/>
      <c r="AZ37" s="82"/>
      <c r="BA37" s="82"/>
      <c r="BB37" s="82"/>
      <c r="BC37" s="28"/>
      <c r="BD37" s="82" t="s">
        <v>5</v>
      </c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ht="15.6" x14ac:dyDescent="0.3">
      <c r="A38" s="82" t="s">
        <v>20</v>
      </c>
      <c r="B38" s="82"/>
      <c r="C38" s="82"/>
      <c r="D38" s="82"/>
      <c r="E38" s="82"/>
      <c r="F38" s="82"/>
      <c r="G38" s="82"/>
      <c r="H38" s="82"/>
      <c r="I38" s="82"/>
      <c r="J38" s="82"/>
      <c r="K38" s="28"/>
      <c r="L38" s="82" t="s">
        <v>20</v>
      </c>
      <c r="M38" s="82"/>
      <c r="N38" s="82"/>
      <c r="O38" s="82"/>
      <c r="P38" s="82"/>
      <c r="Q38" s="82"/>
      <c r="R38" s="82"/>
      <c r="S38" s="82"/>
      <c r="T38" s="82"/>
      <c r="U38" s="82"/>
      <c r="V38" s="28"/>
      <c r="W38" s="82" t="s">
        <v>20</v>
      </c>
      <c r="X38" s="82"/>
      <c r="Y38" s="82"/>
      <c r="Z38" s="82"/>
      <c r="AA38" s="82"/>
      <c r="AB38" s="82"/>
      <c r="AC38" s="82"/>
      <c r="AD38" s="82"/>
      <c r="AE38" s="82"/>
      <c r="AF38" s="82"/>
      <c r="AG38" s="28"/>
      <c r="AH38" s="82" t="s">
        <v>20</v>
      </c>
      <c r="AI38" s="82"/>
      <c r="AJ38" s="82"/>
      <c r="AK38" s="82"/>
      <c r="AL38" s="82"/>
      <c r="AM38" s="82"/>
      <c r="AN38" s="82"/>
      <c r="AO38" s="82"/>
      <c r="AP38" s="82"/>
      <c r="AQ38" s="82"/>
      <c r="AR38" s="28"/>
      <c r="AS38" s="82" t="s">
        <v>20</v>
      </c>
      <c r="AT38" s="82"/>
      <c r="AU38" s="82"/>
      <c r="AV38" s="82"/>
      <c r="AW38" s="82"/>
      <c r="AX38" s="82"/>
      <c r="AY38" s="82"/>
      <c r="AZ38" s="82"/>
      <c r="BA38" s="82"/>
      <c r="BB38" s="82"/>
      <c r="BC38" s="28"/>
      <c r="BD38" s="82" t="s">
        <v>20</v>
      </c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s="30" customFormat="1" ht="35.1" customHeight="1" x14ac:dyDescent="0.3">
      <c r="A39" s="37" t="s">
        <v>308</v>
      </c>
      <c r="B39" s="38" t="s">
        <v>309</v>
      </c>
      <c r="C39" s="37" t="s">
        <v>310</v>
      </c>
      <c r="D39" s="37" t="s">
        <v>311</v>
      </c>
      <c r="E39" s="38" t="s">
        <v>312</v>
      </c>
      <c r="F39" s="39"/>
      <c r="G39" s="38" t="s">
        <v>313</v>
      </c>
      <c r="H39" s="38" t="s">
        <v>314</v>
      </c>
      <c r="I39" s="38" t="s">
        <v>315</v>
      </c>
      <c r="J39" s="38" t="s">
        <v>316</v>
      </c>
      <c r="L39" s="37" t="s">
        <v>308</v>
      </c>
      <c r="M39" s="38" t="s">
        <v>309</v>
      </c>
      <c r="N39" s="37" t="s">
        <v>310</v>
      </c>
      <c r="O39" s="37" t="s">
        <v>311</v>
      </c>
      <c r="P39" s="38" t="s">
        <v>312</v>
      </c>
      <c r="Q39" s="39"/>
      <c r="R39" s="38" t="s">
        <v>313</v>
      </c>
      <c r="S39" s="38" t="s">
        <v>314</v>
      </c>
      <c r="T39" s="38" t="s">
        <v>315</v>
      </c>
      <c r="U39" s="38" t="s">
        <v>316</v>
      </c>
      <c r="W39" s="37" t="s">
        <v>308</v>
      </c>
      <c r="X39" s="38" t="s">
        <v>309</v>
      </c>
      <c r="Y39" s="37" t="s">
        <v>310</v>
      </c>
      <c r="Z39" s="37" t="s">
        <v>311</v>
      </c>
      <c r="AA39" s="38" t="s">
        <v>312</v>
      </c>
      <c r="AB39" s="39"/>
      <c r="AC39" s="38" t="s">
        <v>313</v>
      </c>
      <c r="AD39" s="38" t="s">
        <v>314</v>
      </c>
      <c r="AE39" s="38" t="s">
        <v>315</v>
      </c>
      <c r="AF39" s="38" t="s">
        <v>316</v>
      </c>
      <c r="AH39" s="37" t="s">
        <v>308</v>
      </c>
      <c r="AI39" s="38" t="s">
        <v>309</v>
      </c>
      <c r="AJ39" s="37" t="s">
        <v>310</v>
      </c>
      <c r="AK39" s="37" t="s">
        <v>311</v>
      </c>
      <c r="AL39" s="38" t="s">
        <v>312</v>
      </c>
      <c r="AM39" s="39"/>
      <c r="AN39" s="38" t="s">
        <v>313</v>
      </c>
      <c r="AO39" s="38" t="s">
        <v>314</v>
      </c>
      <c r="AP39" s="38" t="s">
        <v>315</v>
      </c>
      <c r="AQ39" s="38" t="s">
        <v>316</v>
      </c>
      <c r="AS39" s="37" t="s">
        <v>308</v>
      </c>
      <c r="AT39" s="38" t="s">
        <v>309</v>
      </c>
      <c r="AU39" s="37" t="s">
        <v>310</v>
      </c>
      <c r="AV39" s="37" t="s">
        <v>311</v>
      </c>
      <c r="AW39" s="38" t="s">
        <v>312</v>
      </c>
      <c r="AX39" s="39"/>
      <c r="AY39" s="38" t="s">
        <v>313</v>
      </c>
      <c r="AZ39" s="38" t="s">
        <v>314</v>
      </c>
      <c r="BA39" s="38" t="s">
        <v>315</v>
      </c>
      <c r="BB39" s="38" t="s">
        <v>316</v>
      </c>
      <c r="BD39" s="37" t="s">
        <v>308</v>
      </c>
      <c r="BE39" s="38" t="s">
        <v>309</v>
      </c>
      <c r="BF39" s="37" t="s">
        <v>310</v>
      </c>
      <c r="BG39" s="37" t="s">
        <v>311</v>
      </c>
      <c r="BH39" s="38" t="s">
        <v>312</v>
      </c>
      <c r="BI39" s="39"/>
      <c r="BJ39" s="38" t="s">
        <v>313</v>
      </c>
      <c r="BK39" s="38" t="s">
        <v>314</v>
      </c>
      <c r="BL39" s="38" t="s">
        <v>315</v>
      </c>
      <c r="BM39" s="38" t="s">
        <v>316</v>
      </c>
    </row>
    <row r="40" spans="1:65" s="30" customFormat="1" ht="20.100000000000001" customHeight="1" x14ac:dyDescent="0.3">
      <c r="A40" s="24"/>
      <c r="B40" s="24"/>
      <c r="C40" s="31"/>
      <c r="D40" s="31"/>
      <c r="E40" s="29"/>
      <c r="F40" s="29"/>
      <c r="G40" s="24"/>
      <c r="H40" s="26"/>
      <c r="I40" s="27"/>
      <c r="J40" s="26">
        <f>H40-I40</f>
        <v>0</v>
      </c>
      <c r="L40" s="24"/>
      <c r="M40" s="24"/>
      <c r="N40" s="31"/>
      <c r="O40" s="31"/>
      <c r="P40" s="29"/>
      <c r="Q40" s="29"/>
      <c r="R40" s="24"/>
      <c r="S40" s="26"/>
      <c r="T40" s="27"/>
      <c r="U40" s="26">
        <f>S40-T40</f>
        <v>0</v>
      </c>
      <c r="W40" s="24"/>
      <c r="X40" s="24"/>
      <c r="Y40" s="31"/>
      <c r="Z40" s="31"/>
      <c r="AA40" s="29"/>
      <c r="AB40" s="29"/>
      <c r="AC40" s="24"/>
      <c r="AD40" s="26"/>
      <c r="AE40" s="27"/>
      <c r="AF40" s="26">
        <f>AD40-AE40</f>
        <v>0</v>
      </c>
      <c r="AH40" s="24"/>
      <c r="AI40" s="24"/>
      <c r="AJ40" s="31"/>
      <c r="AK40" s="31"/>
      <c r="AL40" s="29"/>
      <c r="AM40" s="29"/>
      <c r="AN40" s="24"/>
      <c r="AO40" s="26"/>
      <c r="AP40" s="27"/>
      <c r="AQ40" s="26">
        <f>AO40-AP40</f>
        <v>0</v>
      </c>
      <c r="AS40" s="24"/>
      <c r="AT40" s="24"/>
      <c r="AU40" s="31"/>
      <c r="AV40" s="31"/>
      <c r="AW40" s="29"/>
      <c r="AX40" s="29"/>
      <c r="AY40" s="24"/>
      <c r="AZ40" s="26"/>
      <c r="BA40" s="27"/>
      <c r="BB40" s="26">
        <f>AZ40-BA40</f>
        <v>0</v>
      </c>
      <c r="BD40" s="24"/>
      <c r="BE40" s="24"/>
      <c r="BF40" s="31"/>
      <c r="BG40" s="31"/>
      <c r="BH40" s="29"/>
      <c r="BI40" s="29"/>
      <c r="BJ40" s="24"/>
      <c r="BK40" s="26"/>
      <c r="BL40" s="27"/>
      <c r="BM40" s="26">
        <f>BK40-BL40</f>
        <v>0</v>
      </c>
    </row>
    <row r="41" spans="1:65" s="30" customFormat="1" ht="20.100000000000001" customHeight="1" x14ac:dyDescent="0.3">
      <c r="A41" s="24"/>
      <c r="B41" s="24"/>
      <c r="C41" s="31"/>
      <c r="D41" s="31"/>
      <c r="E41" s="29"/>
      <c r="F41" s="29"/>
      <c r="G41" s="24"/>
      <c r="H41" s="26"/>
      <c r="I41" s="27"/>
      <c r="J41" s="26">
        <f t="shared" ref="J41:J45" si="18">H41-I41</f>
        <v>0</v>
      </c>
      <c r="L41" s="24"/>
      <c r="M41" s="24"/>
      <c r="N41" s="31"/>
      <c r="O41" s="31"/>
      <c r="P41" s="29"/>
      <c r="Q41" s="29"/>
      <c r="R41" s="24"/>
      <c r="S41" s="26"/>
      <c r="T41" s="27"/>
      <c r="U41" s="26">
        <f t="shared" ref="U41:U45" si="19">S41-T41</f>
        <v>0</v>
      </c>
      <c r="W41" s="24"/>
      <c r="X41" s="24"/>
      <c r="Y41" s="31"/>
      <c r="Z41" s="31"/>
      <c r="AA41" s="29"/>
      <c r="AB41" s="29"/>
      <c r="AC41" s="24"/>
      <c r="AD41" s="26"/>
      <c r="AE41" s="27"/>
      <c r="AF41" s="26">
        <f t="shared" ref="AF41:AF45" si="20">AD41-AE41</f>
        <v>0</v>
      </c>
      <c r="AH41" s="24"/>
      <c r="AI41" s="24"/>
      <c r="AJ41" s="31"/>
      <c r="AK41" s="31"/>
      <c r="AL41" s="29"/>
      <c r="AM41" s="29"/>
      <c r="AN41" s="24"/>
      <c r="AO41" s="26"/>
      <c r="AP41" s="27"/>
      <c r="AQ41" s="26">
        <f t="shared" ref="AQ41:AQ45" si="21">AO41-AP41</f>
        <v>0</v>
      </c>
      <c r="AS41" s="24"/>
      <c r="AT41" s="24"/>
      <c r="AU41" s="31"/>
      <c r="AV41" s="31"/>
      <c r="AW41" s="29"/>
      <c r="AX41" s="29"/>
      <c r="AY41" s="24"/>
      <c r="AZ41" s="26"/>
      <c r="BA41" s="27"/>
      <c r="BB41" s="26">
        <f t="shared" ref="BB41:BB45" si="22">AZ41-BA41</f>
        <v>0</v>
      </c>
      <c r="BD41" s="24"/>
      <c r="BE41" s="24"/>
      <c r="BF41" s="31"/>
      <c r="BG41" s="31"/>
      <c r="BH41" s="29"/>
      <c r="BI41" s="29"/>
      <c r="BJ41" s="24"/>
      <c r="BK41" s="26"/>
      <c r="BL41" s="27"/>
      <c r="BM41" s="26">
        <f t="shared" ref="BM41:BM45" si="23">BK41-BL41</f>
        <v>0</v>
      </c>
    </row>
    <row r="42" spans="1:65" s="30" customFormat="1" ht="20.100000000000001" customHeight="1" x14ac:dyDescent="0.3">
      <c r="A42" s="24"/>
      <c r="B42" s="24"/>
      <c r="C42" s="31"/>
      <c r="D42" s="31"/>
      <c r="E42" s="29"/>
      <c r="F42" s="29"/>
      <c r="G42" s="24"/>
      <c r="H42" s="26"/>
      <c r="I42" s="27"/>
      <c r="J42" s="26">
        <f t="shared" si="18"/>
        <v>0</v>
      </c>
      <c r="L42" s="24"/>
      <c r="M42" s="24"/>
      <c r="N42" s="31"/>
      <c r="O42" s="31"/>
      <c r="P42" s="29"/>
      <c r="Q42" s="29"/>
      <c r="R42" s="24"/>
      <c r="S42" s="26"/>
      <c r="T42" s="27"/>
      <c r="U42" s="26">
        <f t="shared" si="19"/>
        <v>0</v>
      </c>
      <c r="W42" s="24"/>
      <c r="X42" s="24"/>
      <c r="Y42" s="31"/>
      <c r="Z42" s="31"/>
      <c r="AA42" s="29"/>
      <c r="AB42" s="29"/>
      <c r="AC42" s="24"/>
      <c r="AD42" s="26"/>
      <c r="AE42" s="27"/>
      <c r="AF42" s="26">
        <f t="shared" si="20"/>
        <v>0</v>
      </c>
      <c r="AH42" s="24"/>
      <c r="AI42" s="24"/>
      <c r="AJ42" s="31"/>
      <c r="AK42" s="31"/>
      <c r="AL42" s="29"/>
      <c r="AM42" s="29"/>
      <c r="AN42" s="24"/>
      <c r="AO42" s="26"/>
      <c r="AP42" s="27"/>
      <c r="AQ42" s="26">
        <f t="shared" si="21"/>
        <v>0</v>
      </c>
      <c r="AS42" s="24"/>
      <c r="AT42" s="24"/>
      <c r="AU42" s="31"/>
      <c r="AV42" s="31"/>
      <c r="AW42" s="29"/>
      <c r="AX42" s="29"/>
      <c r="AY42" s="24"/>
      <c r="AZ42" s="26"/>
      <c r="BA42" s="27"/>
      <c r="BB42" s="26">
        <f t="shared" si="22"/>
        <v>0</v>
      </c>
      <c r="BD42" s="24"/>
      <c r="BE42" s="24"/>
      <c r="BF42" s="31"/>
      <c r="BG42" s="31"/>
      <c r="BH42" s="29"/>
      <c r="BI42" s="29"/>
      <c r="BJ42" s="24"/>
      <c r="BK42" s="26"/>
      <c r="BL42" s="27"/>
      <c r="BM42" s="26">
        <f t="shared" si="23"/>
        <v>0</v>
      </c>
    </row>
    <row r="43" spans="1:65" s="30" customFormat="1" ht="20.100000000000001" customHeight="1" x14ac:dyDescent="0.3">
      <c r="A43" s="24"/>
      <c r="B43" s="24"/>
      <c r="C43" s="31"/>
      <c r="D43" s="31"/>
      <c r="E43" s="29"/>
      <c r="F43" s="32"/>
      <c r="G43" s="24"/>
      <c r="H43" s="26"/>
      <c r="I43" s="27"/>
      <c r="J43" s="26">
        <f t="shared" si="18"/>
        <v>0</v>
      </c>
      <c r="L43" s="24"/>
      <c r="M43" s="24"/>
      <c r="N43" s="31"/>
      <c r="O43" s="31"/>
      <c r="P43" s="29"/>
      <c r="Q43" s="32"/>
      <c r="R43" s="24"/>
      <c r="S43" s="26"/>
      <c r="T43" s="27"/>
      <c r="U43" s="26">
        <f t="shared" si="19"/>
        <v>0</v>
      </c>
      <c r="W43" s="24"/>
      <c r="X43" s="24"/>
      <c r="Y43" s="31"/>
      <c r="Z43" s="31"/>
      <c r="AA43" s="29"/>
      <c r="AB43" s="32"/>
      <c r="AC43" s="24"/>
      <c r="AD43" s="26"/>
      <c r="AE43" s="27"/>
      <c r="AF43" s="26">
        <f t="shared" si="20"/>
        <v>0</v>
      </c>
      <c r="AH43" s="24"/>
      <c r="AI43" s="24"/>
      <c r="AJ43" s="31"/>
      <c r="AK43" s="31"/>
      <c r="AL43" s="29"/>
      <c r="AM43" s="32"/>
      <c r="AN43" s="24"/>
      <c r="AO43" s="26"/>
      <c r="AP43" s="27"/>
      <c r="AQ43" s="26">
        <f t="shared" si="21"/>
        <v>0</v>
      </c>
      <c r="AS43" s="24"/>
      <c r="AT43" s="24"/>
      <c r="AU43" s="31"/>
      <c r="AV43" s="31"/>
      <c r="AW43" s="29"/>
      <c r="AX43" s="32"/>
      <c r="AY43" s="24"/>
      <c r="AZ43" s="26"/>
      <c r="BA43" s="27"/>
      <c r="BB43" s="26">
        <f t="shared" si="22"/>
        <v>0</v>
      </c>
      <c r="BD43" s="24"/>
      <c r="BE43" s="24"/>
      <c r="BF43" s="31"/>
      <c r="BG43" s="31"/>
      <c r="BH43" s="29"/>
      <c r="BI43" s="32"/>
      <c r="BJ43" s="24"/>
      <c r="BK43" s="26"/>
      <c r="BL43" s="27"/>
      <c r="BM43" s="26">
        <f t="shared" si="23"/>
        <v>0</v>
      </c>
    </row>
    <row r="44" spans="1:65" s="30" customFormat="1" ht="20.100000000000001" customHeight="1" x14ac:dyDescent="0.3">
      <c r="A44" s="24"/>
      <c r="B44" s="24"/>
      <c r="C44" s="31"/>
      <c r="D44" s="31"/>
      <c r="E44" s="29"/>
      <c r="F44" s="33"/>
      <c r="G44" s="24"/>
      <c r="H44" s="26"/>
      <c r="I44" s="27"/>
      <c r="J44" s="26">
        <f t="shared" si="18"/>
        <v>0</v>
      </c>
      <c r="L44" s="24"/>
      <c r="M44" s="24"/>
      <c r="N44" s="31"/>
      <c r="O44" s="31"/>
      <c r="P44" s="29"/>
      <c r="Q44" s="33"/>
      <c r="R44" s="24"/>
      <c r="S44" s="26"/>
      <c r="T44" s="27"/>
      <c r="U44" s="26">
        <f t="shared" si="19"/>
        <v>0</v>
      </c>
      <c r="W44" s="24"/>
      <c r="X44" s="24"/>
      <c r="Y44" s="31"/>
      <c r="Z44" s="31"/>
      <c r="AA44" s="29"/>
      <c r="AB44" s="33"/>
      <c r="AC44" s="24"/>
      <c r="AD44" s="26"/>
      <c r="AE44" s="27"/>
      <c r="AF44" s="26">
        <f t="shared" si="20"/>
        <v>0</v>
      </c>
      <c r="AH44" s="24"/>
      <c r="AI44" s="24"/>
      <c r="AJ44" s="31"/>
      <c r="AK44" s="31"/>
      <c r="AL44" s="29"/>
      <c r="AM44" s="33"/>
      <c r="AN44" s="24"/>
      <c r="AO44" s="26"/>
      <c r="AP44" s="27"/>
      <c r="AQ44" s="26">
        <f t="shared" si="21"/>
        <v>0</v>
      </c>
      <c r="AS44" s="24"/>
      <c r="AT44" s="24"/>
      <c r="AU44" s="31"/>
      <c r="AV44" s="31"/>
      <c r="AW44" s="29"/>
      <c r="AX44" s="33"/>
      <c r="AY44" s="24"/>
      <c r="AZ44" s="26"/>
      <c r="BA44" s="27"/>
      <c r="BB44" s="26">
        <f t="shared" si="22"/>
        <v>0</v>
      </c>
      <c r="BD44" s="24"/>
      <c r="BE44" s="24"/>
      <c r="BF44" s="31"/>
      <c r="BG44" s="31"/>
      <c r="BH44" s="29"/>
      <c r="BI44" s="33"/>
      <c r="BJ44" s="24"/>
      <c r="BK44" s="26"/>
      <c r="BL44" s="27"/>
      <c r="BM44" s="26">
        <f t="shared" si="23"/>
        <v>0</v>
      </c>
    </row>
    <row r="45" spans="1:65" s="30" customFormat="1" ht="20.100000000000001" customHeight="1" x14ac:dyDescent="0.3">
      <c r="A45" s="24"/>
      <c r="B45" s="24"/>
      <c r="C45" s="24"/>
      <c r="D45" s="24"/>
      <c r="E45" s="29"/>
      <c r="F45" s="33"/>
      <c r="G45" s="24"/>
      <c r="H45" s="26"/>
      <c r="I45" s="27"/>
      <c r="J45" s="26">
        <f t="shared" si="18"/>
        <v>0</v>
      </c>
      <c r="L45" s="24"/>
      <c r="M45" s="24"/>
      <c r="N45" s="24"/>
      <c r="O45" s="24"/>
      <c r="P45" s="29"/>
      <c r="Q45" s="33"/>
      <c r="R45" s="24"/>
      <c r="S45" s="26"/>
      <c r="T45" s="27"/>
      <c r="U45" s="26">
        <f t="shared" si="19"/>
        <v>0</v>
      </c>
      <c r="W45" s="24"/>
      <c r="X45" s="24"/>
      <c r="Y45" s="24"/>
      <c r="Z45" s="24"/>
      <c r="AA45" s="29"/>
      <c r="AB45" s="33"/>
      <c r="AC45" s="24"/>
      <c r="AD45" s="26"/>
      <c r="AE45" s="27"/>
      <c r="AF45" s="26">
        <f t="shared" si="20"/>
        <v>0</v>
      </c>
      <c r="AH45" s="24"/>
      <c r="AI45" s="24"/>
      <c r="AJ45" s="24"/>
      <c r="AK45" s="24"/>
      <c r="AL45" s="29"/>
      <c r="AM45" s="33"/>
      <c r="AN45" s="24"/>
      <c r="AO45" s="26"/>
      <c r="AP45" s="27"/>
      <c r="AQ45" s="26">
        <f t="shared" si="21"/>
        <v>0</v>
      </c>
      <c r="AS45" s="24"/>
      <c r="AT45" s="24"/>
      <c r="AU45" s="24"/>
      <c r="AV45" s="24"/>
      <c r="AW45" s="29"/>
      <c r="AX45" s="33"/>
      <c r="AY45" s="24"/>
      <c r="AZ45" s="26"/>
      <c r="BA45" s="27"/>
      <c r="BB45" s="26">
        <f t="shared" si="22"/>
        <v>0</v>
      </c>
      <c r="BD45" s="24"/>
      <c r="BE45" s="24"/>
      <c r="BF45" s="24"/>
      <c r="BG45" s="24"/>
      <c r="BH45" s="29"/>
      <c r="BI45" s="33"/>
      <c r="BJ45" s="24"/>
      <c r="BK45" s="26"/>
      <c r="BL45" s="27"/>
      <c r="BM45" s="26">
        <f t="shared" si="23"/>
        <v>0</v>
      </c>
    </row>
    <row r="46" spans="1:65" s="30" customFormat="1" ht="20.100000000000001" customHeight="1" x14ac:dyDescent="0.3">
      <c r="A46" s="34"/>
      <c r="B46" s="34"/>
      <c r="C46" s="34"/>
      <c r="D46" s="34"/>
      <c r="E46" s="35"/>
      <c r="F46" s="35"/>
      <c r="G46" s="36"/>
      <c r="H46" s="26">
        <f>SUM(H40:H45)</f>
        <v>0</v>
      </c>
      <c r="I46" s="27">
        <f>SUM(I40:I45)</f>
        <v>0</v>
      </c>
      <c r="J46" s="26">
        <f>SUM(J40:J45)</f>
        <v>0</v>
      </c>
      <c r="L46" s="34"/>
      <c r="M46" s="34"/>
      <c r="N46" s="34"/>
      <c r="O46" s="34"/>
      <c r="P46" s="35"/>
      <c r="Q46" s="35"/>
      <c r="R46" s="36"/>
      <c r="S46" s="26">
        <f>SUM(S40:S45)</f>
        <v>0</v>
      </c>
      <c r="T46" s="27">
        <f>SUM(T40:T45)</f>
        <v>0</v>
      </c>
      <c r="U46" s="26">
        <f>SUM(U40:U45)</f>
        <v>0</v>
      </c>
      <c r="W46" s="34"/>
      <c r="X46" s="34"/>
      <c r="Y46" s="34"/>
      <c r="Z46" s="34"/>
      <c r="AA46" s="35"/>
      <c r="AB46" s="35"/>
      <c r="AC46" s="36"/>
      <c r="AD46" s="26">
        <f>SUM(AD40:AD45)</f>
        <v>0</v>
      </c>
      <c r="AE46" s="27">
        <f>SUM(AE40:AE45)</f>
        <v>0</v>
      </c>
      <c r="AF46" s="26">
        <f>SUM(AF40:AF45)</f>
        <v>0</v>
      </c>
      <c r="AH46" s="34"/>
      <c r="AI46" s="34"/>
      <c r="AJ46" s="34"/>
      <c r="AK46" s="34"/>
      <c r="AL46" s="35"/>
      <c r="AM46" s="35"/>
      <c r="AN46" s="36"/>
      <c r="AO46" s="26">
        <f>SUM(AO40:AO45)</f>
        <v>0</v>
      </c>
      <c r="AP46" s="27">
        <f>SUM(AP40:AP45)</f>
        <v>0</v>
      </c>
      <c r="AQ46" s="26">
        <f>SUM(AQ40:AQ45)</f>
        <v>0</v>
      </c>
      <c r="AS46" s="34"/>
      <c r="AT46" s="34"/>
      <c r="AU46" s="34"/>
      <c r="AV46" s="34"/>
      <c r="AW46" s="35"/>
      <c r="AX46" s="35"/>
      <c r="AY46" s="36"/>
      <c r="AZ46" s="26">
        <f>SUM(AZ40:AZ45)</f>
        <v>0</v>
      </c>
      <c r="BA46" s="27">
        <f>SUM(BA40:BA45)</f>
        <v>0</v>
      </c>
      <c r="BB46" s="26">
        <f>SUM(BB40:BB45)</f>
        <v>0</v>
      </c>
      <c r="BD46" s="34"/>
      <c r="BE46" s="34"/>
      <c r="BF46" s="34"/>
      <c r="BG46" s="34"/>
      <c r="BH46" s="35"/>
      <c r="BI46" s="35"/>
      <c r="BJ46" s="36"/>
      <c r="BK46" s="26">
        <f>SUM(BK40:BK45)</f>
        <v>0</v>
      </c>
      <c r="BL46" s="27">
        <f>SUM(BL40:BL45)</f>
        <v>0</v>
      </c>
      <c r="BM46" s="26">
        <f>SUM(BM40:BM45)</f>
        <v>0</v>
      </c>
    </row>
    <row r="47" spans="1:65" ht="15.6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2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28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28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28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28"/>
      <c r="BD47" s="41"/>
      <c r="BE47" s="41"/>
      <c r="BF47" s="41"/>
      <c r="BG47" s="41"/>
      <c r="BH47" s="41"/>
      <c r="BI47" s="41"/>
      <c r="BJ47" s="41"/>
      <c r="BK47" s="41"/>
      <c r="BL47" s="41"/>
      <c r="BM47" s="41"/>
    </row>
    <row r="48" spans="1:65" ht="15.6" x14ac:dyDescent="0.3">
      <c r="A48" s="82" t="s">
        <v>0</v>
      </c>
      <c r="B48" s="82"/>
      <c r="C48" s="82"/>
      <c r="D48" s="82"/>
      <c r="E48" s="82"/>
      <c r="F48" s="82"/>
      <c r="G48" s="82"/>
      <c r="H48" s="82"/>
      <c r="I48" s="82"/>
      <c r="J48" s="82"/>
      <c r="K48" s="28"/>
      <c r="L48" s="82" t="s">
        <v>1</v>
      </c>
      <c r="M48" s="82"/>
      <c r="N48" s="82"/>
      <c r="O48" s="82"/>
      <c r="P48" s="82"/>
      <c r="Q48" s="82"/>
      <c r="R48" s="82"/>
      <c r="S48" s="82"/>
      <c r="T48" s="82"/>
      <c r="U48" s="82"/>
      <c r="V48" s="28"/>
      <c r="W48" s="82" t="s">
        <v>2</v>
      </c>
      <c r="X48" s="82"/>
      <c r="Y48" s="82"/>
      <c r="Z48" s="82"/>
      <c r="AA48" s="82"/>
      <c r="AB48" s="82"/>
      <c r="AC48" s="82"/>
      <c r="AD48" s="82"/>
      <c r="AE48" s="82"/>
      <c r="AF48" s="82"/>
      <c r="AG48" s="28"/>
      <c r="AH48" s="82" t="s">
        <v>3</v>
      </c>
      <c r="AI48" s="82"/>
      <c r="AJ48" s="82"/>
      <c r="AK48" s="82"/>
      <c r="AL48" s="82"/>
      <c r="AM48" s="82"/>
      <c r="AN48" s="82"/>
      <c r="AO48" s="82"/>
      <c r="AP48" s="82"/>
      <c r="AQ48" s="82"/>
      <c r="AR48" s="28"/>
      <c r="AS48" s="82" t="s">
        <v>4</v>
      </c>
      <c r="AT48" s="82"/>
      <c r="AU48" s="82"/>
      <c r="AV48" s="82"/>
      <c r="AW48" s="82"/>
      <c r="AX48" s="82"/>
      <c r="AY48" s="82"/>
      <c r="AZ48" s="82"/>
      <c r="BA48" s="82"/>
      <c r="BB48" s="82"/>
      <c r="BC48" s="28"/>
      <c r="BD48" s="82" t="s">
        <v>5</v>
      </c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ht="15.6" x14ac:dyDescent="0.3">
      <c r="A49" s="82" t="s">
        <v>16</v>
      </c>
      <c r="B49" s="82"/>
      <c r="C49" s="82"/>
      <c r="D49" s="82"/>
      <c r="E49" s="82"/>
      <c r="F49" s="82"/>
      <c r="G49" s="82"/>
      <c r="H49" s="82"/>
      <c r="I49" s="82"/>
      <c r="J49" s="82"/>
      <c r="K49" s="28"/>
      <c r="L49" s="82" t="s">
        <v>21</v>
      </c>
      <c r="M49" s="82"/>
      <c r="N49" s="82"/>
      <c r="O49" s="82"/>
      <c r="P49" s="82"/>
      <c r="Q49" s="82"/>
      <c r="R49" s="82"/>
      <c r="S49" s="82"/>
      <c r="T49" s="82"/>
      <c r="U49" s="82"/>
      <c r="V49" s="28"/>
      <c r="W49" s="82" t="s">
        <v>21</v>
      </c>
      <c r="X49" s="82"/>
      <c r="Y49" s="82"/>
      <c r="Z49" s="82"/>
      <c r="AA49" s="82"/>
      <c r="AB49" s="82"/>
      <c r="AC49" s="82"/>
      <c r="AD49" s="82"/>
      <c r="AE49" s="82"/>
      <c r="AF49" s="82"/>
      <c r="AG49" s="28"/>
      <c r="AH49" s="82" t="s">
        <v>21</v>
      </c>
      <c r="AI49" s="82"/>
      <c r="AJ49" s="82"/>
      <c r="AK49" s="82"/>
      <c r="AL49" s="82"/>
      <c r="AM49" s="82"/>
      <c r="AN49" s="82"/>
      <c r="AO49" s="82"/>
      <c r="AP49" s="82"/>
      <c r="AQ49" s="82"/>
      <c r="AR49" s="28"/>
      <c r="AS49" s="82" t="s">
        <v>21</v>
      </c>
      <c r="AT49" s="82"/>
      <c r="AU49" s="82"/>
      <c r="AV49" s="82"/>
      <c r="AW49" s="82"/>
      <c r="AX49" s="82"/>
      <c r="AY49" s="82"/>
      <c r="AZ49" s="82"/>
      <c r="BA49" s="82"/>
      <c r="BB49" s="82"/>
      <c r="BC49" s="28"/>
      <c r="BD49" s="82" t="s">
        <v>21</v>
      </c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s="30" customFormat="1" ht="35.1" customHeight="1" x14ac:dyDescent="0.3">
      <c r="A50" s="37" t="s">
        <v>308</v>
      </c>
      <c r="B50" s="38" t="s">
        <v>309</v>
      </c>
      <c r="C50" s="37" t="s">
        <v>310</v>
      </c>
      <c r="D50" s="37" t="s">
        <v>311</v>
      </c>
      <c r="E50" s="38" t="s">
        <v>312</v>
      </c>
      <c r="F50" s="39"/>
      <c r="G50" s="38" t="s">
        <v>313</v>
      </c>
      <c r="H50" s="38" t="s">
        <v>314</v>
      </c>
      <c r="I50" s="38" t="s">
        <v>315</v>
      </c>
      <c r="J50" s="38" t="s">
        <v>316</v>
      </c>
      <c r="L50" s="37" t="s">
        <v>308</v>
      </c>
      <c r="M50" s="38" t="s">
        <v>309</v>
      </c>
      <c r="N50" s="37" t="s">
        <v>310</v>
      </c>
      <c r="O50" s="37" t="s">
        <v>311</v>
      </c>
      <c r="P50" s="38" t="s">
        <v>312</v>
      </c>
      <c r="Q50" s="39"/>
      <c r="R50" s="38" t="s">
        <v>313</v>
      </c>
      <c r="S50" s="38" t="s">
        <v>314</v>
      </c>
      <c r="T50" s="38" t="s">
        <v>315</v>
      </c>
      <c r="U50" s="38" t="s">
        <v>316</v>
      </c>
      <c r="W50" s="37" t="s">
        <v>308</v>
      </c>
      <c r="X50" s="38" t="s">
        <v>309</v>
      </c>
      <c r="Y50" s="37" t="s">
        <v>310</v>
      </c>
      <c r="Z50" s="37" t="s">
        <v>311</v>
      </c>
      <c r="AA50" s="38" t="s">
        <v>312</v>
      </c>
      <c r="AB50" s="39"/>
      <c r="AC50" s="38" t="s">
        <v>313</v>
      </c>
      <c r="AD50" s="38" t="s">
        <v>314</v>
      </c>
      <c r="AE50" s="38" t="s">
        <v>315</v>
      </c>
      <c r="AF50" s="38" t="s">
        <v>316</v>
      </c>
      <c r="AH50" s="37" t="s">
        <v>308</v>
      </c>
      <c r="AI50" s="38" t="s">
        <v>309</v>
      </c>
      <c r="AJ50" s="37" t="s">
        <v>310</v>
      </c>
      <c r="AK50" s="37" t="s">
        <v>311</v>
      </c>
      <c r="AL50" s="38" t="s">
        <v>312</v>
      </c>
      <c r="AM50" s="39"/>
      <c r="AN50" s="38" t="s">
        <v>313</v>
      </c>
      <c r="AO50" s="38" t="s">
        <v>314</v>
      </c>
      <c r="AP50" s="38" t="s">
        <v>315</v>
      </c>
      <c r="AQ50" s="38" t="s">
        <v>316</v>
      </c>
      <c r="AS50" s="37" t="s">
        <v>308</v>
      </c>
      <c r="AT50" s="38" t="s">
        <v>309</v>
      </c>
      <c r="AU50" s="37" t="s">
        <v>310</v>
      </c>
      <c r="AV50" s="37" t="s">
        <v>311</v>
      </c>
      <c r="AW50" s="38" t="s">
        <v>312</v>
      </c>
      <c r="AX50" s="39"/>
      <c r="AY50" s="38" t="s">
        <v>313</v>
      </c>
      <c r="AZ50" s="38" t="s">
        <v>314</v>
      </c>
      <c r="BA50" s="38" t="s">
        <v>315</v>
      </c>
      <c r="BB50" s="38" t="s">
        <v>316</v>
      </c>
      <c r="BD50" s="37" t="s">
        <v>308</v>
      </c>
      <c r="BE50" s="38" t="s">
        <v>309</v>
      </c>
      <c r="BF50" s="37" t="s">
        <v>310</v>
      </c>
      <c r="BG50" s="37" t="s">
        <v>311</v>
      </c>
      <c r="BH50" s="38" t="s">
        <v>312</v>
      </c>
      <c r="BI50" s="39"/>
      <c r="BJ50" s="38" t="s">
        <v>313</v>
      </c>
      <c r="BK50" s="38" t="s">
        <v>314</v>
      </c>
      <c r="BL50" s="38" t="s">
        <v>315</v>
      </c>
      <c r="BM50" s="38" t="s">
        <v>316</v>
      </c>
    </row>
    <row r="51" spans="1:65" s="30" customFormat="1" ht="20.100000000000001" customHeight="1" x14ac:dyDescent="0.3">
      <c r="A51" s="24"/>
      <c r="B51" s="24"/>
      <c r="C51" s="31"/>
      <c r="D51" s="31"/>
      <c r="E51" s="29"/>
      <c r="F51" s="29"/>
      <c r="G51" s="24"/>
      <c r="H51" s="26"/>
      <c r="I51" s="27"/>
      <c r="J51" s="26">
        <f>H51-I51</f>
        <v>0</v>
      </c>
      <c r="L51" s="24"/>
      <c r="M51" s="24"/>
      <c r="N51" s="31"/>
      <c r="O51" s="31"/>
      <c r="P51" s="29"/>
      <c r="Q51" s="29"/>
      <c r="R51" s="24"/>
      <c r="S51" s="26"/>
      <c r="T51" s="27"/>
      <c r="U51" s="26">
        <f>S51-T51</f>
        <v>0</v>
      </c>
      <c r="W51" s="24"/>
      <c r="X51" s="24"/>
      <c r="Y51" s="31"/>
      <c r="Z51" s="31"/>
      <c r="AA51" s="29"/>
      <c r="AB51" s="29"/>
      <c r="AC51" s="24"/>
      <c r="AD51" s="26"/>
      <c r="AE51" s="27"/>
      <c r="AF51" s="26">
        <f>AD51-AE51</f>
        <v>0</v>
      </c>
      <c r="AH51" s="24"/>
      <c r="AI51" s="24"/>
      <c r="AJ51" s="31"/>
      <c r="AK51" s="31"/>
      <c r="AL51" s="29"/>
      <c r="AM51" s="29"/>
      <c r="AN51" s="24"/>
      <c r="AO51" s="26"/>
      <c r="AP51" s="27"/>
      <c r="AQ51" s="26">
        <f>AO51-AP51</f>
        <v>0</v>
      </c>
      <c r="AS51" s="24"/>
      <c r="AT51" s="24"/>
      <c r="AU51" s="31"/>
      <c r="AV51" s="31"/>
      <c r="AW51" s="29"/>
      <c r="AX51" s="29"/>
      <c r="AY51" s="24"/>
      <c r="AZ51" s="26"/>
      <c r="BA51" s="27"/>
      <c r="BB51" s="26">
        <f>AZ51-BA51</f>
        <v>0</v>
      </c>
      <c r="BD51" s="24"/>
      <c r="BE51" s="24"/>
      <c r="BF51" s="31"/>
      <c r="BG51" s="31"/>
      <c r="BH51" s="29"/>
      <c r="BI51" s="29"/>
      <c r="BJ51" s="24"/>
      <c r="BK51" s="26"/>
      <c r="BL51" s="27"/>
      <c r="BM51" s="26">
        <f>BK51-BL51</f>
        <v>0</v>
      </c>
    </row>
    <row r="52" spans="1:65" s="30" customFormat="1" ht="20.100000000000001" customHeight="1" x14ac:dyDescent="0.3">
      <c r="A52" s="24"/>
      <c r="B52" s="24"/>
      <c r="C52" s="31"/>
      <c r="D52" s="31"/>
      <c r="E52" s="29"/>
      <c r="F52" s="29"/>
      <c r="G52" s="24"/>
      <c r="H52" s="26"/>
      <c r="I52" s="27"/>
      <c r="J52" s="26">
        <f t="shared" ref="J52:J56" si="24">H52-I52</f>
        <v>0</v>
      </c>
      <c r="L52" s="24"/>
      <c r="M52" s="24"/>
      <c r="N52" s="31"/>
      <c r="O52" s="31"/>
      <c r="P52" s="29"/>
      <c r="Q52" s="29"/>
      <c r="R52" s="24"/>
      <c r="S52" s="26"/>
      <c r="T52" s="27"/>
      <c r="U52" s="26">
        <f t="shared" ref="U52:U56" si="25">S52-T52</f>
        <v>0</v>
      </c>
      <c r="W52" s="24"/>
      <c r="X52" s="24"/>
      <c r="Y52" s="31"/>
      <c r="Z52" s="31"/>
      <c r="AA52" s="29"/>
      <c r="AB52" s="29"/>
      <c r="AC52" s="24"/>
      <c r="AD52" s="26"/>
      <c r="AE52" s="27"/>
      <c r="AF52" s="26">
        <f t="shared" ref="AF52:AF56" si="26">AD52-AE52</f>
        <v>0</v>
      </c>
      <c r="AH52" s="24"/>
      <c r="AI52" s="24"/>
      <c r="AJ52" s="31"/>
      <c r="AK52" s="31"/>
      <c r="AL52" s="29"/>
      <c r="AM52" s="29"/>
      <c r="AN52" s="24"/>
      <c r="AO52" s="26"/>
      <c r="AP52" s="27"/>
      <c r="AQ52" s="26">
        <f t="shared" ref="AQ52:AQ56" si="27">AO52-AP52</f>
        <v>0</v>
      </c>
      <c r="AS52" s="24"/>
      <c r="AT52" s="24"/>
      <c r="AU52" s="31"/>
      <c r="AV52" s="31"/>
      <c r="AW52" s="29"/>
      <c r="AX52" s="29"/>
      <c r="AY52" s="24"/>
      <c r="AZ52" s="26"/>
      <c r="BA52" s="27"/>
      <c r="BB52" s="26">
        <f t="shared" ref="BB52:BB56" si="28">AZ52-BA52</f>
        <v>0</v>
      </c>
      <c r="BD52" s="24"/>
      <c r="BE52" s="24"/>
      <c r="BF52" s="31"/>
      <c r="BG52" s="31"/>
      <c r="BH52" s="29"/>
      <c r="BI52" s="29"/>
      <c r="BJ52" s="24"/>
      <c r="BK52" s="26"/>
      <c r="BL52" s="27"/>
      <c r="BM52" s="26">
        <f t="shared" ref="BM52:BM56" si="29">BK52-BL52</f>
        <v>0</v>
      </c>
    </row>
    <row r="53" spans="1:65" s="30" customFormat="1" ht="20.100000000000001" customHeight="1" x14ac:dyDescent="0.3">
      <c r="A53" s="24"/>
      <c r="B53" s="24"/>
      <c r="C53" s="31"/>
      <c r="D53" s="31"/>
      <c r="E53" s="29"/>
      <c r="F53" s="29"/>
      <c r="G53" s="24"/>
      <c r="H53" s="26"/>
      <c r="I53" s="27"/>
      <c r="J53" s="26">
        <f t="shared" si="24"/>
        <v>0</v>
      </c>
      <c r="L53" s="24"/>
      <c r="M53" s="24"/>
      <c r="N53" s="31"/>
      <c r="O53" s="31"/>
      <c r="P53" s="29"/>
      <c r="Q53" s="29"/>
      <c r="R53" s="24"/>
      <c r="S53" s="26"/>
      <c r="T53" s="27"/>
      <c r="U53" s="26">
        <f t="shared" si="25"/>
        <v>0</v>
      </c>
      <c r="W53" s="24"/>
      <c r="X53" s="24"/>
      <c r="Y53" s="31"/>
      <c r="Z53" s="31"/>
      <c r="AA53" s="29"/>
      <c r="AB53" s="29"/>
      <c r="AC53" s="24"/>
      <c r="AD53" s="26"/>
      <c r="AE53" s="27"/>
      <c r="AF53" s="26">
        <f t="shared" si="26"/>
        <v>0</v>
      </c>
      <c r="AH53" s="24"/>
      <c r="AI53" s="24"/>
      <c r="AJ53" s="31"/>
      <c r="AK53" s="31"/>
      <c r="AL53" s="29"/>
      <c r="AM53" s="29"/>
      <c r="AN53" s="24"/>
      <c r="AO53" s="26"/>
      <c r="AP53" s="27"/>
      <c r="AQ53" s="26">
        <f t="shared" si="27"/>
        <v>0</v>
      </c>
      <c r="AS53" s="24"/>
      <c r="AT53" s="24"/>
      <c r="AU53" s="31"/>
      <c r="AV53" s="31"/>
      <c r="AW53" s="29"/>
      <c r="AX53" s="29"/>
      <c r="AY53" s="24"/>
      <c r="AZ53" s="26"/>
      <c r="BA53" s="27"/>
      <c r="BB53" s="26">
        <f t="shared" si="28"/>
        <v>0</v>
      </c>
      <c r="BD53" s="24"/>
      <c r="BE53" s="24"/>
      <c r="BF53" s="31"/>
      <c r="BG53" s="31"/>
      <c r="BH53" s="29"/>
      <c r="BI53" s="29"/>
      <c r="BJ53" s="24"/>
      <c r="BK53" s="26"/>
      <c r="BL53" s="27"/>
      <c r="BM53" s="26">
        <f t="shared" si="29"/>
        <v>0</v>
      </c>
    </row>
    <row r="54" spans="1:65" s="30" customFormat="1" ht="20.100000000000001" customHeight="1" x14ac:dyDescent="0.3">
      <c r="A54" s="24"/>
      <c r="B54" s="24"/>
      <c r="C54" s="31"/>
      <c r="D54" s="31"/>
      <c r="E54" s="29"/>
      <c r="F54" s="32"/>
      <c r="G54" s="24"/>
      <c r="H54" s="26"/>
      <c r="I54" s="27"/>
      <c r="J54" s="26">
        <f t="shared" si="24"/>
        <v>0</v>
      </c>
      <c r="L54" s="24"/>
      <c r="M54" s="24"/>
      <c r="N54" s="31"/>
      <c r="O54" s="31"/>
      <c r="P54" s="29"/>
      <c r="Q54" s="32"/>
      <c r="R54" s="24"/>
      <c r="S54" s="26"/>
      <c r="T54" s="27"/>
      <c r="U54" s="26">
        <f t="shared" si="25"/>
        <v>0</v>
      </c>
      <c r="W54" s="24"/>
      <c r="X54" s="24"/>
      <c r="Y54" s="31"/>
      <c r="Z54" s="31"/>
      <c r="AA54" s="29"/>
      <c r="AB54" s="32"/>
      <c r="AC54" s="24"/>
      <c r="AD54" s="26"/>
      <c r="AE54" s="27"/>
      <c r="AF54" s="26">
        <f t="shared" si="26"/>
        <v>0</v>
      </c>
      <c r="AH54" s="24"/>
      <c r="AI54" s="24"/>
      <c r="AJ54" s="31"/>
      <c r="AK54" s="31"/>
      <c r="AL54" s="29"/>
      <c r="AM54" s="32"/>
      <c r="AN54" s="24"/>
      <c r="AO54" s="26"/>
      <c r="AP54" s="27"/>
      <c r="AQ54" s="26">
        <f t="shared" si="27"/>
        <v>0</v>
      </c>
      <c r="AS54" s="24"/>
      <c r="AT54" s="24"/>
      <c r="AU54" s="31"/>
      <c r="AV54" s="31"/>
      <c r="AW54" s="29"/>
      <c r="AX54" s="32"/>
      <c r="AY54" s="24"/>
      <c r="AZ54" s="26"/>
      <c r="BA54" s="27"/>
      <c r="BB54" s="26">
        <f t="shared" si="28"/>
        <v>0</v>
      </c>
      <c r="BD54" s="24"/>
      <c r="BE54" s="24"/>
      <c r="BF54" s="31"/>
      <c r="BG54" s="31"/>
      <c r="BH54" s="29"/>
      <c r="BI54" s="32"/>
      <c r="BJ54" s="24"/>
      <c r="BK54" s="26"/>
      <c r="BL54" s="27"/>
      <c r="BM54" s="26">
        <f t="shared" si="29"/>
        <v>0</v>
      </c>
    </row>
    <row r="55" spans="1:65" s="30" customFormat="1" ht="20.100000000000001" customHeight="1" x14ac:dyDescent="0.3">
      <c r="A55" s="24"/>
      <c r="B55" s="24"/>
      <c r="C55" s="31"/>
      <c r="D55" s="31"/>
      <c r="E55" s="29"/>
      <c r="F55" s="33"/>
      <c r="G55" s="24"/>
      <c r="H55" s="26"/>
      <c r="I55" s="27"/>
      <c r="J55" s="26">
        <f t="shared" si="24"/>
        <v>0</v>
      </c>
      <c r="L55" s="24"/>
      <c r="M55" s="24"/>
      <c r="N55" s="31"/>
      <c r="O55" s="31"/>
      <c r="P55" s="29"/>
      <c r="Q55" s="33"/>
      <c r="R55" s="24"/>
      <c r="S55" s="26"/>
      <c r="T55" s="27"/>
      <c r="U55" s="26">
        <f t="shared" si="25"/>
        <v>0</v>
      </c>
      <c r="W55" s="24"/>
      <c r="X55" s="24"/>
      <c r="Y55" s="31"/>
      <c r="Z55" s="31"/>
      <c r="AA55" s="29"/>
      <c r="AB55" s="33"/>
      <c r="AC55" s="24"/>
      <c r="AD55" s="26"/>
      <c r="AE55" s="27"/>
      <c r="AF55" s="26">
        <f t="shared" si="26"/>
        <v>0</v>
      </c>
      <c r="AH55" s="24"/>
      <c r="AI55" s="24"/>
      <c r="AJ55" s="31"/>
      <c r="AK55" s="31"/>
      <c r="AL55" s="29"/>
      <c r="AM55" s="33"/>
      <c r="AN55" s="24"/>
      <c r="AO55" s="26"/>
      <c r="AP55" s="27"/>
      <c r="AQ55" s="26">
        <f t="shared" si="27"/>
        <v>0</v>
      </c>
      <c r="AS55" s="24"/>
      <c r="AT55" s="24"/>
      <c r="AU55" s="31"/>
      <c r="AV55" s="31"/>
      <c r="AW55" s="29"/>
      <c r="AX55" s="33"/>
      <c r="AY55" s="24"/>
      <c r="AZ55" s="26"/>
      <c r="BA55" s="27"/>
      <c r="BB55" s="26">
        <f t="shared" si="28"/>
        <v>0</v>
      </c>
      <c r="BD55" s="24"/>
      <c r="BE55" s="24"/>
      <c r="BF55" s="31"/>
      <c r="BG55" s="31"/>
      <c r="BH55" s="29"/>
      <c r="BI55" s="33"/>
      <c r="BJ55" s="24"/>
      <c r="BK55" s="26"/>
      <c r="BL55" s="27"/>
      <c r="BM55" s="26">
        <f t="shared" si="29"/>
        <v>0</v>
      </c>
    </row>
    <row r="56" spans="1:65" s="30" customFormat="1" ht="20.100000000000001" customHeight="1" x14ac:dyDescent="0.3">
      <c r="A56" s="24"/>
      <c r="B56" s="24"/>
      <c r="C56" s="24"/>
      <c r="D56" s="24"/>
      <c r="E56" s="29"/>
      <c r="F56" s="33"/>
      <c r="G56" s="24"/>
      <c r="H56" s="26"/>
      <c r="I56" s="27"/>
      <c r="J56" s="26">
        <f t="shared" si="24"/>
        <v>0</v>
      </c>
      <c r="L56" s="24"/>
      <c r="M56" s="24"/>
      <c r="N56" s="24"/>
      <c r="O56" s="24"/>
      <c r="P56" s="29"/>
      <c r="Q56" s="33"/>
      <c r="R56" s="24"/>
      <c r="S56" s="26"/>
      <c r="T56" s="27"/>
      <c r="U56" s="26">
        <f t="shared" si="25"/>
        <v>0</v>
      </c>
      <c r="W56" s="24"/>
      <c r="X56" s="24"/>
      <c r="Y56" s="24"/>
      <c r="Z56" s="24"/>
      <c r="AA56" s="29"/>
      <c r="AB56" s="33"/>
      <c r="AC56" s="24"/>
      <c r="AD56" s="26"/>
      <c r="AE56" s="27"/>
      <c r="AF56" s="26">
        <f t="shared" si="26"/>
        <v>0</v>
      </c>
      <c r="AH56" s="24"/>
      <c r="AI56" s="24"/>
      <c r="AJ56" s="24"/>
      <c r="AK56" s="24"/>
      <c r="AL56" s="29"/>
      <c r="AM56" s="33"/>
      <c r="AN56" s="24"/>
      <c r="AO56" s="26"/>
      <c r="AP56" s="27"/>
      <c r="AQ56" s="26">
        <f t="shared" si="27"/>
        <v>0</v>
      </c>
      <c r="AS56" s="24"/>
      <c r="AT56" s="24"/>
      <c r="AU56" s="24"/>
      <c r="AV56" s="24"/>
      <c r="AW56" s="29"/>
      <c r="AX56" s="33"/>
      <c r="AY56" s="24"/>
      <c r="AZ56" s="26"/>
      <c r="BA56" s="27"/>
      <c r="BB56" s="26">
        <f t="shared" si="28"/>
        <v>0</v>
      </c>
      <c r="BD56" s="24"/>
      <c r="BE56" s="24"/>
      <c r="BF56" s="24"/>
      <c r="BG56" s="24"/>
      <c r="BH56" s="29"/>
      <c r="BI56" s="33"/>
      <c r="BJ56" s="24"/>
      <c r="BK56" s="26"/>
      <c r="BL56" s="27"/>
      <c r="BM56" s="26">
        <f t="shared" si="29"/>
        <v>0</v>
      </c>
    </row>
    <row r="57" spans="1:65" s="30" customFormat="1" ht="20.100000000000001" customHeight="1" x14ac:dyDescent="0.3">
      <c r="A57" s="34"/>
      <c r="B57" s="34"/>
      <c r="C57" s="34"/>
      <c r="D57" s="34"/>
      <c r="E57" s="35"/>
      <c r="F57" s="35"/>
      <c r="G57" s="36"/>
      <c r="H57" s="26">
        <f>SUM(H51:H56)</f>
        <v>0</v>
      </c>
      <c r="I57" s="27">
        <f>SUM(I51:I56)</f>
        <v>0</v>
      </c>
      <c r="J57" s="26">
        <f>SUM(J51:J56)</f>
        <v>0</v>
      </c>
      <c r="L57" s="34"/>
      <c r="M57" s="34"/>
      <c r="N57" s="34"/>
      <c r="O57" s="34"/>
      <c r="P57" s="35"/>
      <c r="Q57" s="35"/>
      <c r="R57" s="36"/>
      <c r="S57" s="26">
        <f>SUM(S51:S56)</f>
        <v>0</v>
      </c>
      <c r="T57" s="27">
        <f>SUM(T51:T56)</f>
        <v>0</v>
      </c>
      <c r="U57" s="26">
        <f>SUM(U51:U56)</f>
        <v>0</v>
      </c>
      <c r="W57" s="34"/>
      <c r="X57" s="34"/>
      <c r="Y57" s="34"/>
      <c r="Z57" s="34"/>
      <c r="AA57" s="35"/>
      <c r="AB57" s="35"/>
      <c r="AC57" s="36"/>
      <c r="AD57" s="26">
        <f>SUM(AD51:AD56)</f>
        <v>0</v>
      </c>
      <c r="AE57" s="27">
        <f>SUM(AE51:AE56)</f>
        <v>0</v>
      </c>
      <c r="AF57" s="26">
        <f>SUM(AF51:AF56)</f>
        <v>0</v>
      </c>
      <c r="AH57" s="34"/>
      <c r="AI57" s="34"/>
      <c r="AJ57" s="34"/>
      <c r="AK57" s="34"/>
      <c r="AL57" s="35"/>
      <c r="AM57" s="35"/>
      <c r="AN57" s="36"/>
      <c r="AO57" s="26">
        <f>SUM(AO51:AO56)</f>
        <v>0</v>
      </c>
      <c r="AP57" s="27">
        <f>SUM(AP51:AP56)</f>
        <v>0</v>
      </c>
      <c r="AQ57" s="26">
        <f>SUM(AQ51:AQ56)</f>
        <v>0</v>
      </c>
      <c r="AS57" s="34"/>
      <c r="AT57" s="34"/>
      <c r="AU57" s="34"/>
      <c r="AV57" s="34"/>
      <c r="AW57" s="35"/>
      <c r="AX57" s="35"/>
      <c r="AY57" s="36"/>
      <c r="AZ57" s="26">
        <f>SUM(AZ51:AZ56)</f>
        <v>0</v>
      </c>
      <c r="BA57" s="27">
        <f>SUM(BA51:BA56)</f>
        <v>0</v>
      </c>
      <c r="BB57" s="26">
        <f>SUM(BB51:BB56)</f>
        <v>0</v>
      </c>
      <c r="BD57" s="34"/>
      <c r="BE57" s="34"/>
      <c r="BF57" s="34"/>
      <c r="BG57" s="34"/>
      <c r="BH57" s="35"/>
      <c r="BI57" s="35"/>
      <c r="BJ57" s="36"/>
      <c r="BK57" s="26">
        <f>SUM(BK51:BK56)</f>
        <v>0</v>
      </c>
      <c r="BL57" s="27">
        <f>SUM(BL51:BL56)</f>
        <v>0</v>
      </c>
      <c r="BM57" s="26">
        <f>SUM(BM51:BM56)</f>
        <v>0</v>
      </c>
    </row>
    <row r="58" spans="1:65" ht="15.6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28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28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28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28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28"/>
      <c r="BD58" s="41"/>
      <c r="BE58" s="41"/>
      <c r="BF58" s="41"/>
      <c r="BG58" s="41"/>
      <c r="BH58" s="41"/>
      <c r="BI58" s="41"/>
      <c r="BJ58" s="41"/>
      <c r="BK58" s="41"/>
      <c r="BL58" s="41"/>
      <c r="BM58" s="41"/>
    </row>
    <row r="59" spans="1:65" ht="15.6" x14ac:dyDescent="0.3">
      <c r="A59" s="82" t="s">
        <v>0</v>
      </c>
      <c r="B59" s="82"/>
      <c r="C59" s="82"/>
      <c r="D59" s="82"/>
      <c r="E59" s="82"/>
      <c r="F59" s="82"/>
      <c r="G59" s="82"/>
      <c r="H59" s="82"/>
      <c r="I59" s="82"/>
      <c r="J59" s="82"/>
      <c r="K59" s="28"/>
      <c r="L59" s="82" t="s">
        <v>1</v>
      </c>
      <c r="M59" s="82"/>
      <c r="N59" s="82"/>
      <c r="O59" s="82"/>
      <c r="P59" s="82"/>
      <c r="Q59" s="82"/>
      <c r="R59" s="82"/>
      <c r="S59" s="82"/>
      <c r="T59" s="82"/>
      <c r="U59" s="82"/>
      <c r="V59" s="28"/>
      <c r="W59" s="82" t="s">
        <v>2</v>
      </c>
      <c r="X59" s="82"/>
      <c r="Y59" s="82"/>
      <c r="Z59" s="82"/>
      <c r="AA59" s="82"/>
      <c r="AB59" s="82"/>
      <c r="AC59" s="82"/>
      <c r="AD59" s="82"/>
      <c r="AE59" s="82"/>
      <c r="AF59" s="82"/>
      <c r="AG59" s="28"/>
      <c r="AH59" s="82" t="s">
        <v>3</v>
      </c>
      <c r="AI59" s="82"/>
      <c r="AJ59" s="82"/>
      <c r="AK59" s="82"/>
      <c r="AL59" s="82"/>
      <c r="AM59" s="82"/>
      <c r="AN59" s="82"/>
      <c r="AO59" s="82"/>
      <c r="AP59" s="82"/>
      <c r="AQ59" s="82"/>
      <c r="AR59" s="28"/>
      <c r="AS59" s="82" t="s">
        <v>4</v>
      </c>
      <c r="AT59" s="82"/>
      <c r="AU59" s="82"/>
      <c r="AV59" s="82"/>
      <c r="AW59" s="82"/>
      <c r="AX59" s="82"/>
      <c r="AY59" s="82"/>
      <c r="AZ59" s="82"/>
      <c r="BA59" s="82"/>
      <c r="BB59" s="82"/>
      <c r="BC59" s="28"/>
      <c r="BD59" s="82" t="s">
        <v>5</v>
      </c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ht="15.6" x14ac:dyDescent="0.3">
      <c r="A60" s="82" t="s">
        <v>18</v>
      </c>
      <c r="B60" s="82"/>
      <c r="C60" s="82"/>
      <c r="D60" s="82"/>
      <c r="E60" s="82"/>
      <c r="F60" s="82"/>
      <c r="G60" s="82"/>
      <c r="H60" s="82"/>
      <c r="I60" s="82"/>
      <c r="J60" s="82"/>
      <c r="K60" s="28"/>
      <c r="L60" s="82" t="s">
        <v>18</v>
      </c>
      <c r="M60" s="82"/>
      <c r="N60" s="82"/>
      <c r="O60" s="82"/>
      <c r="P60" s="82"/>
      <c r="Q60" s="82"/>
      <c r="R60" s="82"/>
      <c r="S60" s="82"/>
      <c r="T60" s="82"/>
      <c r="U60" s="82"/>
      <c r="V60" s="28"/>
      <c r="W60" s="82" t="s">
        <v>18</v>
      </c>
      <c r="X60" s="82"/>
      <c r="Y60" s="82"/>
      <c r="Z60" s="82"/>
      <c r="AA60" s="82"/>
      <c r="AB60" s="82"/>
      <c r="AC60" s="82"/>
      <c r="AD60" s="82"/>
      <c r="AE60" s="82"/>
      <c r="AF60" s="82"/>
      <c r="AG60" s="28"/>
      <c r="AH60" s="82" t="s">
        <v>18</v>
      </c>
      <c r="AI60" s="82"/>
      <c r="AJ60" s="82"/>
      <c r="AK60" s="82"/>
      <c r="AL60" s="82"/>
      <c r="AM60" s="82"/>
      <c r="AN60" s="82"/>
      <c r="AO60" s="82"/>
      <c r="AP60" s="82"/>
      <c r="AQ60" s="82"/>
      <c r="AR60" s="28"/>
      <c r="AS60" s="82" t="s">
        <v>18</v>
      </c>
      <c r="AT60" s="82"/>
      <c r="AU60" s="82"/>
      <c r="AV60" s="82"/>
      <c r="AW60" s="82"/>
      <c r="AX60" s="82"/>
      <c r="AY60" s="82"/>
      <c r="AZ60" s="82"/>
      <c r="BA60" s="82"/>
      <c r="BB60" s="82"/>
      <c r="BC60" s="28"/>
      <c r="BD60" s="82" t="s">
        <v>18</v>
      </c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s="30" customFormat="1" ht="35.1" customHeight="1" x14ac:dyDescent="0.3">
      <c r="A61" s="37" t="s">
        <v>308</v>
      </c>
      <c r="B61" s="38" t="s">
        <v>309</v>
      </c>
      <c r="C61" s="37" t="s">
        <v>310</v>
      </c>
      <c r="D61" s="37" t="s">
        <v>311</v>
      </c>
      <c r="E61" s="38" t="s">
        <v>312</v>
      </c>
      <c r="F61" s="39"/>
      <c r="G61" s="38" t="s">
        <v>313</v>
      </c>
      <c r="H61" s="38" t="s">
        <v>314</v>
      </c>
      <c r="I61" s="38" t="s">
        <v>315</v>
      </c>
      <c r="J61" s="38" t="s">
        <v>316</v>
      </c>
      <c r="L61" s="37" t="s">
        <v>308</v>
      </c>
      <c r="M61" s="38" t="s">
        <v>309</v>
      </c>
      <c r="N61" s="37" t="s">
        <v>310</v>
      </c>
      <c r="O61" s="37" t="s">
        <v>311</v>
      </c>
      <c r="P61" s="38" t="s">
        <v>312</v>
      </c>
      <c r="Q61" s="39"/>
      <c r="R61" s="38" t="s">
        <v>313</v>
      </c>
      <c r="S61" s="38" t="s">
        <v>314</v>
      </c>
      <c r="T61" s="38" t="s">
        <v>315</v>
      </c>
      <c r="U61" s="38" t="s">
        <v>316</v>
      </c>
      <c r="W61" s="37" t="s">
        <v>308</v>
      </c>
      <c r="X61" s="38" t="s">
        <v>309</v>
      </c>
      <c r="Y61" s="37" t="s">
        <v>310</v>
      </c>
      <c r="Z61" s="37" t="s">
        <v>311</v>
      </c>
      <c r="AA61" s="38" t="s">
        <v>312</v>
      </c>
      <c r="AB61" s="39"/>
      <c r="AC61" s="38" t="s">
        <v>313</v>
      </c>
      <c r="AD61" s="38" t="s">
        <v>314</v>
      </c>
      <c r="AE61" s="38" t="s">
        <v>315</v>
      </c>
      <c r="AF61" s="38" t="s">
        <v>316</v>
      </c>
      <c r="AH61" s="37" t="s">
        <v>308</v>
      </c>
      <c r="AI61" s="38" t="s">
        <v>309</v>
      </c>
      <c r="AJ61" s="37" t="s">
        <v>310</v>
      </c>
      <c r="AK61" s="37" t="s">
        <v>311</v>
      </c>
      <c r="AL61" s="38" t="s">
        <v>312</v>
      </c>
      <c r="AM61" s="39"/>
      <c r="AN61" s="38" t="s">
        <v>313</v>
      </c>
      <c r="AO61" s="38" t="s">
        <v>314</v>
      </c>
      <c r="AP61" s="38" t="s">
        <v>315</v>
      </c>
      <c r="AQ61" s="38" t="s">
        <v>316</v>
      </c>
      <c r="AS61" s="37" t="s">
        <v>308</v>
      </c>
      <c r="AT61" s="38" t="s">
        <v>309</v>
      </c>
      <c r="AU61" s="37" t="s">
        <v>310</v>
      </c>
      <c r="AV61" s="37" t="s">
        <v>311</v>
      </c>
      <c r="AW61" s="38" t="s">
        <v>312</v>
      </c>
      <c r="AX61" s="39"/>
      <c r="AY61" s="38" t="s">
        <v>313</v>
      </c>
      <c r="AZ61" s="38" t="s">
        <v>314</v>
      </c>
      <c r="BA61" s="38" t="s">
        <v>315</v>
      </c>
      <c r="BB61" s="38" t="s">
        <v>316</v>
      </c>
      <c r="BD61" s="37" t="s">
        <v>308</v>
      </c>
      <c r="BE61" s="38" t="s">
        <v>309</v>
      </c>
      <c r="BF61" s="37" t="s">
        <v>310</v>
      </c>
      <c r="BG61" s="37" t="s">
        <v>311</v>
      </c>
      <c r="BH61" s="38" t="s">
        <v>312</v>
      </c>
      <c r="BI61" s="39"/>
      <c r="BJ61" s="38" t="s">
        <v>313</v>
      </c>
      <c r="BK61" s="38" t="s">
        <v>314</v>
      </c>
      <c r="BL61" s="38" t="s">
        <v>315</v>
      </c>
      <c r="BM61" s="38" t="s">
        <v>316</v>
      </c>
    </row>
    <row r="62" spans="1:65" s="30" customFormat="1" ht="20.100000000000001" customHeight="1" x14ac:dyDescent="0.3">
      <c r="A62" s="24"/>
      <c r="B62" s="24"/>
      <c r="C62" s="31"/>
      <c r="D62" s="31"/>
      <c r="E62" s="29"/>
      <c r="F62" s="29"/>
      <c r="G62" s="24"/>
      <c r="H62" s="26"/>
      <c r="I62" s="27"/>
      <c r="J62" s="26">
        <f>H62-I62</f>
        <v>0</v>
      </c>
      <c r="L62" s="24"/>
      <c r="M62" s="24"/>
      <c r="N62" s="31"/>
      <c r="O62" s="31"/>
      <c r="P62" s="29"/>
      <c r="Q62" s="29"/>
      <c r="R62" s="24"/>
      <c r="S62" s="26"/>
      <c r="T62" s="27"/>
      <c r="U62" s="26">
        <f>S62-T62</f>
        <v>0</v>
      </c>
      <c r="W62" s="24"/>
      <c r="X62" s="24"/>
      <c r="Y62" s="31"/>
      <c r="Z62" s="31"/>
      <c r="AA62" s="29"/>
      <c r="AB62" s="29"/>
      <c r="AC62" s="24"/>
      <c r="AD62" s="26"/>
      <c r="AE62" s="27"/>
      <c r="AF62" s="26">
        <f>AD62-AE62</f>
        <v>0</v>
      </c>
      <c r="AH62" s="24"/>
      <c r="AI62" s="24"/>
      <c r="AJ62" s="31"/>
      <c r="AK62" s="31"/>
      <c r="AL62" s="29"/>
      <c r="AM62" s="29"/>
      <c r="AN62" s="24"/>
      <c r="AO62" s="26"/>
      <c r="AP62" s="27"/>
      <c r="AQ62" s="26">
        <f>AO62-AP62</f>
        <v>0</v>
      </c>
      <c r="AS62" s="24"/>
      <c r="AT62" s="24"/>
      <c r="AU62" s="31"/>
      <c r="AV62" s="31"/>
      <c r="AW62" s="29"/>
      <c r="AX62" s="29"/>
      <c r="AY62" s="24"/>
      <c r="AZ62" s="26"/>
      <c r="BA62" s="27"/>
      <c r="BB62" s="26">
        <f>AZ62-BA62</f>
        <v>0</v>
      </c>
      <c r="BD62" s="24"/>
      <c r="BE62" s="24"/>
      <c r="BF62" s="31"/>
      <c r="BG62" s="31"/>
      <c r="BH62" s="29"/>
      <c r="BI62" s="29"/>
      <c r="BJ62" s="24"/>
      <c r="BK62" s="26"/>
      <c r="BL62" s="27"/>
      <c r="BM62" s="26">
        <f>BK62-BL62</f>
        <v>0</v>
      </c>
    </row>
    <row r="63" spans="1:65" s="30" customFormat="1" ht="20.100000000000001" customHeight="1" x14ac:dyDescent="0.3">
      <c r="A63" s="24"/>
      <c r="B63" s="24"/>
      <c r="C63" s="31"/>
      <c r="D63" s="31"/>
      <c r="E63" s="29"/>
      <c r="F63" s="29"/>
      <c r="G63" s="24"/>
      <c r="H63" s="26"/>
      <c r="I63" s="27"/>
      <c r="J63" s="26">
        <f t="shared" ref="J63:J67" si="30">H63-I63</f>
        <v>0</v>
      </c>
      <c r="L63" s="24"/>
      <c r="M63" s="24"/>
      <c r="N63" s="31"/>
      <c r="O63" s="31"/>
      <c r="P63" s="29"/>
      <c r="Q63" s="29"/>
      <c r="R63" s="24"/>
      <c r="S63" s="26"/>
      <c r="T63" s="27"/>
      <c r="U63" s="26">
        <f t="shared" ref="U63:U67" si="31">S63-T63</f>
        <v>0</v>
      </c>
      <c r="W63" s="24"/>
      <c r="X63" s="24"/>
      <c r="Y63" s="31"/>
      <c r="Z63" s="31"/>
      <c r="AA63" s="29"/>
      <c r="AB63" s="29"/>
      <c r="AC63" s="24"/>
      <c r="AD63" s="26"/>
      <c r="AE63" s="27"/>
      <c r="AF63" s="26">
        <f t="shared" ref="AF63:AF67" si="32">AD63-AE63</f>
        <v>0</v>
      </c>
      <c r="AH63" s="24"/>
      <c r="AI63" s="24"/>
      <c r="AJ63" s="31"/>
      <c r="AK63" s="31"/>
      <c r="AL63" s="29"/>
      <c r="AM63" s="29"/>
      <c r="AN63" s="24"/>
      <c r="AO63" s="26"/>
      <c r="AP63" s="27"/>
      <c r="AQ63" s="26">
        <f t="shared" ref="AQ63:AQ67" si="33">AO63-AP63</f>
        <v>0</v>
      </c>
      <c r="AS63" s="24"/>
      <c r="AT63" s="24"/>
      <c r="AU63" s="31"/>
      <c r="AV63" s="31"/>
      <c r="AW63" s="29"/>
      <c r="AX63" s="29"/>
      <c r="AY63" s="24"/>
      <c r="AZ63" s="26"/>
      <c r="BA63" s="27"/>
      <c r="BB63" s="26">
        <f t="shared" ref="BB63:BB67" si="34">AZ63-BA63</f>
        <v>0</v>
      </c>
      <c r="BD63" s="24"/>
      <c r="BE63" s="24"/>
      <c r="BF63" s="31"/>
      <c r="BG63" s="31"/>
      <c r="BH63" s="29"/>
      <c r="BI63" s="29"/>
      <c r="BJ63" s="24"/>
      <c r="BK63" s="26"/>
      <c r="BL63" s="27"/>
      <c r="BM63" s="26">
        <f t="shared" ref="BM63:BM67" si="35">BK63-BL63</f>
        <v>0</v>
      </c>
    </row>
    <row r="64" spans="1:65" s="30" customFormat="1" ht="20.100000000000001" customHeight="1" x14ac:dyDescent="0.3">
      <c r="A64" s="24"/>
      <c r="B64" s="24"/>
      <c r="C64" s="31"/>
      <c r="D64" s="31"/>
      <c r="E64" s="29"/>
      <c r="F64" s="29"/>
      <c r="G64" s="24"/>
      <c r="H64" s="26"/>
      <c r="I64" s="27"/>
      <c r="J64" s="26">
        <f t="shared" si="30"/>
        <v>0</v>
      </c>
      <c r="L64" s="24"/>
      <c r="M64" s="24"/>
      <c r="N64" s="31"/>
      <c r="O64" s="31"/>
      <c r="P64" s="29"/>
      <c r="Q64" s="29"/>
      <c r="R64" s="24"/>
      <c r="S64" s="26"/>
      <c r="T64" s="27"/>
      <c r="U64" s="26">
        <f t="shared" si="31"/>
        <v>0</v>
      </c>
      <c r="W64" s="24"/>
      <c r="X64" s="24"/>
      <c r="Y64" s="31"/>
      <c r="Z64" s="31"/>
      <c r="AA64" s="29"/>
      <c r="AB64" s="29"/>
      <c r="AC64" s="24"/>
      <c r="AD64" s="26"/>
      <c r="AE64" s="27"/>
      <c r="AF64" s="26">
        <f t="shared" si="32"/>
        <v>0</v>
      </c>
      <c r="AH64" s="24"/>
      <c r="AI64" s="24"/>
      <c r="AJ64" s="31"/>
      <c r="AK64" s="31"/>
      <c r="AL64" s="29"/>
      <c r="AM64" s="29"/>
      <c r="AN64" s="24"/>
      <c r="AO64" s="26"/>
      <c r="AP64" s="27"/>
      <c r="AQ64" s="26">
        <f t="shared" si="33"/>
        <v>0</v>
      </c>
      <c r="AS64" s="24"/>
      <c r="AT64" s="24"/>
      <c r="AU64" s="31"/>
      <c r="AV64" s="31"/>
      <c r="AW64" s="29"/>
      <c r="AX64" s="29"/>
      <c r="AY64" s="24"/>
      <c r="AZ64" s="26"/>
      <c r="BA64" s="27"/>
      <c r="BB64" s="26">
        <f t="shared" si="34"/>
        <v>0</v>
      </c>
      <c r="BD64" s="24"/>
      <c r="BE64" s="24"/>
      <c r="BF64" s="31"/>
      <c r="BG64" s="31"/>
      <c r="BH64" s="29"/>
      <c r="BI64" s="29"/>
      <c r="BJ64" s="24"/>
      <c r="BK64" s="26"/>
      <c r="BL64" s="27"/>
      <c r="BM64" s="26">
        <f t="shared" si="35"/>
        <v>0</v>
      </c>
    </row>
    <row r="65" spans="1:65" s="30" customFormat="1" ht="20.100000000000001" customHeight="1" x14ac:dyDescent="0.3">
      <c r="A65" s="24"/>
      <c r="B65" s="24"/>
      <c r="C65" s="31"/>
      <c r="D65" s="31"/>
      <c r="E65" s="29"/>
      <c r="F65" s="32"/>
      <c r="G65" s="24"/>
      <c r="H65" s="26"/>
      <c r="I65" s="27"/>
      <c r="J65" s="26">
        <f t="shared" si="30"/>
        <v>0</v>
      </c>
      <c r="L65" s="24"/>
      <c r="M65" s="24"/>
      <c r="N65" s="31"/>
      <c r="O65" s="31"/>
      <c r="P65" s="29"/>
      <c r="Q65" s="32"/>
      <c r="R65" s="24"/>
      <c r="S65" s="26"/>
      <c r="T65" s="27"/>
      <c r="U65" s="26">
        <f t="shared" si="31"/>
        <v>0</v>
      </c>
      <c r="W65" s="24"/>
      <c r="X65" s="24"/>
      <c r="Y65" s="31"/>
      <c r="Z65" s="31"/>
      <c r="AA65" s="29"/>
      <c r="AB65" s="32"/>
      <c r="AC65" s="24"/>
      <c r="AD65" s="26"/>
      <c r="AE65" s="27"/>
      <c r="AF65" s="26">
        <f t="shared" si="32"/>
        <v>0</v>
      </c>
      <c r="AH65" s="24"/>
      <c r="AI65" s="24"/>
      <c r="AJ65" s="31"/>
      <c r="AK65" s="31"/>
      <c r="AL65" s="29"/>
      <c r="AM65" s="32"/>
      <c r="AN65" s="24"/>
      <c r="AO65" s="26"/>
      <c r="AP65" s="27"/>
      <c r="AQ65" s="26">
        <f t="shared" si="33"/>
        <v>0</v>
      </c>
      <c r="AS65" s="24"/>
      <c r="AT65" s="24"/>
      <c r="AU65" s="31"/>
      <c r="AV65" s="31"/>
      <c r="AW65" s="29"/>
      <c r="AX65" s="32"/>
      <c r="AY65" s="24"/>
      <c r="AZ65" s="26"/>
      <c r="BA65" s="27"/>
      <c r="BB65" s="26">
        <f t="shared" si="34"/>
        <v>0</v>
      </c>
      <c r="BD65" s="24"/>
      <c r="BE65" s="24"/>
      <c r="BF65" s="31"/>
      <c r="BG65" s="31"/>
      <c r="BH65" s="29"/>
      <c r="BI65" s="32"/>
      <c r="BJ65" s="24"/>
      <c r="BK65" s="26"/>
      <c r="BL65" s="27"/>
      <c r="BM65" s="26">
        <f t="shared" si="35"/>
        <v>0</v>
      </c>
    </row>
    <row r="66" spans="1:65" s="30" customFormat="1" ht="20.100000000000001" customHeight="1" x14ac:dyDescent="0.3">
      <c r="A66" s="24"/>
      <c r="B66" s="24"/>
      <c r="C66" s="31"/>
      <c r="D66" s="31"/>
      <c r="E66" s="29"/>
      <c r="F66" s="33"/>
      <c r="G66" s="24"/>
      <c r="H66" s="26"/>
      <c r="I66" s="27"/>
      <c r="J66" s="26">
        <f t="shared" si="30"/>
        <v>0</v>
      </c>
      <c r="L66" s="24"/>
      <c r="M66" s="24"/>
      <c r="N66" s="31"/>
      <c r="O66" s="31"/>
      <c r="P66" s="29"/>
      <c r="Q66" s="33"/>
      <c r="R66" s="24"/>
      <c r="S66" s="26"/>
      <c r="T66" s="27"/>
      <c r="U66" s="26">
        <f t="shared" si="31"/>
        <v>0</v>
      </c>
      <c r="W66" s="24"/>
      <c r="X66" s="24"/>
      <c r="Y66" s="31"/>
      <c r="Z66" s="31"/>
      <c r="AA66" s="29"/>
      <c r="AB66" s="33"/>
      <c r="AC66" s="24"/>
      <c r="AD66" s="26"/>
      <c r="AE66" s="27"/>
      <c r="AF66" s="26">
        <f t="shared" si="32"/>
        <v>0</v>
      </c>
      <c r="AH66" s="24"/>
      <c r="AI66" s="24"/>
      <c r="AJ66" s="31"/>
      <c r="AK66" s="31"/>
      <c r="AL66" s="29"/>
      <c r="AM66" s="33"/>
      <c r="AN66" s="24"/>
      <c r="AO66" s="26"/>
      <c r="AP66" s="27"/>
      <c r="AQ66" s="26">
        <f t="shared" si="33"/>
        <v>0</v>
      </c>
      <c r="AS66" s="24"/>
      <c r="AT66" s="24"/>
      <c r="AU66" s="31"/>
      <c r="AV66" s="31"/>
      <c r="AW66" s="29"/>
      <c r="AX66" s="33"/>
      <c r="AY66" s="24"/>
      <c r="AZ66" s="26"/>
      <c r="BA66" s="27"/>
      <c r="BB66" s="26">
        <f t="shared" si="34"/>
        <v>0</v>
      </c>
      <c r="BD66" s="24"/>
      <c r="BE66" s="24"/>
      <c r="BF66" s="31"/>
      <c r="BG66" s="31"/>
      <c r="BH66" s="29"/>
      <c r="BI66" s="33"/>
      <c r="BJ66" s="24"/>
      <c r="BK66" s="26"/>
      <c r="BL66" s="27"/>
      <c r="BM66" s="26">
        <f t="shared" si="35"/>
        <v>0</v>
      </c>
    </row>
    <row r="67" spans="1:65" s="30" customFormat="1" ht="20.100000000000001" customHeight="1" x14ac:dyDescent="0.3">
      <c r="A67" s="24"/>
      <c r="B67" s="24"/>
      <c r="C67" s="24"/>
      <c r="D67" s="24"/>
      <c r="E67" s="29"/>
      <c r="F67" s="33"/>
      <c r="G67" s="24"/>
      <c r="H67" s="26"/>
      <c r="I67" s="27"/>
      <c r="J67" s="26">
        <f t="shared" si="30"/>
        <v>0</v>
      </c>
      <c r="L67" s="24"/>
      <c r="M67" s="24"/>
      <c r="N67" s="24"/>
      <c r="O67" s="24"/>
      <c r="P67" s="29"/>
      <c r="Q67" s="33"/>
      <c r="R67" s="24"/>
      <c r="S67" s="26"/>
      <c r="T67" s="27"/>
      <c r="U67" s="26">
        <f t="shared" si="31"/>
        <v>0</v>
      </c>
      <c r="W67" s="24"/>
      <c r="X67" s="24"/>
      <c r="Y67" s="24"/>
      <c r="Z67" s="24"/>
      <c r="AA67" s="29"/>
      <c r="AB67" s="33"/>
      <c r="AC67" s="24"/>
      <c r="AD67" s="26"/>
      <c r="AE67" s="27"/>
      <c r="AF67" s="26">
        <f t="shared" si="32"/>
        <v>0</v>
      </c>
      <c r="AH67" s="24"/>
      <c r="AI67" s="24"/>
      <c r="AJ67" s="24"/>
      <c r="AK67" s="24"/>
      <c r="AL67" s="29"/>
      <c r="AM67" s="33"/>
      <c r="AN67" s="24"/>
      <c r="AO67" s="26"/>
      <c r="AP67" s="27"/>
      <c r="AQ67" s="26">
        <f t="shared" si="33"/>
        <v>0</v>
      </c>
      <c r="AS67" s="24"/>
      <c r="AT67" s="24"/>
      <c r="AU67" s="24"/>
      <c r="AV67" s="24"/>
      <c r="AW67" s="29"/>
      <c r="AX67" s="33"/>
      <c r="AY67" s="24"/>
      <c r="AZ67" s="26"/>
      <c r="BA67" s="27"/>
      <c r="BB67" s="26">
        <f t="shared" si="34"/>
        <v>0</v>
      </c>
      <c r="BD67" s="24"/>
      <c r="BE67" s="24"/>
      <c r="BF67" s="24"/>
      <c r="BG67" s="24"/>
      <c r="BH67" s="29"/>
      <c r="BI67" s="33"/>
      <c r="BJ67" s="24"/>
      <c r="BK67" s="26"/>
      <c r="BL67" s="27"/>
      <c r="BM67" s="26">
        <f t="shared" si="35"/>
        <v>0</v>
      </c>
    </row>
    <row r="68" spans="1:65" s="30" customFormat="1" ht="20.100000000000001" customHeight="1" x14ac:dyDescent="0.3">
      <c r="A68" s="34"/>
      <c r="B68" s="34"/>
      <c r="C68" s="34"/>
      <c r="D68" s="34"/>
      <c r="E68" s="35"/>
      <c r="F68" s="35"/>
      <c r="G68" s="36"/>
      <c r="H68" s="26">
        <f>SUM(H62:H67)</f>
        <v>0</v>
      </c>
      <c r="I68" s="27">
        <f>SUM(I62:I67)</f>
        <v>0</v>
      </c>
      <c r="J68" s="26">
        <f>SUM(J62:J67)</f>
        <v>0</v>
      </c>
      <c r="L68" s="34"/>
      <c r="M68" s="34"/>
      <c r="N68" s="34"/>
      <c r="O68" s="34"/>
      <c r="P68" s="35"/>
      <c r="Q68" s="35"/>
      <c r="R68" s="36"/>
      <c r="S68" s="26">
        <f>SUM(S62:S67)</f>
        <v>0</v>
      </c>
      <c r="T68" s="27">
        <f>SUM(T62:T67)</f>
        <v>0</v>
      </c>
      <c r="U68" s="26">
        <f>SUM(U62:U67)</f>
        <v>0</v>
      </c>
      <c r="W68" s="34"/>
      <c r="X68" s="34"/>
      <c r="Y68" s="34"/>
      <c r="Z68" s="34"/>
      <c r="AA68" s="35"/>
      <c r="AB68" s="35"/>
      <c r="AC68" s="36"/>
      <c r="AD68" s="26">
        <f>SUM(AD62:AD67)</f>
        <v>0</v>
      </c>
      <c r="AE68" s="27">
        <f>SUM(AE62:AE67)</f>
        <v>0</v>
      </c>
      <c r="AF68" s="26">
        <f>SUM(AF62:AF67)</f>
        <v>0</v>
      </c>
      <c r="AH68" s="34"/>
      <c r="AI68" s="34"/>
      <c r="AJ68" s="34"/>
      <c r="AK68" s="34"/>
      <c r="AL68" s="35"/>
      <c r="AM68" s="35"/>
      <c r="AN68" s="36"/>
      <c r="AO68" s="26">
        <f>SUM(AO62:AO67)</f>
        <v>0</v>
      </c>
      <c r="AP68" s="27">
        <f>SUM(AP62:AP67)</f>
        <v>0</v>
      </c>
      <c r="AQ68" s="26">
        <f>SUM(AQ62:AQ67)</f>
        <v>0</v>
      </c>
      <c r="AS68" s="34"/>
      <c r="AT68" s="34"/>
      <c r="AU68" s="34"/>
      <c r="AV68" s="34"/>
      <c r="AW68" s="35"/>
      <c r="AX68" s="35"/>
      <c r="AY68" s="36"/>
      <c r="AZ68" s="26">
        <f>SUM(AZ62:AZ67)</f>
        <v>0</v>
      </c>
      <c r="BA68" s="27">
        <f>SUM(BA62:BA67)</f>
        <v>0</v>
      </c>
      <c r="BB68" s="26">
        <f>SUM(BB62:BB67)</f>
        <v>0</v>
      </c>
      <c r="BD68" s="34"/>
      <c r="BE68" s="34"/>
      <c r="BF68" s="34"/>
      <c r="BG68" s="34"/>
      <c r="BH68" s="35"/>
      <c r="BI68" s="35"/>
      <c r="BJ68" s="36"/>
      <c r="BK68" s="26">
        <f>SUM(BK62:BK67)</f>
        <v>0</v>
      </c>
      <c r="BL68" s="27">
        <f>SUM(BL62:BL67)</f>
        <v>0</v>
      </c>
      <c r="BM68" s="26">
        <f>SUM(BM62:BM67)</f>
        <v>0</v>
      </c>
    </row>
    <row r="69" spans="1:65" ht="15.6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28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28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28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28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28"/>
      <c r="BD69" s="41"/>
      <c r="BE69" s="41"/>
      <c r="BF69" s="41"/>
      <c r="BG69" s="41"/>
      <c r="BH69" s="41"/>
      <c r="BI69" s="41"/>
      <c r="BJ69" s="41"/>
      <c r="BK69" s="41"/>
      <c r="BL69" s="41"/>
      <c r="BM69" s="41"/>
    </row>
    <row r="70" spans="1:65" ht="15.6" x14ac:dyDescent="0.3">
      <c r="A70" s="82" t="s">
        <v>0</v>
      </c>
      <c r="B70" s="82"/>
      <c r="C70" s="82"/>
      <c r="D70" s="82"/>
      <c r="E70" s="82"/>
      <c r="F70" s="82"/>
      <c r="G70" s="82"/>
      <c r="H70" s="82"/>
      <c r="I70" s="82"/>
      <c r="J70" s="82"/>
      <c r="K70" s="28"/>
      <c r="L70" s="82" t="s">
        <v>1</v>
      </c>
      <c r="M70" s="82"/>
      <c r="N70" s="82"/>
      <c r="O70" s="82"/>
      <c r="P70" s="82"/>
      <c r="Q70" s="82"/>
      <c r="R70" s="82"/>
      <c r="S70" s="82"/>
      <c r="T70" s="82"/>
      <c r="U70" s="82"/>
      <c r="V70" s="28"/>
      <c r="W70" s="82" t="s">
        <v>2</v>
      </c>
      <c r="X70" s="82"/>
      <c r="Y70" s="82"/>
      <c r="Z70" s="82"/>
      <c r="AA70" s="82"/>
      <c r="AB70" s="82"/>
      <c r="AC70" s="82"/>
      <c r="AD70" s="82"/>
      <c r="AE70" s="82"/>
      <c r="AF70" s="82"/>
      <c r="AG70" s="28"/>
      <c r="AH70" s="82" t="s">
        <v>3</v>
      </c>
      <c r="AI70" s="82"/>
      <c r="AJ70" s="82"/>
      <c r="AK70" s="82"/>
      <c r="AL70" s="82"/>
      <c r="AM70" s="82"/>
      <c r="AN70" s="82"/>
      <c r="AO70" s="82"/>
      <c r="AP70" s="82"/>
      <c r="AQ70" s="82"/>
      <c r="AR70" s="28"/>
      <c r="AS70" s="82" t="s">
        <v>4</v>
      </c>
      <c r="AT70" s="82"/>
      <c r="AU70" s="82"/>
      <c r="AV70" s="82"/>
      <c r="AW70" s="82"/>
      <c r="AX70" s="82"/>
      <c r="AY70" s="82"/>
      <c r="AZ70" s="82"/>
      <c r="BA70" s="82"/>
      <c r="BB70" s="82"/>
      <c r="BC70" s="28"/>
      <c r="BD70" s="82" t="s">
        <v>5</v>
      </c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ht="15.6" x14ac:dyDescent="0.3">
      <c r="A71" s="82" t="s">
        <v>22</v>
      </c>
      <c r="B71" s="82"/>
      <c r="C71" s="82"/>
      <c r="D71" s="82"/>
      <c r="E71" s="82"/>
      <c r="F71" s="82"/>
      <c r="G71" s="82"/>
      <c r="H71" s="82"/>
      <c r="I71" s="82"/>
      <c r="J71" s="82"/>
      <c r="K71" s="28"/>
      <c r="L71" s="82" t="s">
        <v>22</v>
      </c>
      <c r="M71" s="82"/>
      <c r="N71" s="82"/>
      <c r="O71" s="82"/>
      <c r="P71" s="82"/>
      <c r="Q71" s="82"/>
      <c r="R71" s="82"/>
      <c r="S71" s="82"/>
      <c r="T71" s="82"/>
      <c r="U71" s="82"/>
      <c r="V71" s="28"/>
      <c r="W71" s="82" t="s">
        <v>22</v>
      </c>
      <c r="X71" s="82"/>
      <c r="Y71" s="82"/>
      <c r="Z71" s="82"/>
      <c r="AA71" s="82"/>
      <c r="AB71" s="82"/>
      <c r="AC71" s="82"/>
      <c r="AD71" s="82"/>
      <c r="AE71" s="82"/>
      <c r="AF71" s="82"/>
      <c r="AG71" s="28"/>
      <c r="AH71" s="82" t="s">
        <v>22</v>
      </c>
      <c r="AI71" s="82"/>
      <c r="AJ71" s="82"/>
      <c r="AK71" s="82"/>
      <c r="AL71" s="82"/>
      <c r="AM71" s="82"/>
      <c r="AN71" s="82"/>
      <c r="AO71" s="82"/>
      <c r="AP71" s="82"/>
      <c r="AQ71" s="82"/>
      <c r="AR71" s="28"/>
      <c r="AS71" s="82" t="s">
        <v>22</v>
      </c>
      <c r="AT71" s="82"/>
      <c r="AU71" s="82"/>
      <c r="AV71" s="82"/>
      <c r="AW71" s="82"/>
      <c r="AX71" s="82"/>
      <c r="AY71" s="82"/>
      <c r="AZ71" s="82"/>
      <c r="BA71" s="82"/>
      <c r="BB71" s="82"/>
      <c r="BC71" s="28"/>
      <c r="BD71" s="82" t="s">
        <v>22</v>
      </c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s="30" customFormat="1" ht="35.1" customHeight="1" x14ac:dyDescent="0.3">
      <c r="A72" s="37" t="s">
        <v>308</v>
      </c>
      <c r="B72" s="38" t="s">
        <v>309</v>
      </c>
      <c r="C72" s="37" t="s">
        <v>310</v>
      </c>
      <c r="D72" s="37" t="s">
        <v>311</v>
      </c>
      <c r="E72" s="38" t="s">
        <v>312</v>
      </c>
      <c r="F72" s="39"/>
      <c r="G72" s="38" t="s">
        <v>313</v>
      </c>
      <c r="H72" s="38" t="s">
        <v>314</v>
      </c>
      <c r="I72" s="38" t="s">
        <v>315</v>
      </c>
      <c r="J72" s="38" t="s">
        <v>316</v>
      </c>
      <c r="L72" s="37" t="s">
        <v>308</v>
      </c>
      <c r="M72" s="38" t="s">
        <v>309</v>
      </c>
      <c r="N72" s="37" t="s">
        <v>310</v>
      </c>
      <c r="O72" s="37" t="s">
        <v>311</v>
      </c>
      <c r="P72" s="38" t="s">
        <v>312</v>
      </c>
      <c r="Q72" s="39"/>
      <c r="R72" s="38" t="s">
        <v>313</v>
      </c>
      <c r="S72" s="38" t="s">
        <v>314</v>
      </c>
      <c r="T72" s="38" t="s">
        <v>315</v>
      </c>
      <c r="U72" s="38" t="s">
        <v>316</v>
      </c>
      <c r="W72" s="37" t="s">
        <v>308</v>
      </c>
      <c r="X72" s="38" t="s">
        <v>309</v>
      </c>
      <c r="Y72" s="37" t="s">
        <v>310</v>
      </c>
      <c r="Z72" s="37" t="s">
        <v>311</v>
      </c>
      <c r="AA72" s="38" t="s">
        <v>312</v>
      </c>
      <c r="AB72" s="39"/>
      <c r="AC72" s="38" t="s">
        <v>313</v>
      </c>
      <c r="AD72" s="38" t="s">
        <v>314</v>
      </c>
      <c r="AE72" s="38" t="s">
        <v>315</v>
      </c>
      <c r="AF72" s="38" t="s">
        <v>316</v>
      </c>
      <c r="AH72" s="37" t="s">
        <v>308</v>
      </c>
      <c r="AI72" s="38" t="s">
        <v>309</v>
      </c>
      <c r="AJ72" s="37" t="s">
        <v>310</v>
      </c>
      <c r="AK72" s="37" t="s">
        <v>311</v>
      </c>
      <c r="AL72" s="38" t="s">
        <v>312</v>
      </c>
      <c r="AM72" s="39"/>
      <c r="AN72" s="38" t="s">
        <v>313</v>
      </c>
      <c r="AO72" s="38" t="s">
        <v>314</v>
      </c>
      <c r="AP72" s="38" t="s">
        <v>315</v>
      </c>
      <c r="AQ72" s="38" t="s">
        <v>316</v>
      </c>
      <c r="AS72" s="37" t="s">
        <v>308</v>
      </c>
      <c r="AT72" s="38" t="s">
        <v>309</v>
      </c>
      <c r="AU72" s="37" t="s">
        <v>310</v>
      </c>
      <c r="AV72" s="37" t="s">
        <v>311</v>
      </c>
      <c r="AW72" s="38" t="s">
        <v>312</v>
      </c>
      <c r="AX72" s="39"/>
      <c r="AY72" s="38" t="s">
        <v>313</v>
      </c>
      <c r="AZ72" s="38" t="s">
        <v>314</v>
      </c>
      <c r="BA72" s="38" t="s">
        <v>315</v>
      </c>
      <c r="BB72" s="38" t="s">
        <v>316</v>
      </c>
      <c r="BD72" s="37" t="s">
        <v>308</v>
      </c>
      <c r="BE72" s="38" t="s">
        <v>309</v>
      </c>
      <c r="BF72" s="37" t="s">
        <v>310</v>
      </c>
      <c r="BG72" s="37" t="s">
        <v>311</v>
      </c>
      <c r="BH72" s="38" t="s">
        <v>312</v>
      </c>
      <c r="BI72" s="39"/>
      <c r="BJ72" s="38" t="s">
        <v>313</v>
      </c>
      <c r="BK72" s="38" t="s">
        <v>314</v>
      </c>
      <c r="BL72" s="38" t="s">
        <v>315</v>
      </c>
      <c r="BM72" s="38" t="s">
        <v>316</v>
      </c>
    </row>
    <row r="73" spans="1:65" s="30" customFormat="1" ht="20.100000000000001" customHeight="1" x14ac:dyDescent="0.3">
      <c r="A73" s="24"/>
      <c r="B73" s="24"/>
      <c r="C73" s="31"/>
      <c r="D73" s="31"/>
      <c r="E73" s="29"/>
      <c r="F73" s="29"/>
      <c r="G73" s="24"/>
      <c r="H73" s="26"/>
      <c r="I73" s="27"/>
      <c r="J73" s="26">
        <f>H73-I73</f>
        <v>0</v>
      </c>
      <c r="L73" s="24"/>
      <c r="M73" s="24"/>
      <c r="N73" s="31"/>
      <c r="O73" s="31"/>
      <c r="P73" s="29"/>
      <c r="Q73" s="29"/>
      <c r="R73" s="24"/>
      <c r="S73" s="26"/>
      <c r="T73" s="27"/>
      <c r="U73" s="26">
        <f>S73-T73</f>
        <v>0</v>
      </c>
      <c r="W73" s="24"/>
      <c r="X73" s="24"/>
      <c r="Y73" s="31"/>
      <c r="Z73" s="31"/>
      <c r="AA73" s="29"/>
      <c r="AB73" s="29"/>
      <c r="AC73" s="24"/>
      <c r="AD73" s="26"/>
      <c r="AE73" s="27"/>
      <c r="AF73" s="26">
        <f>AD73-AE73</f>
        <v>0</v>
      </c>
      <c r="AH73" s="24"/>
      <c r="AI73" s="24"/>
      <c r="AJ73" s="31"/>
      <c r="AK73" s="31"/>
      <c r="AL73" s="29"/>
      <c r="AM73" s="29"/>
      <c r="AN73" s="24"/>
      <c r="AO73" s="26"/>
      <c r="AP73" s="27"/>
      <c r="AQ73" s="26">
        <f>AO73-AP73</f>
        <v>0</v>
      </c>
      <c r="AS73" s="24"/>
      <c r="AT73" s="24"/>
      <c r="AU73" s="31"/>
      <c r="AV73" s="31"/>
      <c r="AW73" s="29"/>
      <c r="AX73" s="29"/>
      <c r="AY73" s="24"/>
      <c r="AZ73" s="26"/>
      <c r="BA73" s="27"/>
      <c r="BB73" s="26">
        <f>AZ73-BA73</f>
        <v>0</v>
      </c>
      <c r="BD73" s="24"/>
      <c r="BE73" s="24"/>
      <c r="BF73" s="31"/>
      <c r="BG73" s="31"/>
      <c r="BH73" s="29"/>
      <c r="BI73" s="29"/>
      <c r="BJ73" s="24"/>
      <c r="BK73" s="26"/>
      <c r="BL73" s="27"/>
      <c r="BM73" s="26">
        <f>BK73-BL73</f>
        <v>0</v>
      </c>
    </row>
    <row r="74" spans="1:65" s="30" customFormat="1" ht="20.100000000000001" customHeight="1" x14ac:dyDescent="0.3">
      <c r="A74" s="24"/>
      <c r="B74" s="24"/>
      <c r="C74" s="31"/>
      <c r="D74" s="31"/>
      <c r="E74" s="29"/>
      <c r="F74" s="29"/>
      <c r="G74" s="24"/>
      <c r="H74" s="26"/>
      <c r="I74" s="27"/>
      <c r="J74" s="26">
        <f t="shared" ref="J74:J78" si="36">H74-I74</f>
        <v>0</v>
      </c>
      <c r="L74" s="24"/>
      <c r="M74" s="24"/>
      <c r="N74" s="31"/>
      <c r="O74" s="31"/>
      <c r="P74" s="29"/>
      <c r="Q74" s="29"/>
      <c r="R74" s="24"/>
      <c r="S74" s="26"/>
      <c r="T74" s="27"/>
      <c r="U74" s="26">
        <f t="shared" ref="U74:U78" si="37">S74-T74</f>
        <v>0</v>
      </c>
      <c r="W74" s="24"/>
      <c r="X74" s="24"/>
      <c r="Y74" s="31"/>
      <c r="Z74" s="31"/>
      <c r="AA74" s="29"/>
      <c r="AB74" s="29"/>
      <c r="AC74" s="24"/>
      <c r="AD74" s="26"/>
      <c r="AE74" s="27"/>
      <c r="AF74" s="26">
        <f t="shared" ref="AF74:AF78" si="38">AD74-AE74</f>
        <v>0</v>
      </c>
      <c r="AH74" s="24"/>
      <c r="AI74" s="24"/>
      <c r="AJ74" s="31"/>
      <c r="AK74" s="31"/>
      <c r="AL74" s="29"/>
      <c r="AM74" s="29"/>
      <c r="AN74" s="24"/>
      <c r="AO74" s="26"/>
      <c r="AP74" s="27"/>
      <c r="AQ74" s="26">
        <f t="shared" ref="AQ74:AQ78" si="39">AO74-AP74</f>
        <v>0</v>
      </c>
      <c r="AS74" s="24"/>
      <c r="AT74" s="24"/>
      <c r="AU74" s="31"/>
      <c r="AV74" s="31"/>
      <c r="AW74" s="29"/>
      <c r="AX74" s="29"/>
      <c r="AY74" s="24"/>
      <c r="AZ74" s="26"/>
      <c r="BA74" s="27"/>
      <c r="BB74" s="26">
        <f t="shared" ref="BB74:BB78" si="40">AZ74-BA74</f>
        <v>0</v>
      </c>
      <c r="BD74" s="24"/>
      <c r="BE74" s="24"/>
      <c r="BF74" s="31"/>
      <c r="BG74" s="31"/>
      <c r="BH74" s="29"/>
      <c r="BI74" s="29"/>
      <c r="BJ74" s="24"/>
      <c r="BK74" s="26"/>
      <c r="BL74" s="27"/>
      <c r="BM74" s="26">
        <f t="shared" ref="BM74:BM78" si="41">BK74-BL74</f>
        <v>0</v>
      </c>
    </row>
    <row r="75" spans="1:65" s="30" customFormat="1" ht="20.100000000000001" customHeight="1" x14ac:dyDescent="0.3">
      <c r="A75" s="24"/>
      <c r="B75" s="24"/>
      <c r="C75" s="31"/>
      <c r="D75" s="31"/>
      <c r="E75" s="29"/>
      <c r="F75" s="29"/>
      <c r="G75" s="24"/>
      <c r="H75" s="26"/>
      <c r="I75" s="27"/>
      <c r="J75" s="26">
        <f t="shared" si="36"/>
        <v>0</v>
      </c>
      <c r="L75" s="24"/>
      <c r="M75" s="24"/>
      <c r="N75" s="31"/>
      <c r="O75" s="31"/>
      <c r="P75" s="29"/>
      <c r="Q75" s="29"/>
      <c r="R75" s="24"/>
      <c r="S75" s="26"/>
      <c r="T75" s="27"/>
      <c r="U75" s="26">
        <f t="shared" si="37"/>
        <v>0</v>
      </c>
      <c r="W75" s="24"/>
      <c r="X75" s="24"/>
      <c r="Y75" s="31"/>
      <c r="Z75" s="31"/>
      <c r="AA75" s="29"/>
      <c r="AB75" s="29"/>
      <c r="AC75" s="24"/>
      <c r="AD75" s="26"/>
      <c r="AE75" s="27"/>
      <c r="AF75" s="26">
        <f t="shared" si="38"/>
        <v>0</v>
      </c>
      <c r="AH75" s="24"/>
      <c r="AI75" s="24"/>
      <c r="AJ75" s="31"/>
      <c r="AK75" s="31"/>
      <c r="AL75" s="29"/>
      <c r="AM75" s="29"/>
      <c r="AN75" s="24"/>
      <c r="AO75" s="26"/>
      <c r="AP75" s="27"/>
      <c r="AQ75" s="26">
        <f t="shared" si="39"/>
        <v>0</v>
      </c>
      <c r="AS75" s="24"/>
      <c r="AT75" s="24"/>
      <c r="AU75" s="31"/>
      <c r="AV75" s="31"/>
      <c r="AW75" s="29"/>
      <c r="AX75" s="29"/>
      <c r="AY75" s="24"/>
      <c r="AZ75" s="26"/>
      <c r="BA75" s="27"/>
      <c r="BB75" s="26">
        <f t="shared" si="40"/>
        <v>0</v>
      </c>
      <c r="BD75" s="24"/>
      <c r="BE75" s="24"/>
      <c r="BF75" s="31"/>
      <c r="BG75" s="31"/>
      <c r="BH75" s="29"/>
      <c r="BI75" s="29"/>
      <c r="BJ75" s="24"/>
      <c r="BK75" s="26"/>
      <c r="BL75" s="27"/>
      <c r="BM75" s="26">
        <f t="shared" si="41"/>
        <v>0</v>
      </c>
    </row>
    <row r="76" spans="1:65" s="30" customFormat="1" ht="20.100000000000001" customHeight="1" x14ac:dyDescent="0.3">
      <c r="A76" s="24"/>
      <c r="B76" s="24"/>
      <c r="C76" s="31"/>
      <c r="D76" s="31"/>
      <c r="E76" s="29"/>
      <c r="F76" s="32"/>
      <c r="G76" s="24"/>
      <c r="H76" s="26"/>
      <c r="I76" s="27"/>
      <c r="J76" s="26">
        <f t="shared" si="36"/>
        <v>0</v>
      </c>
      <c r="L76" s="24"/>
      <c r="M76" s="24"/>
      <c r="N76" s="31"/>
      <c r="O76" s="31"/>
      <c r="P76" s="29"/>
      <c r="Q76" s="32"/>
      <c r="R76" s="24"/>
      <c r="S76" s="26"/>
      <c r="T76" s="27"/>
      <c r="U76" s="26">
        <f t="shared" si="37"/>
        <v>0</v>
      </c>
      <c r="W76" s="24"/>
      <c r="X76" s="24"/>
      <c r="Y76" s="31"/>
      <c r="Z76" s="31"/>
      <c r="AA76" s="29"/>
      <c r="AB76" s="32"/>
      <c r="AC76" s="24"/>
      <c r="AD76" s="26"/>
      <c r="AE76" s="27"/>
      <c r="AF76" s="26">
        <f t="shared" si="38"/>
        <v>0</v>
      </c>
      <c r="AH76" s="24"/>
      <c r="AI76" s="24"/>
      <c r="AJ76" s="31"/>
      <c r="AK76" s="31"/>
      <c r="AL76" s="29"/>
      <c r="AM76" s="32"/>
      <c r="AN76" s="24"/>
      <c r="AO76" s="26"/>
      <c r="AP76" s="27"/>
      <c r="AQ76" s="26">
        <f t="shared" si="39"/>
        <v>0</v>
      </c>
      <c r="AS76" s="24"/>
      <c r="AT76" s="24"/>
      <c r="AU76" s="31"/>
      <c r="AV76" s="31"/>
      <c r="AW76" s="29"/>
      <c r="AX76" s="32"/>
      <c r="AY76" s="24"/>
      <c r="AZ76" s="26"/>
      <c r="BA76" s="27"/>
      <c r="BB76" s="26">
        <f t="shared" si="40"/>
        <v>0</v>
      </c>
      <c r="BD76" s="24"/>
      <c r="BE76" s="24"/>
      <c r="BF76" s="31"/>
      <c r="BG76" s="31"/>
      <c r="BH76" s="29"/>
      <c r="BI76" s="32"/>
      <c r="BJ76" s="24"/>
      <c r="BK76" s="26"/>
      <c r="BL76" s="27"/>
      <c r="BM76" s="26">
        <f t="shared" si="41"/>
        <v>0</v>
      </c>
    </row>
    <row r="77" spans="1:65" s="30" customFormat="1" ht="20.100000000000001" customHeight="1" x14ac:dyDescent="0.3">
      <c r="A77" s="24"/>
      <c r="B77" s="24"/>
      <c r="C77" s="31"/>
      <c r="D77" s="31"/>
      <c r="E77" s="29"/>
      <c r="F77" s="33"/>
      <c r="G77" s="24"/>
      <c r="H77" s="26"/>
      <c r="I77" s="27"/>
      <c r="J77" s="26">
        <f t="shared" si="36"/>
        <v>0</v>
      </c>
      <c r="L77" s="24"/>
      <c r="M77" s="24"/>
      <c r="N77" s="31"/>
      <c r="O77" s="31"/>
      <c r="P77" s="29"/>
      <c r="Q77" s="33"/>
      <c r="R77" s="24"/>
      <c r="S77" s="26"/>
      <c r="T77" s="27"/>
      <c r="U77" s="26">
        <f t="shared" si="37"/>
        <v>0</v>
      </c>
      <c r="W77" s="24"/>
      <c r="X77" s="24"/>
      <c r="Y77" s="31"/>
      <c r="Z77" s="31"/>
      <c r="AA77" s="29"/>
      <c r="AB77" s="33"/>
      <c r="AC77" s="24"/>
      <c r="AD77" s="26"/>
      <c r="AE77" s="27"/>
      <c r="AF77" s="26">
        <f t="shared" si="38"/>
        <v>0</v>
      </c>
      <c r="AH77" s="24"/>
      <c r="AI77" s="24"/>
      <c r="AJ77" s="31"/>
      <c r="AK77" s="31"/>
      <c r="AL77" s="29"/>
      <c r="AM77" s="33"/>
      <c r="AN77" s="24"/>
      <c r="AO77" s="26"/>
      <c r="AP77" s="27"/>
      <c r="AQ77" s="26">
        <f t="shared" si="39"/>
        <v>0</v>
      </c>
      <c r="AS77" s="24"/>
      <c r="AT77" s="24"/>
      <c r="AU77" s="31"/>
      <c r="AV77" s="31"/>
      <c r="AW77" s="29"/>
      <c r="AX77" s="33"/>
      <c r="AY77" s="24"/>
      <c r="AZ77" s="26"/>
      <c r="BA77" s="27"/>
      <c r="BB77" s="26">
        <f t="shared" si="40"/>
        <v>0</v>
      </c>
      <c r="BD77" s="24"/>
      <c r="BE77" s="24"/>
      <c r="BF77" s="31"/>
      <c r="BG77" s="31"/>
      <c r="BH77" s="29"/>
      <c r="BI77" s="33"/>
      <c r="BJ77" s="24"/>
      <c r="BK77" s="26"/>
      <c r="BL77" s="27"/>
      <c r="BM77" s="26">
        <f t="shared" si="41"/>
        <v>0</v>
      </c>
    </row>
    <row r="78" spans="1:65" s="30" customFormat="1" ht="20.100000000000001" customHeight="1" x14ac:dyDescent="0.3">
      <c r="A78" s="24"/>
      <c r="B78" s="24"/>
      <c r="C78" s="24"/>
      <c r="D78" s="24"/>
      <c r="E78" s="29"/>
      <c r="F78" s="33"/>
      <c r="G78" s="24"/>
      <c r="H78" s="26"/>
      <c r="I78" s="27"/>
      <c r="J78" s="26">
        <f t="shared" si="36"/>
        <v>0</v>
      </c>
      <c r="L78" s="24"/>
      <c r="M78" s="24"/>
      <c r="N78" s="24"/>
      <c r="O78" s="24"/>
      <c r="P78" s="29"/>
      <c r="Q78" s="33"/>
      <c r="R78" s="24"/>
      <c r="S78" s="26"/>
      <c r="T78" s="27"/>
      <c r="U78" s="26">
        <f t="shared" si="37"/>
        <v>0</v>
      </c>
      <c r="W78" s="24"/>
      <c r="X78" s="24"/>
      <c r="Y78" s="24"/>
      <c r="Z78" s="24"/>
      <c r="AA78" s="29"/>
      <c r="AB78" s="33"/>
      <c r="AC78" s="24"/>
      <c r="AD78" s="26"/>
      <c r="AE78" s="27"/>
      <c r="AF78" s="26">
        <f t="shared" si="38"/>
        <v>0</v>
      </c>
      <c r="AH78" s="24"/>
      <c r="AI78" s="24"/>
      <c r="AJ78" s="24"/>
      <c r="AK78" s="24"/>
      <c r="AL78" s="29"/>
      <c r="AM78" s="33"/>
      <c r="AN78" s="24"/>
      <c r="AO78" s="26"/>
      <c r="AP78" s="27"/>
      <c r="AQ78" s="26">
        <f t="shared" si="39"/>
        <v>0</v>
      </c>
      <c r="AS78" s="24"/>
      <c r="AT78" s="24"/>
      <c r="AU78" s="24"/>
      <c r="AV78" s="24"/>
      <c r="AW78" s="29"/>
      <c r="AX78" s="33"/>
      <c r="AY78" s="24"/>
      <c r="AZ78" s="26"/>
      <c r="BA78" s="27"/>
      <c r="BB78" s="26">
        <f t="shared" si="40"/>
        <v>0</v>
      </c>
      <c r="BD78" s="24"/>
      <c r="BE78" s="24"/>
      <c r="BF78" s="24"/>
      <c r="BG78" s="24"/>
      <c r="BH78" s="29"/>
      <c r="BI78" s="33"/>
      <c r="BJ78" s="24"/>
      <c r="BK78" s="26"/>
      <c r="BL78" s="27"/>
      <c r="BM78" s="26">
        <f t="shared" si="41"/>
        <v>0</v>
      </c>
    </row>
    <row r="79" spans="1:65" s="30" customFormat="1" ht="20.100000000000001" customHeight="1" x14ac:dyDescent="0.3">
      <c r="A79" s="34"/>
      <c r="B79" s="34"/>
      <c r="C79" s="34"/>
      <c r="D79" s="34"/>
      <c r="E79" s="35"/>
      <c r="F79" s="35"/>
      <c r="G79" s="36"/>
      <c r="H79" s="26">
        <f>SUM(H73:H78)</f>
        <v>0</v>
      </c>
      <c r="I79" s="27">
        <f>SUM(I73:I78)</f>
        <v>0</v>
      </c>
      <c r="J79" s="26">
        <f>SUM(J73:J78)</f>
        <v>0</v>
      </c>
      <c r="L79" s="34"/>
      <c r="M79" s="34"/>
      <c r="N79" s="34"/>
      <c r="O79" s="34"/>
      <c r="P79" s="35"/>
      <c r="Q79" s="35"/>
      <c r="R79" s="36"/>
      <c r="S79" s="26">
        <f>SUM(S73:S78)</f>
        <v>0</v>
      </c>
      <c r="T79" s="27">
        <f>SUM(T73:T78)</f>
        <v>0</v>
      </c>
      <c r="U79" s="26">
        <f>SUM(U73:U78)</f>
        <v>0</v>
      </c>
      <c r="W79" s="34"/>
      <c r="X79" s="34"/>
      <c r="Y79" s="34"/>
      <c r="Z79" s="34"/>
      <c r="AA79" s="35"/>
      <c r="AB79" s="35"/>
      <c r="AC79" s="36"/>
      <c r="AD79" s="26">
        <f>SUM(AD73:AD78)</f>
        <v>0</v>
      </c>
      <c r="AE79" s="27">
        <f>SUM(AE73:AE78)</f>
        <v>0</v>
      </c>
      <c r="AF79" s="26">
        <f>SUM(AF73:AF78)</f>
        <v>0</v>
      </c>
      <c r="AH79" s="34"/>
      <c r="AI79" s="34"/>
      <c r="AJ79" s="34"/>
      <c r="AK79" s="34"/>
      <c r="AL79" s="35"/>
      <c r="AM79" s="35"/>
      <c r="AN79" s="36"/>
      <c r="AO79" s="26">
        <f>SUM(AO73:AO78)</f>
        <v>0</v>
      </c>
      <c r="AP79" s="27">
        <f>SUM(AP73:AP78)</f>
        <v>0</v>
      </c>
      <c r="AQ79" s="26">
        <f>SUM(AQ73:AQ78)</f>
        <v>0</v>
      </c>
      <c r="AS79" s="34"/>
      <c r="AT79" s="34"/>
      <c r="AU79" s="34"/>
      <c r="AV79" s="34"/>
      <c r="AW79" s="35"/>
      <c r="AX79" s="35"/>
      <c r="AY79" s="36"/>
      <c r="AZ79" s="26">
        <f>SUM(AZ73:AZ78)</f>
        <v>0</v>
      </c>
      <c r="BA79" s="27">
        <f>SUM(BA73:BA78)</f>
        <v>0</v>
      </c>
      <c r="BB79" s="26">
        <f>SUM(BB73:BB78)</f>
        <v>0</v>
      </c>
      <c r="BD79" s="34"/>
      <c r="BE79" s="34"/>
      <c r="BF79" s="34"/>
      <c r="BG79" s="34"/>
      <c r="BH79" s="35"/>
      <c r="BI79" s="35"/>
      <c r="BJ79" s="36"/>
      <c r="BK79" s="26">
        <f>SUM(BK73:BK78)</f>
        <v>0</v>
      </c>
      <c r="BL79" s="27">
        <f>SUM(BL73:BL78)</f>
        <v>0</v>
      </c>
      <c r="BM79" s="26">
        <f>SUM(BM73:BM78)</f>
        <v>0</v>
      </c>
    </row>
  </sheetData>
  <mergeCells count="88">
    <mergeCell ref="A4:J4"/>
    <mergeCell ref="L4:U4"/>
    <mergeCell ref="W4:AF4"/>
    <mergeCell ref="AH4:AQ4"/>
    <mergeCell ref="AS4:BB4"/>
    <mergeCell ref="BD5:BM5"/>
    <mergeCell ref="AC2:AD3"/>
    <mergeCell ref="AE2:AF3"/>
    <mergeCell ref="BJ2:BK3"/>
    <mergeCell ref="BL2:BM3"/>
    <mergeCell ref="BD4:BM4"/>
    <mergeCell ref="A5:J5"/>
    <mergeCell ref="L5:U5"/>
    <mergeCell ref="W5:AF5"/>
    <mergeCell ref="AH5:AQ5"/>
    <mergeCell ref="AS5:BB5"/>
    <mergeCell ref="BD16:BM16"/>
    <mergeCell ref="A15:J15"/>
    <mergeCell ref="L15:U15"/>
    <mergeCell ref="W15:AF15"/>
    <mergeCell ref="AH15:AQ15"/>
    <mergeCell ref="AS15:BB15"/>
    <mergeCell ref="BD15:BM15"/>
    <mergeCell ref="A16:J16"/>
    <mergeCell ref="L16:U16"/>
    <mergeCell ref="W16:AF16"/>
    <mergeCell ref="AH16:AQ16"/>
    <mergeCell ref="AS16:BB16"/>
    <mergeCell ref="BD27:BM27"/>
    <mergeCell ref="A26:J26"/>
    <mergeCell ref="L26:U26"/>
    <mergeCell ref="W26:AF26"/>
    <mergeCell ref="AH26:AQ26"/>
    <mergeCell ref="AS26:BB26"/>
    <mergeCell ref="BD26:BM26"/>
    <mergeCell ref="A27:J27"/>
    <mergeCell ref="L27:U27"/>
    <mergeCell ref="W27:AF27"/>
    <mergeCell ref="AH27:AQ27"/>
    <mergeCell ref="AS27:BB27"/>
    <mergeCell ref="BD38:BM38"/>
    <mergeCell ref="A37:J37"/>
    <mergeCell ref="L37:U37"/>
    <mergeCell ref="W37:AF37"/>
    <mergeCell ref="AH37:AQ37"/>
    <mergeCell ref="AS37:BB37"/>
    <mergeCell ref="BD37:BM37"/>
    <mergeCell ref="A38:J38"/>
    <mergeCell ref="L38:U38"/>
    <mergeCell ref="W38:AF38"/>
    <mergeCell ref="AH38:AQ38"/>
    <mergeCell ref="AS38:BB38"/>
    <mergeCell ref="BD49:BM49"/>
    <mergeCell ref="A48:J48"/>
    <mergeCell ref="L48:U48"/>
    <mergeCell ref="W48:AF48"/>
    <mergeCell ref="AH48:AQ48"/>
    <mergeCell ref="AS48:BB48"/>
    <mergeCell ref="BD48:BM48"/>
    <mergeCell ref="A49:J49"/>
    <mergeCell ref="L49:U49"/>
    <mergeCell ref="W49:AF49"/>
    <mergeCell ref="AH49:AQ49"/>
    <mergeCell ref="AS49:BB49"/>
    <mergeCell ref="BD60:BM60"/>
    <mergeCell ref="A59:J59"/>
    <mergeCell ref="L59:U59"/>
    <mergeCell ref="W59:AF59"/>
    <mergeCell ref="AH59:AQ59"/>
    <mergeCell ref="AS59:BB59"/>
    <mergeCell ref="BD59:BM59"/>
    <mergeCell ref="A60:J60"/>
    <mergeCell ref="L60:U60"/>
    <mergeCell ref="W60:AF60"/>
    <mergeCell ref="AH60:AQ60"/>
    <mergeCell ref="AS60:BB60"/>
    <mergeCell ref="BD71:BM71"/>
    <mergeCell ref="A70:J70"/>
    <mergeCell ref="L70:U70"/>
    <mergeCell ref="W70:AF70"/>
    <mergeCell ref="AH70:AQ70"/>
    <mergeCell ref="AS70:BB70"/>
    <mergeCell ref="BD70:BM70"/>
    <mergeCell ref="A71:J71"/>
    <mergeCell ref="L71:U71"/>
    <mergeCell ref="W71:AF71"/>
    <mergeCell ref="AH71:AQ71"/>
    <mergeCell ref="AS71:BB71"/>
  </mergeCells>
  <printOptions horizontalCentered="1" verticalCentered="1"/>
  <pageMargins left="0.39370078740157483" right="0.39370078740157483" top="0.19685039370078741" bottom="0.19685039370078741" header="0.39370078740157483" footer="0.39370078740157483"/>
  <pageSetup paperSize="9" scale="35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ANA LİSTE TASLAK</vt:lpstr>
      <vt:lpstr>35.Hafta 2025</vt:lpstr>
      <vt:lpstr>36.Hafta 2025</vt:lpstr>
      <vt:lpstr>37.Hafta 2025</vt:lpstr>
      <vt:lpstr>38.Hafta 2025 </vt:lpstr>
      <vt:lpstr>39.Hafta 2025</vt:lpstr>
      <vt:lpstr>40.Hafta 2025</vt:lpstr>
      <vt:lpstr>41.Hafta 2025</vt:lpstr>
      <vt:lpstr>42.Hafta 2025</vt:lpstr>
      <vt:lpstr>43.Hafta 2025</vt:lpstr>
      <vt:lpstr>44.Hafta 2025 </vt:lpstr>
      <vt:lpstr>45.Hafta 2025</vt:lpstr>
      <vt:lpstr>46.HAFTA</vt:lpstr>
      <vt:lpstr>47.HAFTA</vt:lpstr>
      <vt:lpstr>48.HAFTA</vt:lpstr>
      <vt:lpstr>49.HAFTA</vt:lpstr>
      <vt:lpstr>50.HAFTA</vt:lpstr>
      <vt:lpstr>'36.Hafta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DUDAKLI</dc:creator>
  <cp:lastModifiedBy>DELL</cp:lastModifiedBy>
  <cp:lastPrinted>2025-10-03T06:23:43Z</cp:lastPrinted>
  <dcterms:created xsi:type="dcterms:W3CDTF">2015-06-05T18:19:34Z</dcterms:created>
  <dcterms:modified xsi:type="dcterms:W3CDTF">2025-11-06T10:56:31Z</dcterms:modified>
</cp:coreProperties>
</file>