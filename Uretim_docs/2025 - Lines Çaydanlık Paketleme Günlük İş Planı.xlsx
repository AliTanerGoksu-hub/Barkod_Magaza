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firstSheet="6" activeTab="9"/>
  </bookViews>
  <sheets>
    <sheet name="PAKETLEME MONTAJ ANA TASLAK" sheetId="2" r:id="rId1"/>
    <sheet name="26.09.2025" sheetId="3" r:id="rId2"/>
    <sheet name="40.HAFTA 2025" sheetId="4" r:id="rId3"/>
    <sheet name="41.HAFTA 2025" sheetId="5" r:id="rId4"/>
    <sheet name="42. HAFTA 2025 13.10" sheetId="6" r:id="rId5"/>
    <sheet name="42. HAFTA 2025 14.10" sheetId="7" r:id="rId6"/>
    <sheet name="42. HAFTA 2025 15.10" sheetId="8" r:id="rId7"/>
    <sheet name="42. HAFTA 2025 16.10" sheetId="9" r:id="rId8"/>
    <sheet name="43. HAFTA 2025" sheetId="10" r:id="rId9"/>
    <sheet name="44. HAFTA 2025" sheetId="12" r:id="rId10"/>
  </sheets>
  <definedNames>
    <definedName name="_xlnm._FilterDatabase" localSheetId="1" hidden="1">'26.09.2025'!$A$3:$J$81</definedName>
    <definedName name="_xlnm._FilterDatabase" localSheetId="2" hidden="1">'40.HAFTA 2025'!$A$3:$J$145</definedName>
    <definedName name="_xlnm._FilterDatabase" localSheetId="3" hidden="1">'41.HAFTA 2025'!$A$3:$J$145</definedName>
    <definedName name="_xlnm._FilterDatabase" localSheetId="4" hidden="1">'42. HAFTA 2025 13.10'!$A$3:$J$145</definedName>
    <definedName name="_xlnm._FilterDatabase" localSheetId="5" hidden="1">'42. HAFTA 2025 14.10'!$A$3:$J$145</definedName>
    <definedName name="_xlnm._FilterDatabase" localSheetId="6" hidden="1">'42. HAFTA 2025 15.10'!$A$3:$J$145</definedName>
    <definedName name="_xlnm._FilterDatabase" localSheetId="7" hidden="1">'42. HAFTA 2025 16.10'!$A$3:$J$145</definedName>
    <definedName name="_xlnm._FilterDatabase" localSheetId="8" hidden="1">'43. HAFTA 2025'!$A$3:$J$62</definedName>
    <definedName name="_xlnm._FilterDatabase" localSheetId="9" hidden="1">'44. HAFTA 2025'!$A$3:$J$37</definedName>
    <definedName name="_xlnm._FilterDatabase" localSheetId="0" hidden="1">'PAKETLEME MONTAJ ANA TASLAK'!$A$3:$J$21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2" l="1"/>
  <c r="I23" i="12"/>
  <c r="I31" i="12"/>
  <c r="I28" i="12" l="1"/>
  <c r="I21" i="12" l="1"/>
  <c r="I20" i="12"/>
  <c r="I42" i="10" l="1"/>
  <c r="I41" i="10"/>
  <c r="I18" i="12"/>
  <c r="I17" i="12"/>
  <c r="J33" i="12" l="1"/>
  <c r="J34" i="12"/>
  <c r="J35" i="12"/>
  <c r="J27" i="12" l="1"/>
  <c r="J28" i="12"/>
  <c r="J29" i="12"/>
  <c r="J30" i="12"/>
  <c r="J31" i="12"/>
  <c r="J32" i="12"/>
  <c r="J24" i="12" l="1"/>
  <c r="H37" i="12"/>
  <c r="J36" i="12"/>
  <c r="J26" i="12"/>
  <c r="J25" i="12"/>
  <c r="J23" i="12"/>
  <c r="J22" i="12"/>
  <c r="J21" i="12"/>
  <c r="J20" i="12"/>
  <c r="J19" i="12"/>
  <c r="J18" i="12"/>
  <c r="J17" i="12"/>
  <c r="J16" i="12"/>
  <c r="I15" i="12"/>
  <c r="J15" i="12" s="1"/>
  <c r="I14" i="12"/>
  <c r="J14" i="12" s="1"/>
  <c r="J13" i="12"/>
  <c r="J12" i="12"/>
  <c r="J11" i="12"/>
  <c r="J10" i="12"/>
  <c r="J9" i="12"/>
  <c r="J8" i="12"/>
  <c r="J7" i="12"/>
  <c r="J6" i="12"/>
  <c r="J5" i="12"/>
  <c r="J4" i="12"/>
  <c r="I44" i="10"/>
  <c r="I43" i="10"/>
  <c r="I37" i="10"/>
  <c r="I36" i="10"/>
  <c r="I34" i="10"/>
  <c r="I33" i="10"/>
  <c r="I31" i="10"/>
  <c r="I29" i="10"/>
  <c r="I28" i="10"/>
  <c r="I26" i="10"/>
  <c r="I21" i="10"/>
  <c r="I11" i="10"/>
  <c r="I10" i="10"/>
  <c r="I9" i="10"/>
  <c r="I8" i="10"/>
  <c r="I7" i="10"/>
  <c r="I6" i="10"/>
  <c r="I37" i="12" l="1"/>
  <c r="J37" i="12"/>
  <c r="I50" i="10"/>
  <c r="I49" i="10"/>
  <c r="I55" i="10" l="1"/>
  <c r="I54" i="10"/>
  <c r="I40" i="10" l="1"/>
  <c r="I39" i="10"/>
  <c r="J45" i="10" l="1"/>
  <c r="J46" i="10"/>
  <c r="J47" i="10"/>
  <c r="J48" i="10"/>
  <c r="J49" i="10"/>
  <c r="J50" i="10"/>
  <c r="J51" i="10"/>
  <c r="J52" i="10"/>
  <c r="J53" i="10"/>
  <c r="J56" i="10" l="1"/>
  <c r="J57" i="10"/>
  <c r="J58" i="10"/>
  <c r="J59" i="10"/>
  <c r="J60" i="10"/>
  <c r="J29" i="10"/>
  <c r="J28" i="10"/>
  <c r="J12" i="10"/>
  <c r="J21" i="10"/>
  <c r="J22" i="10"/>
  <c r="J23" i="10"/>
  <c r="J24" i="10"/>
  <c r="J25" i="10"/>
  <c r="J27" i="10"/>
  <c r="J30" i="10"/>
  <c r="J32" i="10"/>
  <c r="J33" i="10"/>
  <c r="J34" i="10"/>
  <c r="J35" i="10"/>
  <c r="J36" i="10"/>
  <c r="J37" i="10"/>
  <c r="J38" i="10"/>
  <c r="J39" i="10"/>
  <c r="J40" i="10"/>
  <c r="J43" i="10"/>
  <c r="J44" i="10"/>
  <c r="J54" i="10"/>
  <c r="J55" i="10"/>
  <c r="J19" i="10"/>
  <c r="J18" i="10"/>
  <c r="J17" i="10"/>
  <c r="J16" i="10"/>
  <c r="J15" i="10"/>
  <c r="J14" i="10"/>
  <c r="J13" i="10"/>
  <c r="H62" i="10"/>
  <c r="J61" i="10"/>
  <c r="J42" i="10"/>
  <c r="J41" i="10"/>
  <c r="J31" i="10"/>
  <c r="J20" i="10"/>
  <c r="J11" i="10"/>
  <c r="J10" i="10"/>
  <c r="J9" i="10"/>
  <c r="J8" i="10"/>
  <c r="J7" i="10"/>
  <c r="J6" i="10"/>
  <c r="J4" i="10"/>
  <c r="I93" i="9"/>
  <c r="I92" i="9"/>
  <c r="I62" i="10" l="1"/>
  <c r="J26" i="10"/>
  <c r="J62" i="10" s="1"/>
  <c r="I86" i="9"/>
  <c r="I85" i="9"/>
  <c r="I77" i="9"/>
  <c r="I76" i="9"/>
  <c r="I79" i="9" l="1"/>
  <c r="I80" i="9"/>
  <c r="I81" i="9"/>
  <c r="I5" i="9"/>
  <c r="H145" i="9" l="1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I67" i="9"/>
  <c r="J67" i="9" s="1"/>
  <c r="J66" i="9"/>
  <c r="J65" i="9"/>
  <c r="I64" i="9"/>
  <c r="J64" i="9" s="1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I43" i="9"/>
  <c r="J42" i="9"/>
  <c r="J41" i="9"/>
  <c r="I40" i="9"/>
  <c r="J40" i="9" s="1"/>
  <c r="J39" i="9"/>
  <c r="J38" i="9"/>
  <c r="J37" i="9"/>
  <c r="J36" i="9"/>
  <c r="J35" i="9"/>
  <c r="J34" i="9"/>
  <c r="J33" i="9"/>
  <c r="J32" i="9"/>
  <c r="J31" i="9"/>
  <c r="J30" i="9"/>
  <c r="J29" i="9"/>
  <c r="J28" i="9"/>
  <c r="I28" i="9"/>
  <c r="J27" i="9"/>
  <c r="J26" i="9"/>
  <c r="I25" i="9"/>
  <c r="J25" i="9" s="1"/>
  <c r="J24" i="9"/>
  <c r="J23" i="9"/>
  <c r="I22" i="9"/>
  <c r="J22" i="9" s="1"/>
  <c r="J21" i="9"/>
  <c r="J20" i="9"/>
  <c r="J19" i="9"/>
  <c r="J18" i="9"/>
  <c r="J17" i="9"/>
  <c r="J16" i="9"/>
  <c r="J15" i="9"/>
  <c r="I14" i="9"/>
  <c r="J14" i="9" s="1"/>
  <c r="J13" i="9"/>
  <c r="I13" i="9"/>
  <c r="J12" i="9"/>
  <c r="J11" i="9"/>
  <c r="I11" i="9"/>
  <c r="J10" i="9"/>
  <c r="I10" i="9"/>
  <c r="I9" i="9"/>
  <c r="J9" i="9" s="1"/>
  <c r="I8" i="9"/>
  <c r="J8" i="9" s="1"/>
  <c r="J7" i="9"/>
  <c r="I7" i="9"/>
  <c r="I6" i="9"/>
  <c r="J6" i="9" s="1"/>
  <c r="J5" i="9"/>
  <c r="I145" i="9"/>
  <c r="J4" i="9"/>
  <c r="H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I77" i="8"/>
  <c r="J77" i="8" s="1"/>
  <c r="J76" i="8"/>
  <c r="I76" i="8"/>
  <c r="J75" i="8"/>
  <c r="J74" i="8"/>
  <c r="J73" i="8"/>
  <c r="J72" i="8"/>
  <c r="J71" i="8"/>
  <c r="J70" i="8"/>
  <c r="J69" i="8"/>
  <c r="J68" i="8"/>
  <c r="I67" i="8"/>
  <c r="J67" i="8" s="1"/>
  <c r="J66" i="8"/>
  <c r="J65" i="8"/>
  <c r="I64" i="8"/>
  <c r="J64" i="8" s="1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I43" i="8"/>
  <c r="J42" i="8"/>
  <c r="J41" i="8"/>
  <c r="I40" i="8"/>
  <c r="J40" i="8" s="1"/>
  <c r="J39" i="8"/>
  <c r="J38" i="8"/>
  <c r="J37" i="8"/>
  <c r="J36" i="8"/>
  <c r="J35" i="8"/>
  <c r="J34" i="8"/>
  <c r="J33" i="8"/>
  <c r="J32" i="8"/>
  <c r="J31" i="8"/>
  <c r="J30" i="8"/>
  <c r="J29" i="8"/>
  <c r="I28" i="8"/>
  <c r="J28" i="8" s="1"/>
  <c r="J27" i="8"/>
  <c r="J26" i="8"/>
  <c r="I25" i="8"/>
  <c r="J25" i="8" s="1"/>
  <c r="J24" i="8"/>
  <c r="J23" i="8"/>
  <c r="I22" i="8"/>
  <c r="J22" i="8" s="1"/>
  <c r="J21" i="8"/>
  <c r="J20" i="8"/>
  <c r="J19" i="8"/>
  <c r="J18" i="8"/>
  <c r="J17" i="8"/>
  <c r="J16" i="8"/>
  <c r="J15" i="8"/>
  <c r="I14" i="8"/>
  <c r="J14" i="8" s="1"/>
  <c r="J13" i="8"/>
  <c r="I13" i="8"/>
  <c r="J12" i="8"/>
  <c r="J11" i="8"/>
  <c r="I11" i="8"/>
  <c r="I10" i="8"/>
  <c r="J10" i="8" s="1"/>
  <c r="I9" i="8"/>
  <c r="J9" i="8" s="1"/>
  <c r="I8" i="8"/>
  <c r="J8" i="8" s="1"/>
  <c r="J7" i="8"/>
  <c r="I7" i="8"/>
  <c r="I6" i="8"/>
  <c r="J6" i="8" s="1"/>
  <c r="J5" i="8"/>
  <c r="I5" i="8"/>
  <c r="I145" i="8" s="1"/>
  <c r="J4" i="8"/>
  <c r="I5" i="7"/>
  <c r="J145" i="9" l="1"/>
  <c r="J145" i="8"/>
  <c r="I28" i="7"/>
  <c r="I40" i="7"/>
  <c r="I76" i="7"/>
  <c r="H145" i="7" l="1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I77" i="7"/>
  <c r="J77" i="7" s="1"/>
  <c r="J76" i="7"/>
  <c r="J75" i="7"/>
  <c r="J74" i="7"/>
  <c r="J73" i="7"/>
  <c r="J72" i="7"/>
  <c r="J71" i="7"/>
  <c r="J70" i="7"/>
  <c r="J69" i="7"/>
  <c r="J68" i="7"/>
  <c r="I67" i="7"/>
  <c r="J67" i="7" s="1"/>
  <c r="J66" i="7"/>
  <c r="J65" i="7"/>
  <c r="J64" i="7"/>
  <c r="I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I43" i="7"/>
  <c r="J43" i="7" s="1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I25" i="7"/>
  <c r="J25" i="7" s="1"/>
  <c r="J24" i="7"/>
  <c r="J23" i="7"/>
  <c r="I22" i="7"/>
  <c r="J22" i="7" s="1"/>
  <c r="J21" i="7"/>
  <c r="J20" i="7"/>
  <c r="J19" i="7"/>
  <c r="J18" i="7"/>
  <c r="J17" i="7"/>
  <c r="J16" i="7"/>
  <c r="J15" i="7"/>
  <c r="I14" i="7"/>
  <c r="J14" i="7" s="1"/>
  <c r="I13" i="7"/>
  <c r="J13" i="7" s="1"/>
  <c r="J12" i="7"/>
  <c r="I11" i="7"/>
  <c r="J11" i="7" s="1"/>
  <c r="J10" i="7"/>
  <c r="I10" i="7"/>
  <c r="I9" i="7"/>
  <c r="J9" i="7" s="1"/>
  <c r="I8" i="7"/>
  <c r="J8" i="7" s="1"/>
  <c r="J7" i="7"/>
  <c r="I7" i="7"/>
  <c r="I6" i="7"/>
  <c r="J6" i="7" s="1"/>
  <c r="I145" i="7"/>
  <c r="J4" i="7"/>
  <c r="I77" i="6"/>
  <c r="I76" i="6"/>
  <c r="J5" i="7" l="1"/>
  <c r="J145" i="7" s="1"/>
  <c r="H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I67" i="6"/>
  <c r="J67" i="6" s="1"/>
  <c r="J66" i="6"/>
  <c r="J65" i="6"/>
  <c r="I64" i="6"/>
  <c r="J64" i="6" s="1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I43" i="6"/>
  <c r="J43" i="6" s="1"/>
  <c r="J42" i="6"/>
  <c r="J41" i="6"/>
  <c r="I40" i="6"/>
  <c r="J40" i="6" s="1"/>
  <c r="J39" i="6"/>
  <c r="J38" i="6"/>
  <c r="J37" i="6"/>
  <c r="J36" i="6"/>
  <c r="J35" i="6"/>
  <c r="J34" i="6"/>
  <c r="J33" i="6"/>
  <c r="J32" i="6"/>
  <c r="J31" i="6"/>
  <c r="J30" i="6"/>
  <c r="J29" i="6"/>
  <c r="I28" i="6"/>
  <c r="J28" i="6" s="1"/>
  <c r="J27" i="6"/>
  <c r="J26" i="6"/>
  <c r="I25" i="6"/>
  <c r="J25" i="6" s="1"/>
  <c r="J24" i="6"/>
  <c r="J23" i="6"/>
  <c r="J22" i="6"/>
  <c r="I22" i="6"/>
  <c r="J21" i="6"/>
  <c r="J20" i="6"/>
  <c r="J19" i="6"/>
  <c r="J18" i="6"/>
  <c r="J17" i="6"/>
  <c r="J16" i="6"/>
  <c r="J15" i="6"/>
  <c r="I14" i="6"/>
  <c r="J14" i="6" s="1"/>
  <c r="I13" i="6"/>
  <c r="J13" i="6" s="1"/>
  <c r="J12" i="6"/>
  <c r="J11" i="6"/>
  <c r="I11" i="6"/>
  <c r="I10" i="6"/>
  <c r="J10" i="6" s="1"/>
  <c r="I9" i="6"/>
  <c r="J9" i="6" s="1"/>
  <c r="I8" i="6"/>
  <c r="J8" i="6" s="1"/>
  <c r="I7" i="6"/>
  <c r="J7" i="6" s="1"/>
  <c r="I6" i="6"/>
  <c r="J6" i="6" s="1"/>
  <c r="J5" i="6"/>
  <c r="I5" i="6"/>
  <c r="J4" i="6"/>
  <c r="I28" i="5"/>
  <c r="I43" i="5"/>
  <c r="I77" i="5"/>
  <c r="I76" i="5"/>
  <c r="I25" i="5"/>
  <c r="I22" i="5"/>
  <c r="J22" i="5" s="1"/>
  <c r="I67" i="5"/>
  <c r="J67" i="5" s="1"/>
  <c r="I64" i="5"/>
  <c r="I40" i="5"/>
  <c r="J77" i="5"/>
  <c r="I5" i="5"/>
  <c r="I11" i="5"/>
  <c r="I10" i="5"/>
  <c r="I9" i="5"/>
  <c r="J9" i="5" s="1"/>
  <c r="I8" i="5"/>
  <c r="H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6" i="5"/>
  <c r="J75" i="5"/>
  <c r="J74" i="5"/>
  <c r="J73" i="5"/>
  <c r="J72" i="5"/>
  <c r="J71" i="5"/>
  <c r="J70" i="5"/>
  <c r="J69" i="5"/>
  <c r="J68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1" i="5"/>
  <c r="J20" i="5"/>
  <c r="J19" i="5"/>
  <c r="J18" i="5"/>
  <c r="J17" i="5"/>
  <c r="J16" i="5"/>
  <c r="J15" i="5"/>
  <c r="J14" i="5"/>
  <c r="I14" i="5"/>
  <c r="I13" i="5"/>
  <c r="J13" i="5" s="1"/>
  <c r="J12" i="5"/>
  <c r="J11" i="5"/>
  <c r="J10" i="5"/>
  <c r="J8" i="5"/>
  <c r="I7" i="5"/>
  <c r="J7" i="5" s="1"/>
  <c r="I6" i="5"/>
  <c r="J6" i="5" s="1"/>
  <c r="J4" i="5"/>
  <c r="I11" i="4"/>
  <c r="I10" i="4"/>
  <c r="I7" i="4"/>
  <c r="I6" i="4"/>
  <c r="I9" i="4"/>
  <c r="I8" i="4"/>
  <c r="I14" i="4"/>
  <c r="I5" i="4"/>
  <c r="I13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I145" i="6" l="1"/>
  <c r="J145" i="6"/>
  <c r="I145" i="5"/>
  <c r="J5" i="5"/>
  <c r="J145" i="5" s="1"/>
  <c r="I145" i="4"/>
  <c r="H145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145" i="4" l="1"/>
  <c r="J76" i="3"/>
  <c r="J77" i="3"/>
  <c r="J78" i="3"/>
  <c r="J79" i="3"/>
  <c r="J75" i="3"/>
  <c r="J64" i="3"/>
  <c r="J65" i="3"/>
  <c r="J66" i="3"/>
  <c r="J67" i="3"/>
  <c r="J68" i="3"/>
  <c r="J69" i="3"/>
  <c r="J70" i="3"/>
  <c r="J71" i="3"/>
  <c r="J7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13" i="3"/>
  <c r="J14" i="3"/>
  <c r="J15" i="3"/>
  <c r="J16" i="3"/>
  <c r="J17" i="3"/>
  <c r="J18" i="3"/>
  <c r="J19" i="3"/>
  <c r="J20" i="3"/>
  <c r="J21" i="3"/>
  <c r="J22" i="3"/>
  <c r="I81" i="3" l="1"/>
  <c r="H81" i="3"/>
  <c r="J80" i="3"/>
  <c r="J74" i="3"/>
  <c r="J73" i="3"/>
  <c r="J63" i="3"/>
  <c r="J12" i="3"/>
  <c r="J11" i="3"/>
  <c r="J10" i="3"/>
  <c r="J9" i="3"/>
  <c r="J8" i="3"/>
  <c r="J7" i="3"/>
  <c r="J6" i="3"/>
  <c r="J5" i="3"/>
  <c r="J4" i="3"/>
  <c r="J81" i="3" l="1"/>
  <c r="J20" i="2"/>
  <c r="J19" i="2"/>
  <c r="J12" i="2"/>
  <c r="J18" i="2"/>
  <c r="J16" i="2"/>
  <c r="J14" i="2"/>
  <c r="J11" i="2"/>
  <c r="J9" i="2"/>
  <c r="J7" i="2"/>
  <c r="J5" i="2"/>
  <c r="I21" i="2"/>
  <c r="H21" i="2"/>
  <c r="J10" i="2"/>
  <c r="J8" i="2"/>
  <c r="J6" i="2"/>
  <c r="J17" i="2" l="1"/>
  <c r="J15" i="2"/>
  <c r="J13" i="2"/>
  <c r="J4" i="2"/>
  <c r="J21" i="2" l="1"/>
</calcChain>
</file>

<file path=xl/comments1.xml><?xml version="1.0" encoding="utf-8"?>
<comments xmlns="http://schemas.openxmlformats.org/spreadsheetml/2006/main">
  <authors>
    <author>Author</author>
  </authors>
  <commentList>
    <comment ref="A4" authorId="0" shapeId="0">
      <text>
        <r>
          <rPr>
            <b/>
            <sz val="9"/>
            <color indexed="81"/>
            <rFont val="Tahoma"/>
            <charset val="1"/>
          </rPr>
          <t xml:space="preserve">FERHAT AKSU: 
ESKİ PARTİ ELİMİZDE KALAN FAZLA MALLAR
</t>
        </r>
      </text>
    </comment>
    <comment ref="A6" authorId="0" shapeId="0">
      <text>
        <r>
          <rPr>
            <b/>
            <sz val="9"/>
            <color indexed="81"/>
            <rFont val="Tahoma"/>
            <charset val="1"/>
          </rPr>
          <t>FERHAT AKSU:</t>
        </r>
        <r>
          <rPr>
            <sz val="9"/>
            <color indexed="81"/>
            <rFont val="Tahoma"/>
            <charset val="1"/>
          </rPr>
          <t xml:space="preserve">
KULPLARI REVİZE EDİLİYOR
</t>
        </r>
      </text>
    </comment>
  </commentList>
</comments>
</file>

<file path=xl/sharedStrings.xml><?xml version="1.0" encoding="utf-8"?>
<sst xmlns="http://schemas.openxmlformats.org/spreadsheetml/2006/main" count="2213" uniqueCount="110">
  <si>
    <t>TARİH:</t>
  </si>
  <si>
    <t>TAKİP NO</t>
  </si>
  <si>
    <t>KALİTE</t>
  </si>
  <si>
    <t>GÖVDE KALINLIK</t>
  </si>
  <si>
    <t>TABAN</t>
  </si>
  <si>
    <t>ÜRÜN ADI</t>
  </si>
  <si>
    <t>DUDAK FORMU</t>
  </si>
  <si>
    <t>KAPSÜL KALİTE</t>
  </si>
  <si>
    <t>MİKTAR</t>
  </si>
  <si>
    <t>ÜRETİM</t>
  </si>
  <si>
    <t>KALAN</t>
  </si>
  <si>
    <t>ÇAYDANLIK MONTAJ PAKETLEME</t>
  </si>
  <si>
    <t>HELVANE</t>
  </si>
  <si>
    <t>YONCA TABANSIZ JUMBO DAMLA DEMLİK</t>
  </si>
  <si>
    <t>YOK</t>
  </si>
  <si>
    <t>**</t>
  </si>
  <si>
    <t>MASTERCHEF TABANSIZ 2 LT KIZARTMALIK</t>
  </si>
  <si>
    <t>DİK</t>
  </si>
  <si>
    <t>YONCA JUMBO BELİNDA ÇAYDANLIK</t>
  </si>
  <si>
    <t>YONCA TABANSIZ JUMBO BELİNDA DEMLİK</t>
  </si>
  <si>
    <t>YONCA MEGA BELİNDA ÇAYDANLIK</t>
  </si>
  <si>
    <t>YONCA TABANSIZ MEGA BELİNDA DEMLİK</t>
  </si>
  <si>
    <t>YONCA AİLE BELİNDA ÇAYDANLIK</t>
  </si>
  <si>
    <t>YONCA TABANSIZ AİLE BELİNDA DEMLİK</t>
  </si>
  <si>
    <t xml:space="preserve">GEMAK TABANSIZ 0,50 LT NAZ MODEL DEMLİK </t>
  </si>
  <si>
    <t>GEMAK TABANSIZ 0,75 LT NAZ MODEL DEMLİK</t>
  </si>
  <si>
    <t xml:space="preserve">LİNES 1,0 LT KÜRE DEMLİK - 13 PCS </t>
  </si>
  <si>
    <t>LİNES MİNİ BOY 1,0 LT  NAZ MODEL ALT DEMLİK</t>
  </si>
  <si>
    <t>LİNES ORTA BOY 1,5 LT NAZ MODEL ALT DEMLİK</t>
  </si>
  <si>
    <t>LİNES AİLE BOY 2 LT NAZ MODEL ALT DEMLİK</t>
  </si>
  <si>
    <t>LİNES 1,5 LT SÜTLÜK İKİ KORDON ARASI SATENLİ - METAL KULP</t>
  </si>
  <si>
    <t>LİNES 2 LT SÜTLÜK İKİ KORDON ARASI SATENLİ - METAL KULP</t>
  </si>
  <si>
    <t>LİNES 1,5 LT SÜTLÜK ALTIN ÇEMBERLİ - ALTIN KULP</t>
  </si>
  <si>
    <t>LİNES 2 LT SÜTLÜK ALTIN ÇEMBERLİ - ALTIN KULP</t>
  </si>
  <si>
    <t xml:space="preserve">HELVANE </t>
  </si>
  <si>
    <t>LİNES 1,0 LT SADE KÜRE DEMLİK - METAL KULP</t>
  </si>
  <si>
    <t>LİNES 1,0 LT SADE KÜRE DEMLİK - ALTIN KULP</t>
  </si>
  <si>
    <t>LİNES 1,0 LT SADE KÜRE DEMLİK - BAKALİT KULP</t>
  </si>
  <si>
    <t>LİNES 1,5 LT SADE KÜRE DEMLİK - METAL KULP</t>
  </si>
  <si>
    <t>LİNES 1,5 LT SADE KÜRE DEMLİK - ALTIN KULP</t>
  </si>
  <si>
    <t>LİNES 1,5 LT SADE KÜRE DEMLİK - BAKALİT KULP</t>
  </si>
  <si>
    <t>LİNES 2 LT SADE KÜRE DEMLİK - METAL KULP</t>
  </si>
  <si>
    <t>LİNES 2 LT SADE KÜRE DEMLİK - ALTIN KULP</t>
  </si>
  <si>
    <t>LİNES 2 LT SADE KÜRE DEMLİK - BAKALİT KULP</t>
  </si>
  <si>
    <t>LİNES 1,0 LT SATENLİ KÜRE DEMLİK - METAL KULP</t>
  </si>
  <si>
    <t>LİNES 1,0 LT SATENLİ KÜRE DEMLİK - ALTIN KULP</t>
  </si>
  <si>
    <t>LİNES 1,0 LT SATENLİ KÜRE DEMLİK - BAKALİT KULP</t>
  </si>
  <si>
    <t>LİNES 1,5 LT SATENLİ KÜRE DEMLİK - METAL KULP</t>
  </si>
  <si>
    <t>LİNES 1,5 LT SATENLİ KÜRE DEMLİK - ALTIN KULP</t>
  </si>
  <si>
    <t>LİNES 1,5 LT SATENLİ KÜRE DEMLİK - BAKALİT KULP</t>
  </si>
  <si>
    <t>LİNES 2 LT SATENLİ KÜRE DEMLİK - METAL KULP</t>
  </si>
  <si>
    <t>LİNES 2 LT SATENLİ KÜRE DEMLİK - ALTIN KULP</t>
  </si>
  <si>
    <t>LİNES 2 LT SATENLİ KÜRE DEMLİK - BAKALİT KULP</t>
  </si>
  <si>
    <t xml:space="preserve">LİNES 1,0 LT SADE LİMON MODEL DEMLİK - METAL KULP </t>
  </si>
  <si>
    <t>LİNES 1,0 LT SADE LİMON MODEL DEMLİK - ALTIN KULP</t>
  </si>
  <si>
    <t>LİNES 1,0 LT SADE LİMON MODEL DEMLİK - BAKALİT KULP</t>
  </si>
  <si>
    <t xml:space="preserve">LİNES 1,5 LT SADE LİMON MODEL DEMLİK - METAL KULP </t>
  </si>
  <si>
    <t>LİNES 1,5 LT SADE LİMON MODEL DEMLİK - ALTIN KULP</t>
  </si>
  <si>
    <t>LİNES 1,5 LT SADE LİMON MODEL DEMLİK - BAKALİT KULP</t>
  </si>
  <si>
    <t xml:space="preserve">LİNES 1,0 LT SATENLİ LİMON MODEL DEMLİK - METAL KULP </t>
  </si>
  <si>
    <t>LİNES 1,0 LT SATENLİ LİMON MODEL DEMLİK - ALTIN KULP</t>
  </si>
  <si>
    <t>LİNES 1,0 LT SATENLİ LİMON MODEL DEMLİK - BAKALİT KULP</t>
  </si>
  <si>
    <t xml:space="preserve">LİNES 1,5 LT SATENLİ LİMON MODEL DEMLİK - METAL KULP </t>
  </si>
  <si>
    <t>LİNES 1,5 LT SATENLİ LİMON MODEL DEMLİK - ALTIN KULP</t>
  </si>
  <si>
    <t>LİNES 1,5 LT SATENLİ LİMON MODEL DEMLİK - BAKALİT KULP</t>
  </si>
  <si>
    <t>LİNES 1 LT SADE MERCAN MODEL DEMLİK - METAL KULP</t>
  </si>
  <si>
    <t>LİNES 1 LT SADE MERCAN MODEL DEMLİK - ALTIN KULP</t>
  </si>
  <si>
    <t>LİNES 1,5 LT SADE MERCAN MODEL DEMLİK - METAL KULP</t>
  </si>
  <si>
    <t>LİNES 1,5 LT SADE MERCAN MODEL DEMLİK - ALTIN KULP</t>
  </si>
  <si>
    <t>LİNES 1 LT SADE MERCAN MODEL DEMLİK - BAKALİT KULP</t>
  </si>
  <si>
    <t>LİNES 1,5 LT SADE MERCAN MODEL DEMLİK - BAKALİT KULP</t>
  </si>
  <si>
    <t>LİNES 1 LT SATENLİ MERCAN MODEL DEMLİK - METAL KULP</t>
  </si>
  <si>
    <t>LİNES 1 LT SATENLİ MERCAN MODEL DEMLİK - ALTIN KULP</t>
  </si>
  <si>
    <t>LİNES 1 LT SATENLİ MERCAN MODEL DEMLİK - BAKALİT KULP</t>
  </si>
  <si>
    <t>LİNES 1,5 LT SATENLİ MERCAN MODEL DEMLİK - METAL KULP</t>
  </si>
  <si>
    <t>LİNES 1,5 LT SATENLİ MERCAN MODEL DEMLİK - ALTIN KULP</t>
  </si>
  <si>
    <t>LİNES 1,5 LT SATENLİ MERCAN MODEL DEMLİK - BAKALİT KULP</t>
  </si>
  <si>
    <t>010925-1</t>
  </si>
  <si>
    <t xml:space="preserve">LİNES 7 NO AİLE AYPERİ MODEL ÇAYDANLIK </t>
  </si>
  <si>
    <t>LİNES 7 NO AİLE AYPERİ MODEL DEMLİK</t>
  </si>
  <si>
    <t>GEMAK 1,0 LT KÜRE MODEL DEMLİK - SADE - T TİPİ - ÜSTTEN KULPLU</t>
  </si>
  <si>
    <t>GEMAK 1,5 LT KÜRE MODEL DEMLİK - SADE - T TİPİ - ÜSTTEN KULPLU</t>
  </si>
  <si>
    <t>GEMAK 2,0 LT KÜRE MODEL DEMLİK - SADE - T TİPİ - ÜSTTEN KULPLU</t>
  </si>
  <si>
    <t>COOKER 7 NO ORTA AYCAN ÇAYDANLIK - SADE PARLAK</t>
  </si>
  <si>
    <t xml:space="preserve">COOKER 7 NO ORTA AYCAN DEMLİK - SADE PARLAK </t>
  </si>
  <si>
    <t>COOKER 10 NO AİLE AYCAN ÇAYDANLIK - SADE PARLAK</t>
  </si>
  <si>
    <t>LİNES 10 NO AİLE AYCAN ÇAYDANLIK - SADE PARLAK</t>
  </si>
  <si>
    <t>100925- 1</t>
  </si>
  <si>
    <t>COOKER 3 NO ORTA YILDIZ MODEL ÇAYDANLIK - SADE PARLAK</t>
  </si>
  <si>
    <t>COOKER TABANSIZ 3 NO ORTA YILDIZ MODEL ÇAYDANLIK - SADE PARLAK</t>
  </si>
  <si>
    <t>LİNES TABANSIZ 10 NO AİLE AYCAN DEMLİK - SADE PARLAK</t>
  </si>
  <si>
    <t>COOKER TABANSIZ 10 NO AİLE AYCAN DEMLİK - SADE PARLAK</t>
  </si>
  <si>
    <t>COOKER 7 NO AİLE YILDIZ MODEL ÇAYDANLIK - SADE PARLAK</t>
  </si>
  <si>
    <t>COOKER TABANSIZ 7 NO AİLE YILDIZ MODEL ÇAYDANLIK - SADE PARLAK</t>
  </si>
  <si>
    <t>COOKER 10 NO MEGA YILDIZ MODEL ÇAYDANLIK - SADE PARLAK</t>
  </si>
  <si>
    <t>COOKER TABANSIZ 10 NO MEGA YILDIZ MODEL ÇAYDANLIK - SADE PARLAK</t>
  </si>
  <si>
    <t>LİNES 3 NO ORTA KÜRE ZEYCAN MODEL ÇAYDANLIK - SADE PARLAK</t>
  </si>
  <si>
    <t>LİNES TABANSIZ 3 NO ORTA KÜRE ZEYCAN MODEL DEMLİK - SADE PARLAK</t>
  </si>
  <si>
    <t>LİNES 3 NO ORTA AYPERİ MODEL ÇAYDANLIK - ÇİZGİLİ SADE</t>
  </si>
  <si>
    <t>LİNES 3 NO ORTA AYPERİ MODEL DEMLİK - ÇİZGİLİ SADE</t>
  </si>
  <si>
    <t>LİNES 5 NO AİLE NAZ MODEL DEMLİK - ÇİZGİLİ SADE</t>
  </si>
  <si>
    <t>LİNES 5 NO AİLE NAZ MODEL ÇAYDANLIK - ÇİZGİLİ SADE</t>
  </si>
  <si>
    <t>ŞAHMERAN SEMAVER DEMLİK</t>
  </si>
  <si>
    <t>LİNES 1,5 LT KÜRE ÇAYDANLIK YARI SATENLİ -24 PCS</t>
  </si>
  <si>
    <t>LİNES 1,5 LT KÜRE ÇAYDANLIK YARI SATENLİ - GÜMRÜK - 24 PCS</t>
  </si>
  <si>
    <t>LİNES 1 LT KÜRE ÇAYDANLIK YARI SATENLİ -18 PCS</t>
  </si>
  <si>
    <t>LİNES 1 LT KÜRE ÇAYDANLIK YARI SATENLİ - GÜMRÜK - 18 PCS</t>
  </si>
  <si>
    <t>0,,80</t>
  </si>
  <si>
    <t>YONCA JUMBO BOY DAMLA MODEL ÇAYDANLIK - SADE PARLAK</t>
  </si>
  <si>
    <t>YONCA JUMBO BOY DAMLA MODEL DEMLİK - SADE PARLAK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</si>
</sst>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/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zoomScale="85" zoomScaleNormal="85" workbookViewId="0">
      <selection activeCell="E15" sqref="E15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45915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/>
      <c r="B4" s="7"/>
      <c r="C4" s="1"/>
      <c r="D4" s="1"/>
      <c r="E4" s="2"/>
      <c r="F4" s="7"/>
      <c r="G4" s="7"/>
      <c r="H4" s="9"/>
      <c r="I4" s="10"/>
      <c r="J4" s="9">
        <f t="shared" ref="J4:J20" si="0">H4-I4</f>
        <v>0</v>
      </c>
    </row>
    <row r="5" spans="1:10" ht="19.95" customHeight="1" x14ac:dyDescent="0.3">
      <c r="A5" s="7"/>
      <c r="B5" s="7"/>
      <c r="C5" s="1"/>
      <c r="D5" s="1"/>
      <c r="E5" s="2"/>
      <c r="F5" s="7"/>
      <c r="G5" s="7"/>
      <c r="H5" s="9"/>
      <c r="I5" s="10"/>
      <c r="J5" s="9">
        <f t="shared" si="0"/>
        <v>0</v>
      </c>
    </row>
    <row r="6" spans="1:10" ht="19.95" customHeight="1" x14ac:dyDescent="0.3">
      <c r="A6" s="7"/>
      <c r="B6" s="7"/>
      <c r="C6" s="1"/>
      <c r="D6" s="1"/>
      <c r="E6" s="2"/>
      <c r="F6" s="7"/>
      <c r="G6" s="7"/>
      <c r="H6" s="9"/>
      <c r="I6" s="10"/>
      <c r="J6" s="9">
        <f t="shared" si="0"/>
        <v>0</v>
      </c>
    </row>
    <row r="7" spans="1:10" ht="19.95" customHeight="1" x14ac:dyDescent="0.3">
      <c r="A7" s="7"/>
      <c r="B7" s="7"/>
      <c r="C7" s="1"/>
      <c r="D7" s="1"/>
      <c r="E7" s="2"/>
      <c r="F7" s="7"/>
      <c r="G7" s="7"/>
      <c r="H7" s="9"/>
      <c r="I7" s="10"/>
      <c r="J7" s="9">
        <f t="shared" si="0"/>
        <v>0</v>
      </c>
    </row>
    <row r="8" spans="1:10" ht="15.6" x14ac:dyDescent="0.3">
      <c r="A8" s="7"/>
      <c r="B8" s="7"/>
      <c r="C8" s="1"/>
      <c r="D8" s="1"/>
      <c r="E8" s="2"/>
      <c r="F8" s="7"/>
      <c r="G8" s="7"/>
      <c r="H8" s="9"/>
      <c r="I8" s="10"/>
      <c r="J8" s="9">
        <f t="shared" si="0"/>
        <v>0</v>
      </c>
    </row>
    <row r="9" spans="1:10" ht="15.6" x14ac:dyDescent="0.3">
      <c r="A9" s="7"/>
      <c r="B9" s="7"/>
      <c r="C9" s="1"/>
      <c r="D9" s="1"/>
      <c r="E9" s="2"/>
      <c r="F9" s="7"/>
      <c r="G9" s="7"/>
      <c r="H9" s="9"/>
      <c r="I9" s="10"/>
      <c r="J9" s="9">
        <f t="shared" si="0"/>
        <v>0</v>
      </c>
    </row>
    <row r="10" spans="1:10" ht="15.6" x14ac:dyDescent="0.3">
      <c r="A10" s="7"/>
      <c r="B10" s="7"/>
      <c r="C10" s="1"/>
      <c r="D10" s="1"/>
      <c r="E10" s="2"/>
      <c r="F10" s="7"/>
      <c r="G10" s="7"/>
      <c r="H10" s="9"/>
      <c r="I10" s="10"/>
      <c r="J10" s="9">
        <f t="shared" si="0"/>
        <v>0</v>
      </c>
    </row>
    <row r="11" spans="1:10" ht="15.6" x14ac:dyDescent="0.3">
      <c r="A11" s="7"/>
      <c r="B11" s="7"/>
      <c r="C11" s="1"/>
      <c r="D11" s="1"/>
      <c r="E11" s="2"/>
      <c r="F11" s="7"/>
      <c r="G11" s="7"/>
      <c r="H11" s="9"/>
      <c r="I11" s="10"/>
      <c r="J11" s="9">
        <f t="shared" si="0"/>
        <v>0</v>
      </c>
    </row>
    <row r="12" spans="1:10" ht="15.6" x14ac:dyDescent="0.3">
      <c r="A12" s="7"/>
      <c r="B12" s="7"/>
      <c r="C12" s="1"/>
      <c r="D12" s="1"/>
      <c r="E12" s="2"/>
      <c r="F12" s="7"/>
      <c r="G12" s="7"/>
      <c r="H12" s="9"/>
      <c r="I12" s="10"/>
      <c r="J12" s="9">
        <f t="shared" si="0"/>
        <v>0</v>
      </c>
    </row>
    <row r="13" spans="1:10" ht="15.6" x14ac:dyDescent="0.3">
      <c r="A13" s="7"/>
      <c r="B13" s="7"/>
      <c r="C13" s="1"/>
      <c r="D13" s="1"/>
      <c r="E13" s="2"/>
      <c r="F13" s="7"/>
      <c r="G13" s="7"/>
      <c r="H13" s="9"/>
      <c r="I13" s="10"/>
      <c r="J13" s="9">
        <f t="shared" si="0"/>
        <v>0</v>
      </c>
    </row>
    <row r="14" spans="1:10" ht="15.6" x14ac:dyDescent="0.3">
      <c r="A14" s="7"/>
      <c r="B14" s="7"/>
      <c r="C14" s="1"/>
      <c r="D14" s="1"/>
      <c r="E14" s="2"/>
      <c r="F14" s="7"/>
      <c r="G14" s="7"/>
      <c r="H14" s="9"/>
      <c r="I14" s="10"/>
      <c r="J14" s="9">
        <f t="shared" si="0"/>
        <v>0</v>
      </c>
    </row>
    <row r="15" spans="1:10" ht="15.6" x14ac:dyDescent="0.3">
      <c r="A15" s="7"/>
      <c r="B15" s="7"/>
      <c r="C15" s="1"/>
      <c r="D15" s="1"/>
      <c r="E15" s="2"/>
      <c r="F15" s="7"/>
      <c r="G15" s="7"/>
      <c r="H15" s="9"/>
      <c r="I15" s="10"/>
      <c r="J15" s="9">
        <f t="shared" si="0"/>
        <v>0</v>
      </c>
    </row>
    <row r="16" spans="1:10" ht="15.6" x14ac:dyDescent="0.3">
      <c r="A16" s="7"/>
      <c r="B16" s="7"/>
      <c r="C16" s="1"/>
      <c r="D16" s="1"/>
      <c r="E16" s="2"/>
      <c r="F16" s="7"/>
      <c r="G16" s="7"/>
      <c r="H16" s="9"/>
      <c r="I16" s="10"/>
      <c r="J16" s="9">
        <f t="shared" si="0"/>
        <v>0</v>
      </c>
    </row>
    <row r="17" spans="1:10" ht="15.6" x14ac:dyDescent="0.3">
      <c r="A17" s="7"/>
      <c r="B17" s="7"/>
      <c r="C17" s="1"/>
      <c r="D17" s="1"/>
      <c r="E17" s="2"/>
      <c r="F17" s="7"/>
      <c r="G17" s="7"/>
      <c r="H17" s="9"/>
      <c r="I17" s="10"/>
      <c r="J17" s="9">
        <f t="shared" si="0"/>
        <v>0</v>
      </c>
    </row>
    <row r="18" spans="1:10" ht="15.6" x14ac:dyDescent="0.3">
      <c r="A18" s="7"/>
      <c r="B18" s="7"/>
      <c r="C18" s="1"/>
      <c r="D18" s="1"/>
      <c r="E18" s="2"/>
      <c r="F18" s="7"/>
      <c r="G18" s="7"/>
      <c r="H18" s="9"/>
      <c r="I18" s="10"/>
      <c r="J18" s="9">
        <f t="shared" si="0"/>
        <v>0</v>
      </c>
    </row>
    <row r="19" spans="1:10" ht="15.6" x14ac:dyDescent="0.3">
      <c r="A19" s="7"/>
      <c r="B19" s="7"/>
      <c r="C19" s="1"/>
      <c r="D19" s="1"/>
      <c r="E19" s="2"/>
      <c r="F19" s="7"/>
      <c r="G19" s="7"/>
      <c r="H19" s="9"/>
      <c r="I19" s="10"/>
      <c r="J19" s="9">
        <f t="shared" si="0"/>
        <v>0</v>
      </c>
    </row>
    <row r="20" spans="1:10" ht="15.6" x14ac:dyDescent="0.3">
      <c r="A20" s="7"/>
      <c r="B20" s="7"/>
      <c r="C20" s="1"/>
      <c r="D20" s="1"/>
      <c r="E20" s="2"/>
      <c r="F20" s="7"/>
      <c r="G20" s="7"/>
      <c r="H20" s="9"/>
      <c r="I20" s="10"/>
      <c r="J20" s="9">
        <f t="shared" si="0"/>
        <v>0</v>
      </c>
    </row>
    <row r="21" spans="1:10" ht="15.6" x14ac:dyDescent="0.3">
      <c r="A21" s="11"/>
      <c r="B21" s="11"/>
      <c r="C21" s="12"/>
      <c r="D21" s="12"/>
      <c r="E21" s="13"/>
      <c r="F21" s="11"/>
      <c r="G21" s="14"/>
      <c r="H21" s="9">
        <f>SUM(H4:H20)</f>
        <v>0</v>
      </c>
      <c r="I21" s="10">
        <f>SUM(I4:I20)</f>
        <v>0</v>
      </c>
      <c r="J21" s="9">
        <f>SUM(J4:J20)</f>
        <v>0</v>
      </c>
    </row>
  </sheetData>
  <autoFilter ref="A3:J21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zoomScale="85" zoomScaleNormal="85" workbookViewId="0">
      <selection activeCell="E4" sqref="E4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45926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80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0"/>
      <c r="J5" s="9">
        <f t="shared" si="0"/>
        <v>4000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/>
      <c r="J6" s="9">
        <f t="shared" si="0"/>
        <v>3300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/>
      <c r="J7" s="9">
        <f t="shared" si="0"/>
        <v>3300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/>
      <c r="J8" s="9">
        <f t="shared" si="0"/>
        <v>3300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/>
      <c r="J9" s="9">
        <f t="shared" si="0"/>
        <v>3300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/>
      <c r="J10" s="9">
        <f t="shared" si="0"/>
        <v>3100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/>
      <c r="J11" s="9">
        <f t="shared" si="0"/>
        <v>3100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0"/>
      <c r="J12" s="9">
        <f t="shared" si="0"/>
        <v>804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0"/>
      <c r="J13" s="9">
        <f t="shared" si="0"/>
        <v>804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0"/>
      <c r="J14" s="9">
        <f t="shared" si="0"/>
        <v>825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0"/>
      <c r="J22" s="9">
        <f t="shared" si="0"/>
        <v>400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/>
      <c r="J23" s="9">
        <f t="shared" si="0"/>
        <v>400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0"/>
      <c r="J24" s="9">
        <f t="shared" si="0"/>
        <v>400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0"/>
      <c r="J25" s="9">
        <f t="shared" si="0"/>
        <v>400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0"/>
      <c r="J26" s="9">
        <f t="shared" si="0"/>
        <v>400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0"/>
      <c r="J27" s="9">
        <f t="shared" si="0"/>
        <v>400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0"/>
      <c r="J28" s="9">
        <f t="shared" si="0"/>
        <v>400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0"/>
      <c r="J29" s="9">
        <f t="shared" si="0"/>
        <v>400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/>
      <c r="J30" s="9">
        <f t="shared" si="0"/>
        <v>400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0"/>
      <c r="J31" s="9">
        <f t="shared" si="0"/>
        <v>400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0"/>
      <c r="J32" s="9">
        <f t="shared" si="0"/>
        <v>400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0"/>
      <c r="J33" s="9">
        <f t="shared" si="0"/>
        <v>400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0"/>
      <c r="J34" s="9">
        <f t="shared" si="0"/>
        <v>400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0"/>
      <c r="J35" s="9">
        <f t="shared" si="0"/>
        <v>400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0"/>
      <c r="J36" s="9">
        <f t="shared" si="0"/>
        <v>400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0"/>
      <c r="J38" s="9">
        <f t="shared" si="0"/>
        <v>400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0"/>
      <c r="J39" s="9">
        <f t="shared" si="0"/>
        <v>400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0"/>
      <c r="J40" s="9">
        <f t="shared" si="0"/>
        <v>400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0"/>
      <c r="J41" s="9">
        <f t="shared" si="0"/>
        <v>400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/>
      <c r="J42" s="9">
        <f t="shared" si="0"/>
        <v>400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0"/>
      <c r="J43" s="9">
        <f t="shared" si="0"/>
        <v>400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0"/>
      <c r="J44" s="9">
        <f t="shared" si="0"/>
        <v>400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0"/>
      <c r="J46" s="9">
        <f t="shared" si="0"/>
        <v>400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0"/>
      <c r="J47" s="9">
        <f t="shared" si="0"/>
        <v>400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0"/>
      <c r="J48" s="9">
        <f t="shared" si="0"/>
        <v>400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0"/>
      <c r="J49" s="9">
        <f t="shared" si="0"/>
        <v>400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0"/>
      <c r="J50" s="9">
        <f t="shared" si="0"/>
        <v>400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0"/>
      <c r="J51" s="9">
        <f t="shared" si="0"/>
        <v>400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0"/>
      <c r="J52" s="9">
        <f t="shared" si="0"/>
        <v>600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0"/>
      <c r="J53" s="9">
        <f t="shared" si="0"/>
        <v>400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0"/>
      <c r="J54" s="9">
        <f t="shared" si="0"/>
        <v>600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0"/>
      <c r="J55" s="9">
        <f t="shared" si="0"/>
        <v>400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0"/>
      <c r="J56" s="9">
        <f t="shared" si="0"/>
        <v>600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0"/>
      <c r="J57" s="9">
        <f t="shared" si="0"/>
        <v>400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0"/>
      <c r="J58" s="9">
        <f t="shared" si="0"/>
        <v>600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0"/>
      <c r="J59" s="9">
        <f t="shared" si="0"/>
        <v>400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0"/>
      <c r="J60" s="9">
        <f t="shared" si="0"/>
        <v>600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0"/>
      <c r="J61" s="9">
        <f t="shared" si="0"/>
        <v>400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0"/>
      <c r="J62" s="9">
        <f t="shared" si="0"/>
        <v>600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/>
      <c r="J64" s="9">
        <f t="shared" si="0"/>
        <v>400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0"/>
      <c r="J65" s="9">
        <f t="shared" si="0"/>
        <v>400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0"/>
      <c r="J66" s="9">
        <f t="shared" si="0"/>
        <v>400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0"/>
      <c r="J67" s="9">
        <f t="shared" si="0"/>
        <v>400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0"/>
      <c r="J68" s="9">
        <f t="shared" si="0"/>
        <v>400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0"/>
      <c r="J69" s="9">
        <f t="shared" si="0"/>
        <v>400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0"/>
      <c r="J70" s="9">
        <f t="shared" si="0"/>
        <v>400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0"/>
      <c r="J71" s="9">
        <f t="shared" si="0"/>
        <v>400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0"/>
      <c r="J72" s="9">
        <f t="shared" si="0"/>
        <v>400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0"/>
      <c r="J73" s="9">
        <f t="shared" si="0"/>
        <v>400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0"/>
      <c r="J74" s="9">
        <f t="shared" si="0"/>
        <v>400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0"/>
      <c r="J75" s="9">
        <f t="shared" si="0"/>
        <v>400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/>
      <c r="J76" s="9">
        <f t="shared" si="0"/>
        <v>3200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/>
      <c r="J77" s="9">
        <f t="shared" si="0"/>
        <v>3200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/>
      <c r="B79" s="7"/>
      <c r="C79" s="1"/>
      <c r="D79" s="1"/>
      <c r="E79" s="2"/>
      <c r="F79" s="7"/>
      <c r="G79" s="7"/>
      <c r="H79" s="9"/>
      <c r="I79" s="10"/>
      <c r="J79" s="9">
        <f t="shared" si="0"/>
        <v>0</v>
      </c>
    </row>
    <row r="80" spans="1:10" ht="15.6" x14ac:dyDescent="0.3">
      <c r="A80" s="7"/>
      <c r="B80" s="7"/>
      <c r="C80" s="1"/>
      <c r="D80" s="1"/>
      <c r="E80" s="2"/>
      <c r="F80" s="7"/>
      <c r="G80" s="7"/>
      <c r="H80" s="9"/>
      <c r="I80" s="10"/>
      <c r="J80" s="9">
        <f t="shared" si="0"/>
        <v>0</v>
      </c>
    </row>
    <row r="81" spans="1:10" ht="15.6" x14ac:dyDescent="0.3">
      <c r="A81" s="11"/>
      <c r="B81" s="11"/>
      <c r="C81" s="12"/>
      <c r="D81" s="12"/>
      <c r="E81" s="13"/>
      <c r="F81" s="11"/>
      <c r="G81" s="14"/>
      <c r="H81" s="9">
        <f>SUM(H4:H80)</f>
        <v>60733</v>
      </c>
      <c r="I81" s="10">
        <f>SUM(I4:I80)</f>
        <v>0</v>
      </c>
      <c r="J81" s="9">
        <f>SUM(J4:J80)</f>
        <v>60733</v>
      </c>
    </row>
  </sheetData>
  <autoFilter ref="A3:J81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topLeftCell="A49" zoomScale="85" zoomScaleNormal="85" workbookViewId="0">
      <selection activeCell="E63" sqref="E63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45929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0">
        <f>1280+720</f>
        <v>2000</v>
      </c>
      <c r="J5" s="9">
        <f t="shared" si="0"/>
        <v>2000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</f>
        <v>2931</v>
      </c>
      <c r="J8" s="9">
        <f t="shared" si="0"/>
        <v>369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</f>
        <v>2931</v>
      </c>
      <c r="J9" s="9">
        <f t="shared" si="0"/>
        <v>369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</f>
        <v>2998</v>
      </c>
      <c r="J10" s="9">
        <f t="shared" si="0"/>
        <v>102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</f>
        <v>2998</v>
      </c>
      <c r="J11" s="9">
        <f t="shared" si="0"/>
        <v>102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0"/>
      <c r="J12" s="9">
        <f t="shared" si="0"/>
        <v>804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0"/>
      <c r="J22" s="9">
        <f t="shared" si="0"/>
        <v>400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/>
      <c r="J23" s="9">
        <f t="shared" si="0"/>
        <v>400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0"/>
      <c r="J24" s="9">
        <f t="shared" si="0"/>
        <v>400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0">
        <v>365</v>
      </c>
      <c r="J25" s="9">
        <f t="shared" si="0"/>
        <v>35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v>401</v>
      </c>
      <c r="J28" s="18">
        <f t="shared" si="0"/>
        <v>-1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0"/>
      <c r="J31" s="9">
        <f t="shared" si="0"/>
        <v>400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0"/>
      <c r="J32" s="9">
        <f t="shared" si="0"/>
        <v>400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0"/>
      <c r="J33" s="9">
        <f t="shared" si="0"/>
        <v>400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0">
        <v>400</v>
      </c>
      <c r="J34" s="9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0">
        <v>399</v>
      </c>
      <c r="J38" s="9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0">
        <v>405</v>
      </c>
      <c r="J39" s="9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0"/>
      <c r="J40" s="9">
        <f t="shared" si="0"/>
        <v>400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0"/>
      <c r="J41" s="9">
        <f t="shared" si="0"/>
        <v>400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/>
      <c r="J42" s="9">
        <f t="shared" si="0"/>
        <v>400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0"/>
      <c r="J43" s="9">
        <f t="shared" si="0"/>
        <v>400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0"/>
      <c r="J44" s="9">
        <f t="shared" si="0"/>
        <v>400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0"/>
      <c r="J46" s="9">
        <f t="shared" si="0"/>
        <v>400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0"/>
      <c r="J47" s="9">
        <f t="shared" si="0"/>
        <v>400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0"/>
      <c r="J48" s="9">
        <f t="shared" si="0"/>
        <v>400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0"/>
      <c r="J49" s="9">
        <f t="shared" si="0"/>
        <v>400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0"/>
      <c r="J50" s="9">
        <f t="shared" si="0"/>
        <v>400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0"/>
      <c r="J51" s="9">
        <f t="shared" si="0"/>
        <v>400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0"/>
      <c r="J52" s="9">
        <f t="shared" si="0"/>
        <v>600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0"/>
      <c r="J53" s="9">
        <f t="shared" si="0"/>
        <v>400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0"/>
      <c r="J54" s="9">
        <f t="shared" si="0"/>
        <v>600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0"/>
      <c r="J55" s="9">
        <f t="shared" si="0"/>
        <v>400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0">
        <v>598</v>
      </c>
      <c r="J56" s="9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0">
        <v>398</v>
      </c>
      <c r="J57" s="9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0"/>
      <c r="J58" s="9">
        <f t="shared" si="0"/>
        <v>600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0"/>
      <c r="J59" s="9">
        <f t="shared" si="0"/>
        <v>400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/>
      <c r="J64" s="9">
        <f t="shared" si="0"/>
        <v>400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0"/>
      <c r="J65" s="9">
        <f t="shared" si="0"/>
        <v>400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0"/>
      <c r="J66" s="9">
        <f t="shared" si="0"/>
        <v>400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0"/>
      <c r="J67" s="9">
        <f t="shared" si="0"/>
        <v>400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0"/>
      <c r="J68" s="9">
        <f t="shared" si="0"/>
        <v>400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0"/>
      <c r="J69" s="9">
        <f t="shared" si="0"/>
        <v>400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0"/>
      <c r="J70" s="9">
        <f t="shared" si="0"/>
        <v>400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0"/>
      <c r="J71" s="9">
        <f t="shared" si="0"/>
        <v>400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0"/>
      <c r="J72" s="9">
        <f t="shared" si="0"/>
        <v>400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0"/>
      <c r="J73" s="9">
        <f t="shared" si="0"/>
        <v>400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0"/>
      <c r="J74" s="9">
        <f t="shared" si="0"/>
        <v>400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0"/>
      <c r="J75" s="9">
        <f t="shared" si="0"/>
        <v>400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/>
      <c r="J76" s="9">
        <f t="shared" si="0"/>
        <v>3200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/>
      <c r="J77" s="9">
        <f t="shared" si="0"/>
        <v>3200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/>
      <c r="B79" s="7"/>
      <c r="C79" s="1"/>
      <c r="D79" s="1"/>
      <c r="E79" s="2"/>
      <c r="F79" s="7"/>
      <c r="G79" s="7"/>
      <c r="H79" s="9"/>
      <c r="I79" s="10"/>
      <c r="J79" s="9">
        <f t="shared" si="0"/>
        <v>0</v>
      </c>
    </row>
    <row r="80" spans="1:10" ht="15.6" x14ac:dyDescent="0.3">
      <c r="A80" s="7"/>
      <c r="B80" s="7"/>
      <c r="C80" s="1"/>
      <c r="D80" s="1"/>
      <c r="E80" s="2"/>
      <c r="F80" s="7"/>
      <c r="G80" s="7"/>
      <c r="H80" s="9"/>
      <c r="I80" s="10"/>
      <c r="J80" s="9">
        <f t="shared" si="0"/>
        <v>0</v>
      </c>
    </row>
    <row r="81" spans="1:10" ht="15.6" x14ac:dyDescent="0.3">
      <c r="A81" s="7"/>
      <c r="B81" s="7"/>
      <c r="C81" s="1"/>
      <c r="D81" s="1"/>
      <c r="E81" s="2"/>
      <c r="F81" s="7"/>
      <c r="G81" s="7"/>
      <c r="H81" s="9"/>
      <c r="I81" s="10"/>
      <c r="J81" s="9">
        <f t="shared" si="0"/>
        <v>0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/>
      <c r="B83" s="7"/>
      <c r="C83" s="1"/>
      <c r="D83" s="1"/>
      <c r="E83" s="2"/>
      <c r="F83" s="7"/>
      <c r="G83" s="7"/>
      <c r="H83" s="9"/>
      <c r="I83" s="10"/>
      <c r="J83" s="9">
        <f t="shared" si="0"/>
        <v>0</v>
      </c>
    </row>
    <row r="84" spans="1:10" ht="15.6" x14ac:dyDescent="0.3">
      <c r="A84" s="7"/>
      <c r="B84" s="7"/>
      <c r="C84" s="1"/>
      <c r="D84" s="1"/>
      <c r="E84" s="2"/>
      <c r="F84" s="7"/>
      <c r="G84" s="7"/>
      <c r="H84" s="9"/>
      <c r="I84" s="10"/>
      <c r="J84" s="9">
        <f t="shared" si="0"/>
        <v>0</v>
      </c>
    </row>
    <row r="85" spans="1:10" ht="15.6" x14ac:dyDescent="0.3">
      <c r="A85" s="7"/>
      <c r="B85" s="7"/>
      <c r="C85" s="1"/>
      <c r="D85" s="1"/>
      <c r="E85" s="2"/>
      <c r="F85" s="7"/>
      <c r="G85" s="7"/>
      <c r="H85" s="9"/>
      <c r="I85" s="10"/>
      <c r="J85" s="9">
        <f t="shared" si="0"/>
        <v>0</v>
      </c>
    </row>
    <row r="86" spans="1:10" ht="15.6" x14ac:dyDescent="0.3">
      <c r="A86" s="7"/>
      <c r="B86" s="7"/>
      <c r="C86" s="1"/>
      <c r="D86" s="1"/>
      <c r="E86" s="2"/>
      <c r="F86" s="7"/>
      <c r="G86" s="7"/>
      <c r="H86" s="9"/>
      <c r="I86" s="10"/>
      <c r="J86" s="9">
        <f t="shared" si="0"/>
        <v>0</v>
      </c>
    </row>
    <row r="87" spans="1:10" ht="15.6" x14ac:dyDescent="0.3">
      <c r="A87" s="7"/>
      <c r="B87" s="7"/>
      <c r="C87" s="1"/>
      <c r="D87" s="1"/>
      <c r="E87" s="2"/>
      <c r="F87" s="7"/>
      <c r="G87" s="7"/>
      <c r="H87" s="9"/>
      <c r="I87" s="10"/>
      <c r="J87" s="9">
        <f t="shared" si="0"/>
        <v>0</v>
      </c>
    </row>
    <row r="88" spans="1:10" ht="15.6" x14ac:dyDescent="0.3">
      <c r="A88" s="7"/>
      <c r="B88" s="7"/>
      <c r="C88" s="1"/>
      <c r="D88" s="1"/>
      <c r="E88" s="2"/>
      <c r="F88" s="7"/>
      <c r="G88" s="7"/>
      <c r="H88" s="9"/>
      <c r="I88" s="10"/>
      <c r="J88" s="9">
        <f t="shared" si="0"/>
        <v>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/>
      <c r="B90" s="7"/>
      <c r="C90" s="1"/>
      <c r="D90" s="1"/>
      <c r="E90" s="2"/>
      <c r="F90" s="7"/>
      <c r="G90" s="7"/>
      <c r="H90" s="9"/>
      <c r="I90" s="10"/>
      <c r="J90" s="9">
        <f t="shared" si="0"/>
        <v>0</v>
      </c>
    </row>
    <row r="91" spans="1:10" ht="15.6" x14ac:dyDescent="0.3">
      <c r="A91" s="7"/>
      <c r="B91" s="7"/>
      <c r="C91" s="1"/>
      <c r="D91" s="1"/>
      <c r="E91" s="2"/>
      <c r="F91" s="7"/>
      <c r="G91" s="7"/>
      <c r="H91" s="9"/>
      <c r="I91" s="10"/>
      <c r="J91" s="9">
        <f t="shared" si="0"/>
        <v>0</v>
      </c>
    </row>
    <row r="92" spans="1:10" ht="15.6" x14ac:dyDescent="0.3">
      <c r="A92" s="7"/>
      <c r="B92" s="7"/>
      <c r="C92" s="1"/>
      <c r="D92" s="1"/>
      <c r="E92" s="2"/>
      <c r="F92" s="7"/>
      <c r="G92" s="7"/>
      <c r="H92" s="9"/>
      <c r="I92" s="10"/>
      <c r="J92" s="9">
        <f t="shared" si="0"/>
        <v>0</v>
      </c>
    </row>
    <row r="93" spans="1:10" ht="15.6" x14ac:dyDescent="0.3">
      <c r="A93" s="7"/>
      <c r="B93" s="7"/>
      <c r="C93" s="1"/>
      <c r="D93" s="1"/>
      <c r="E93" s="2"/>
      <c r="F93" s="7"/>
      <c r="G93" s="7"/>
      <c r="H93" s="9"/>
      <c r="I93" s="10"/>
      <c r="J93" s="9">
        <f t="shared" si="0"/>
        <v>0</v>
      </c>
    </row>
    <row r="94" spans="1:10" ht="15.6" x14ac:dyDescent="0.3">
      <c r="A94" s="7"/>
      <c r="B94" s="7"/>
      <c r="C94" s="1"/>
      <c r="D94" s="1"/>
      <c r="E94" s="2"/>
      <c r="F94" s="7"/>
      <c r="G94" s="7"/>
      <c r="H94" s="9"/>
      <c r="I94" s="10"/>
      <c r="J94" s="9">
        <f t="shared" si="0"/>
        <v>0</v>
      </c>
    </row>
    <row r="95" spans="1:10" ht="15.6" x14ac:dyDescent="0.3">
      <c r="A95" s="7"/>
      <c r="B95" s="7"/>
      <c r="C95" s="1"/>
      <c r="D95" s="1"/>
      <c r="E95" s="2"/>
      <c r="F95" s="7"/>
      <c r="G95" s="7"/>
      <c r="H95" s="9"/>
      <c r="I95" s="10"/>
      <c r="J95" s="9">
        <f t="shared" si="0"/>
        <v>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/>
      <c r="B97" s="7"/>
      <c r="C97" s="1"/>
      <c r="D97" s="1"/>
      <c r="E97" s="2"/>
      <c r="F97" s="7"/>
      <c r="G97" s="7"/>
      <c r="H97" s="9"/>
      <c r="I97" s="10"/>
      <c r="J97" s="9">
        <f t="shared" si="0"/>
        <v>0</v>
      </c>
    </row>
    <row r="98" spans="1:10" ht="15.6" x14ac:dyDescent="0.3">
      <c r="A98" s="7"/>
      <c r="B98" s="7"/>
      <c r="C98" s="1"/>
      <c r="D98" s="1"/>
      <c r="E98" s="2"/>
      <c r="F98" s="7"/>
      <c r="G98" s="7"/>
      <c r="H98" s="9"/>
      <c r="I98" s="10"/>
      <c r="J98" s="9">
        <f t="shared" si="0"/>
        <v>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60733</v>
      </c>
      <c r="I145" s="10">
        <f>SUM(I4:I144)</f>
        <v>26494</v>
      </c>
      <c r="J145" s="9">
        <f>SUM(J4:J144)</f>
        <v>34239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topLeftCell="A67" zoomScale="85" zoomScaleNormal="85" workbookViewId="0">
      <selection activeCell="I29" sqref="I29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45929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0">
        <f>1280+720+1240</f>
        <v>3240</v>
      </c>
      <c r="J5" s="9">
        <f t="shared" si="0"/>
        <v>760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</f>
        <v>2951</v>
      </c>
      <c r="J8" s="9">
        <f t="shared" si="0"/>
        <v>349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</f>
        <v>2951</v>
      </c>
      <c r="J9" s="9">
        <f t="shared" si="0"/>
        <v>349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</f>
        <v>3018</v>
      </c>
      <c r="J10" s="9">
        <f t="shared" si="0"/>
        <v>82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</f>
        <v>3018</v>
      </c>
      <c r="J11" s="9">
        <f t="shared" si="0"/>
        <v>82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7">
        <v>835</v>
      </c>
      <c r="J12" s="18">
        <f t="shared" si="0"/>
        <v>-31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7">
        <f>400+120</f>
        <v>520</v>
      </c>
      <c r="J22" s="18">
        <f t="shared" si="0"/>
        <v>-120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>
        <v>248</v>
      </c>
      <c r="J23" s="9">
        <f t="shared" si="0"/>
        <v>152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7">
        <v>401</v>
      </c>
      <c r="J24" s="18">
        <f t="shared" si="0"/>
        <v>-1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0">
        <f>365+120</f>
        <v>485</v>
      </c>
      <c r="J25" s="9">
        <f t="shared" si="0"/>
        <v>-85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f>401+120+5</f>
        <v>526</v>
      </c>
      <c r="J28" s="18">
        <f t="shared" si="0"/>
        <v>-126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7">
        <v>400</v>
      </c>
      <c r="J31" s="18">
        <f t="shared" si="0"/>
        <v>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7">
        <v>400</v>
      </c>
      <c r="J32" s="18">
        <f t="shared" si="0"/>
        <v>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7">
        <v>400</v>
      </c>
      <c r="J33" s="18">
        <f t="shared" si="0"/>
        <v>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7">
        <v>400</v>
      </c>
      <c r="J34" s="18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7">
        <v>399</v>
      </c>
      <c r="J38" s="18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7">
        <v>405</v>
      </c>
      <c r="J39" s="18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7">
        <f>400+58</f>
        <v>458</v>
      </c>
      <c r="J40" s="18">
        <f t="shared" si="0"/>
        <v>-58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7">
        <v>400</v>
      </c>
      <c r="J41" s="18">
        <f t="shared" si="0"/>
        <v>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>
        <v>360</v>
      </c>
      <c r="J42" s="9">
        <f t="shared" si="0"/>
        <v>40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7">
        <f>410+60+11</f>
        <v>481</v>
      </c>
      <c r="J43" s="18">
        <f t="shared" si="0"/>
        <v>-81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7">
        <v>400</v>
      </c>
      <c r="J44" s="18">
        <f t="shared" si="0"/>
        <v>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7">
        <v>400</v>
      </c>
      <c r="J46" s="18">
        <f t="shared" si="0"/>
        <v>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7">
        <v>400</v>
      </c>
      <c r="J47" s="18">
        <f t="shared" si="0"/>
        <v>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7">
        <v>400</v>
      </c>
      <c r="J48" s="18">
        <f t="shared" si="0"/>
        <v>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7">
        <v>402</v>
      </c>
      <c r="J49" s="18">
        <f t="shared" si="0"/>
        <v>-2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7">
        <v>400</v>
      </c>
      <c r="J50" s="18">
        <f t="shared" si="0"/>
        <v>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7">
        <v>400</v>
      </c>
      <c r="J51" s="18">
        <f t="shared" si="0"/>
        <v>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7">
        <v>600</v>
      </c>
      <c r="J52" s="18">
        <f t="shared" si="0"/>
        <v>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7">
        <v>400</v>
      </c>
      <c r="J53" s="18">
        <f t="shared" si="0"/>
        <v>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7">
        <v>600</v>
      </c>
      <c r="J54" s="18">
        <f t="shared" si="0"/>
        <v>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7">
        <v>400</v>
      </c>
      <c r="J55" s="18">
        <f t="shared" si="0"/>
        <v>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7">
        <v>598</v>
      </c>
      <c r="J56" s="18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7">
        <v>398</v>
      </c>
      <c r="J57" s="18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7">
        <v>600</v>
      </c>
      <c r="J58" s="18">
        <f t="shared" si="0"/>
        <v>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7">
        <v>400</v>
      </c>
      <c r="J59" s="18">
        <f t="shared" si="0"/>
        <v>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>
        <f>325+60</f>
        <v>385</v>
      </c>
      <c r="J64" s="9">
        <f t="shared" si="0"/>
        <v>15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7">
        <v>400</v>
      </c>
      <c r="J65" s="18">
        <f t="shared" si="0"/>
        <v>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7">
        <v>400</v>
      </c>
      <c r="J66" s="18">
        <f t="shared" si="0"/>
        <v>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7">
        <f>400+60</f>
        <v>460</v>
      </c>
      <c r="J67" s="18">
        <f t="shared" si="0"/>
        <v>-60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7">
        <v>400</v>
      </c>
      <c r="J68" s="18">
        <f t="shared" si="0"/>
        <v>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7">
        <v>400</v>
      </c>
      <c r="J69" s="18">
        <f t="shared" si="0"/>
        <v>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7">
        <v>400</v>
      </c>
      <c r="J70" s="18">
        <f t="shared" si="0"/>
        <v>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7">
        <v>400</v>
      </c>
      <c r="J71" s="18">
        <f t="shared" si="0"/>
        <v>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7">
        <v>400</v>
      </c>
      <c r="J72" s="18">
        <f t="shared" si="0"/>
        <v>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7">
        <v>400</v>
      </c>
      <c r="J73" s="18">
        <f t="shared" si="0"/>
        <v>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7">
        <v>403</v>
      </c>
      <c r="J74" s="18">
        <f t="shared" si="0"/>
        <v>-3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7">
        <v>400</v>
      </c>
      <c r="J75" s="18">
        <f t="shared" si="0"/>
        <v>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>
        <f>1600+1298</f>
        <v>2898</v>
      </c>
      <c r="J76" s="9">
        <f t="shared" si="0"/>
        <v>302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>
        <f>1600+1298</f>
        <v>2898</v>
      </c>
      <c r="J77" s="9">
        <f t="shared" si="0"/>
        <v>302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>
        <v>250074</v>
      </c>
      <c r="B79" s="7">
        <v>304</v>
      </c>
      <c r="C79" s="1">
        <v>0.7</v>
      </c>
      <c r="D79" s="1" t="s">
        <v>12</v>
      </c>
      <c r="E79" s="2" t="s">
        <v>80</v>
      </c>
      <c r="F79" s="7" t="s">
        <v>14</v>
      </c>
      <c r="G79" s="7">
        <v>430</v>
      </c>
      <c r="H79" s="9">
        <v>708</v>
      </c>
      <c r="I79" s="10"/>
      <c r="J79" s="9">
        <f t="shared" si="0"/>
        <v>708</v>
      </c>
    </row>
    <row r="80" spans="1:10" ht="15.6" x14ac:dyDescent="0.3">
      <c r="A80" s="7">
        <v>250074</v>
      </c>
      <c r="B80" s="7">
        <v>304</v>
      </c>
      <c r="C80" s="1">
        <v>0.7</v>
      </c>
      <c r="D80" s="1" t="s">
        <v>12</v>
      </c>
      <c r="E80" s="2" t="s">
        <v>81</v>
      </c>
      <c r="F80" s="7" t="s">
        <v>14</v>
      </c>
      <c r="G80" s="7">
        <v>430</v>
      </c>
      <c r="H80" s="9">
        <v>708</v>
      </c>
      <c r="I80" s="10"/>
      <c r="J80" s="9">
        <f t="shared" si="0"/>
        <v>708</v>
      </c>
    </row>
    <row r="81" spans="1:10" ht="15.6" x14ac:dyDescent="0.3">
      <c r="A81" s="7">
        <v>250074</v>
      </c>
      <c r="B81" s="7">
        <v>304</v>
      </c>
      <c r="C81" s="1">
        <v>0.7</v>
      </c>
      <c r="D81" s="1" t="s">
        <v>12</v>
      </c>
      <c r="E81" s="2" t="s">
        <v>82</v>
      </c>
      <c r="F81" s="7" t="s">
        <v>14</v>
      </c>
      <c r="G81" s="7">
        <v>430</v>
      </c>
      <c r="H81" s="9">
        <v>708</v>
      </c>
      <c r="I81" s="10"/>
      <c r="J81" s="9">
        <f t="shared" si="0"/>
        <v>708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/>
      <c r="B83" s="7"/>
      <c r="C83" s="1"/>
      <c r="D83" s="1"/>
      <c r="E83" s="2"/>
      <c r="F83" s="7"/>
      <c r="G83" s="7"/>
      <c r="H83" s="9"/>
      <c r="I83" s="10"/>
      <c r="J83" s="9">
        <f t="shared" si="0"/>
        <v>0</v>
      </c>
    </row>
    <row r="84" spans="1:10" ht="15.6" x14ac:dyDescent="0.3">
      <c r="A84" s="7"/>
      <c r="B84" s="7"/>
      <c r="C84" s="1"/>
      <c r="D84" s="1"/>
      <c r="E84" s="2"/>
      <c r="F84" s="7"/>
      <c r="G84" s="7"/>
      <c r="H84" s="9"/>
      <c r="I84" s="10"/>
      <c r="J84" s="9">
        <f t="shared" si="0"/>
        <v>0</v>
      </c>
    </row>
    <row r="85" spans="1:10" ht="15.6" x14ac:dyDescent="0.3">
      <c r="A85" s="7"/>
      <c r="B85" s="7"/>
      <c r="C85" s="1"/>
      <c r="D85" s="1"/>
      <c r="E85" s="2"/>
      <c r="F85" s="7"/>
      <c r="G85" s="7"/>
      <c r="H85" s="9"/>
      <c r="I85" s="10"/>
      <c r="J85" s="9">
        <f t="shared" si="0"/>
        <v>0</v>
      </c>
    </row>
    <row r="86" spans="1:10" ht="15.6" x14ac:dyDescent="0.3">
      <c r="A86" s="7"/>
      <c r="B86" s="7"/>
      <c r="C86" s="1"/>
      <c r="D86" s="1"/>
      <c r="E86" s="2"/>
      <c r="F86" s="7"/>
      <c r="G86" s="7"/>
      <c r="H86" s="9"/>
      <c r="I86" s="10"/>
      <c r="J86" s="9">
        <f t="shared" si="0"/>
        <v>0</v>
      </c>
    </row>
    <row r="87" spans="1:10" ht="15.6" x14ac:dyDescent="0.3">
      <c r="A87" s="7"/>
      <c r="B87" s="7"/>
      <c r="C87" s="1"/>
      <c r="D87" s="1"/>
      <c r="E87" s="2"/>
      <c r="F87" s="7"/>
      <c r="G87" s="7"/>
      <c r="H87" s="9"/>
      <c r="I87" s="10"/>
      <c r="J87" s="9">
        <f t="shared" si="0"/>
        <v>0</v>
      </c>
    </row>
    <row r="88" spans="1:10" ht="15.6" x14ac:dyDescent="0.3">
      <c r="A88" s="7"/>
      <c r="B88" s="7"/>
      <c r="C88" s="1"/>
      <c r="D88" s="1"/>
      <c r="E88" s="2"/>
      <c r="F88" s="7"/>
      <c r="G88" s="7"/>
      <c r="H88" s="9"/>
      <c r="I88" s="10"/>
      <c r="J88" s="9">
        <f t="shared" si="0"/>
        <v>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/>
      <c r="B90" s="7"/>
      <c r="C90" s="1"/>
      <c r="D90" s="1"/>
      <c r="E90" s="2"/>
      <c r="F90" s="7"/>
      <c r="G90" s="7"/>
      <c r="H90" s="9"/>
      <c r="I90" s="10"/>
      <c r="J90" s="9">
        <f t="shared" si="0"/>
        <v>0</v>
      </c>
    </row>
    <row r="91" spans="1:10" ht="15.6" x14ac:dyDescent="0.3">
      <c r="A91" s="7"/>
      <c r="B91" s="7"/>
      <c r="C91" s="1"/>
      <c r="D91" s="1"/>
      <c r="E91" s="2"/>
      <c r="F91" s="7"/>
      <c r="G91" s="7"/>
      <c r="H91" s="9"/>
      <c r="I91" s="10"/>
      <c r="J91" s="9">
        <f t="shared" si="0"/>
        <v>0</v>
      </c>
    </row>
    <row r="92" spans="1:10" ht="15.6" x14ac:dyDescent="0.3">
      <c r="A92" s="7"/>
      <c r="B92" s="7"/>
      <c r="C92" s="1"/>
      <c r="D92" s="1"/>
      <c r="E92" s="2"/>
      <c r="F92" s="7"/>
      <c r="G92" s="7"/>
      <c r="H92" s="9"/>
      <c r="I92" s="10"/>
      <c r="J92" s="9">
        <f t="shared" si="0"/>
        <v>0</v>
      </c>
    </row>
    <row r="93" spans="1:10" ht="15.6" x14ac:dyDescent="0.3">
      <c r="A93" s="7"/>
      <c r="B93" s="7"/>
      <c r="C93" s="1"/>
      <c r="D93" s="1"/>
      <c r="E93" s="2"/>
      <c r="F93" s="7"/>
      <c r="G93" s="7"/>
      <c r="H93" s="9"/>
      <c r="I93" s="10"/>
      <c r="J93" s="9">
        <f t="shared" si="0"/>
        <v>0</v>
      </c>
    </row>
    <row r="94" spans="1:10" ht="15.6" x14ac:dyDescent="0.3">
      <c r="A94" s="7"/>
      <c r="B94" s="7"/>
      <c r="C94" s="1"/>
      <c r="D94" s="1"/>
      <c r="E94" s="2"/>
      <c r="F94" s="7"/>
      <c r="G94" s="7"/>
      <c r="H94" s="9"/>
      <c r="I94" s="10"/>
      <c r="J94" s="9">
        <f t="shared" si="0"/>
        <v>0</v>
      </c>
    </row>
    <row r="95" spans="1:10" ht="15.6" x14ac:dyDescent="0.3">
      <c r="A95" s="7"/>
      <c r="B95" s="7"/>
      <c r="C95" s="1"/>
      <c r="D95" s="1"/>
      <c r="E95" s="2"/>
      <c r="F95" s="7"/>
      <c r="G95" s="7"/>
      <c r="H95" s="9"/>
      <c r="I95" s="10"/>
      <c r="J95" s="9">
        <f t="shared" si="0"/>
        <v>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/>
      <c r="B97" s="7"/>
      <c r="C97" s="1"/>
      <c r="D97" s="1"/>
      <c r="E97" s="2"/>
      <c r="F97" s="7"/>
      <c r="G97" s="7"/>
      <c r="H97" s="9"/>
      <c r="I97" s="10"/>
      <c r="J97" s="9">
        <f t="shared" si="0"/>
        <v>0</v>
      </c>
    </row>
    <row r="98" spans="1:10" ht="15.6" x14ac:dyDescent="0.3">
      <c r="A98" s="7"/>
      <c r="B98" s="7"/>
      <c r="C98" s="1"/>
      <c r="D98" s="1"/>
      <c r="E98" s="2"/>
      <c r="F98" s="7"/>
      <c r="G98" s="7"/>
      <c r="H98" s="9"/>
      <c r="I98" s="10"/>
      <c r="J98" s="9">
        <f t="shared" si="0"/>
        <v>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62857</v>
      </c>
      <c r="I145" s="10">
        <f>SUM(I4:I144)</f>
        <v>49408</v>
      </c>
      <c r="J145" s="9">
        <f>SUM(J4:J144)</f>
        <v>13449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zoomScale="85" zoomScaleNormal="85" workbookViewId="0">
      <selection activeCell="A2" sqref="A2:J2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45943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0">
        <f>1280+720+1240</f>
        <v>3240</v>
      </c>
      <c r="J5" s="9">
        <f t="shared" si="0"/>
        <v>760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</f>
        <v>2951</v>
      </c>
      <c r="J8" s="9">
        <f t="shared" si="0"/>
        <v>349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</f>
        <v>2951</v>
      </c>
      <c r="J9" s="9">
        <f t="shared" si="0"/>
        <v>349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</f>
        <v>3018</v>
      </c>
      <c r="J10" s="9">
        <f t="shared" si="0"/>
        <v>82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</f>
        <v>3018</v>
      </c>
      <c r="J11" s="9">
        <f t="shared" si="0"/>
        <v>82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7">
        <v>835</v>
      </c>
      <c r="J12" s="18">
        <f t="shared" si="0"/>
        <v>-31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7">
        <f>400+120</f>
        <v>520</v>
      </c>
      <c r="J22" s="18">
        <f t="shared" si="0"/>
        <v>-120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>
        <v>248</v>
      </c>
      <c r="J23" s="9">
        <f t="shared" si="0"/>
        <v>152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7">
        <v>401</v>
      </c>
      <c r="J24" s="18">
        <f t="shared" si="0"/>
        <v>-1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0">
        <f>365+120</f>
        <v>485</v>
      </c>
      <c r="J25" s="9">
        <f t="shared" si="0"/>
        <v>-85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f>401+120+5</f>
        <v>526</v>
      </c>
      <c r="J28" s="18">
        <f t="shared" si="0"/>
        <v>-126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7">
        <v>400</v>
      </c>
      <c r="J31" s="18">
        <f t="shared" si="0"/>
        <v>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7">
        <v>400</v>
      </c>
      <c r="J32" s="18">
        <f t="shared" si="0"/>
        <v>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7">
        <v>400</v>
      </c>
      <c r="J33" s="18">
        <f t="shared" si="0"/>
        <v>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7">
        <v>400</v>
      </c>
      <c r="J34" s="18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7">
        <v>399</v>
      </c>
      <c r="J38" s="18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7">
        <v>405</v>
      </c>
      <c r="J39" s="18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7">
        <f>400+58</f>
        <v>458</v>
      </c>
      <c r="J40" s="18">
        <f t="shared" si="0"/>
        <v>-58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7">
        <v>400</v>
      </c>
      <c r="J41" s="18">
        <f t="shared" si="0"/>
        <v>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>
        <v>360</v>
      </c>
      <c r="J42" s="9">
        <f t="shared" si="0"/>
        <v>40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7">
        <f>410+60+11</f>
        <v>481</v>
      </c>
      <c r="J43" s="18">
        <f t="shared" si="0"/>
        <v>-81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7">
        <v>400</v>
      </c>
      <c r="J44" s="18">
        <f t="shared" si="0"/>
        <v>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7">
        <v>400</v>
      </c>
      <c r="J46" s="18">
        <f t="shared" si="0"/>
        <v>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7">
        <v>400</v>
      </c>
      <c r="J47" s="18">
        <f t="shared" si="0"/>
        <v>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7">
        <v>400</v>
      </c>
      <c r="J48" s="18">
        <f t="shared" si="0"/>
        <v>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7">
        <v>402</v>
      </c>
      <c r="J49" s="18">
        <f t="shared" si="0"/>
        <v>-2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7">
        <v>400</v>
      </c>
      <c r="J50" s="18">
        <f t="shared" si="0"/>
        <v>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7">
        <v>400</v>
      </c>
      <c r="J51" s="18">
        <f t="shared" si="0"/>
        <v>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7">
        <v>600</v>
      </c>
      <c r="J52" s="18">
        <f t="shared" si="0"/>
        <v>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7">
        <v>400</v>
      </c>
      <c r="J53" s="18">
        <f t="shared" si="0"/>
        <v>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7">
        <v>600</v>
      </c>
      <c r="J54" s="18">
        <f t="shared" si="0"/>
        <v>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7">
        <v>400</v>
      </c>
      <c r="J55" s="18">
        <f t="shared" si="0"/>
        <v>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7">
        <v>598</v>
      </c>
      <c r="J56" s="18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7">
        <v>398</v>
      </c>
      <c r="J57" s="18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7">
        <v>600</v>
      </c>
      <c r="J58" s="18">
        <f t="shared" si="0"/>
        <v>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7">
        <v>400</v>
      </c>
      <c r="J59" s="18">
        <f t="shared" si="0"/>
        <v>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>
        <f>325+60</f>
        <v>385</v>
      </c>
      <c r="J64" s="9">
        <f t="shared" si="0"/>
        <v>15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7">
        <v>400</v>
      </c>
      <c r="J65" s="18">
        <f t="shared" si="0"/>
        <v>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7">
        <v>400</v>
      </c>
      <c r="J66" s="18">
        <f t="shared" si="0"/>
        <v>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7">
        <f>400+60</f>
        <v>460</v>
      </c>
      <c r="J67" s="18">
        <f t="shared" si="0"/>
        <v>-60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7">
        <v>400</v>
      </c>
      <c r="J68" s="18">
        <f t="shared" si="0"/>
        <v>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7">
        <v>400</v>
      </c>
      <c r="J69" s="18">
        <f t="shared" si="0"/>
        <v>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7">
        <v>400</v>
      </c>
      <c r="J70" s="18">
        <f t="shared" si="0"/>
        <v>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7">
        <v>400</v>
      </c>
      <c r="J71" s="18">
        <f t="shared" si="0"/>
        <v>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7">
        <v>400</v>
      </c>
      <c r="J72" s="18">
        <f t="shared" si="0"/>
        <v>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7">
        <v>400</v>
      </c>
      <c r="J73" s="18">
        <f t="shared" si="0"/>
        <v>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7">
        <v>403</v>
      </c>
      <c r="J74" s="18">
        <f t="shared" si="0"/>
        <v>-3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7">
        <v>400</v>
      </c>
      <c r="J75" s="18">
        <f t="shared" si="0"/>
        <v>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>
        <f>1600+1298+158</f>
        <v>3056</v>
      </c>
      <c r="J76" s="9">
        <f t="shared" si="0"/>
        <v>144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>
        <f>1600+1298+158</f>
        <v>3056</v>
      </c>
      <c r="J77" s="9">
        <f t="shared" si="0"/>
        <v>144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>
        <v>250074</v>
      </c>
      <c r="B79" s="7">
        <v>304</v>
      </c>
      <c r="C79" s="1">
        <v>0.7</v>
      </c>
      <c r="D79" s="1" t="s">
        <v>12</v>
      </c>
      <c r="E79" s="2" t="s">
        <v>80</v>
      </c>
      <c r="F79" s="7" t="s">
        <v>14</v>
      </c>
      <c r="G79" s="7">
        <v>430</v>
      </c>
      <c r="H79" s="9">
        <v>708</v>
      </c>
      <c r="I79" s="10"/>
      <c r="J79" s="9">
        <f t="shared" si="0"/>
        <v>708</v>
      </c>
    </row>
    <row r="80" spans="1:10" ht="15.6" x14ac:dyDescent="0.3">
      <c r="A80" s="7">
        <v>250074</v>
      </c>
      <c r="B80" s="7">
        <v>304</v>
      </c>
      <c r="C80" s="1">
        <v>0.7</v>
      </c>
      <c r="D80" s="1" t="s">
        <v>12</v>
      </c>
      <c r="E80" s="2" t="s">
        <v>81</v>
      </c>
      <c r="F80" s="7" t="s">
        <v>14</v>
      </c>
      <c r="G80" s="7">
        <v>430</v>
      </c>
      <c r="H80" s="9">
        <v>708</v>
      </c>
      <c r="I80" s="10"/>
      <c r="J80" s="9">
        <f t="shared" si="0"/>
        <v>708</v>
      </c>
    </row>
    <row r="81" spans="1:10" ht="15.6" x14ac:dyDescent="0.3">
      <c r="A81" s="7">
        <v>250074</v>
      </c>
      <c r="B81" s="7">
        <v>304</v>
      </c>
      <c r="C81" s="1">
        <v>0.7</v>
      </c>
      <c r="D81" s="1" t="s">
        <v>12</v>
      </c>
      <c r="E81" s="2" t="s">
        <v>82</v>
      </c>
      <c r="F81" s="7" t="s">
        <v>14</v>
      </c>
      <c r="G81" s="7">
        <v>430</v>
      </c>
      <c r="H81" s="9">
        <v>708</v>
      </c>
      <c r="I81" s="10"/>
      <c r="J81" s="9">
        <f t="shared" si="0"/>
        <v>708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>
        <v>100925</v>
      </c>
      <c r="B83" s="7">
        <v>304</v>
      </c>
      <c r="C83" s="1">
        <v>0.9</v>
      </c>
      <c r="D83" s="1" t="s">
        <v>17</v>
      </c>
      <c r="E83" s="2" t="s">
        <v>83</v>
      </c>
      <c r="F83" s="7" t="s">
        <v>14</v>
      </c>
      <c r="G83" s="7">
        <v>430</v>
      </c>
      <c r="H83" s="9">
        <v>1200</v>
      </c>
      <c r="I83" s="10"/>
      <c r="J83" s="9">
        <f t="shared" si="0"/>
        <v>1200</v>
      </c>
    </row>
    <row r="84" spans="1:10" ht="15.6" x14ac:dyDescent="0.3">
      <c r="A84" s="7">
        <v>100925</v>
      </c>
      <c r="B84" s="7">
        <v>304</v>
      </c>
      <c r="C84" s="1">
        <v>0.9</v>
      </c>
      <c r="D84" s="1" t="s">
        <v>15</v>
      </c>
      <c r="E84" s="2" t="s">
        <v>84</v>
      </c>
      <c r="F84" s="7" t="s">
        <v>14</v>
      </c>
      <c r="G84" s="7" t="s">
        <v>15</v>
      </c>
      <c r="H84" s="9">
        <v>1200</v>
      </c>
      <c r="I84" s="10"/>
      <c r="J84" s="9">
        <f t="shared" si="0"/>
        <v>1200</v>
      </c>
    </row>
    <row r="85" spans="1:10" ht="15.6" x14ac:dyDescent="0.3">
      <c r="A85" s="7">
        <v>100925</v>
      </c>
      <c r="B85" s="7">
        <v>304</v>
      </c>
      <c r="C85" s="1">
        <v>0.9</v>
      </c>
      <c r="D85" s="1" t="s">
        <v>17</v>
      </c>
      <c r="E85" s="2" t="s">
        <v>85</v>
      </c>
      <c r="F85" s="7" t="s">
        <v>14</v>
      </c>
      <c r="G85" s="7">
        <v>430</v>
      </c>
      <c r="H85" s="9">
        <v>1500</v>
      </c>
      <c r="I85" s="10"/>
      <c r="J85" s="9">
        <f t="shared" si="0"/>
        <v>1500</v>
      </c>
    </row>
    <row r="86" spans="1:10" ht="15.6" x14ac:dyDescent="0.3">
      <c r="A86" s="7">
        <v>100925</v>
      </c>
      <c r="B86" s="7">
        <v>304</v>
      </c>
      <c r="C86" s="1">
        <v>0.9</v>
      </c>
      <c r="D86" s="1" t="s">
        <v>15</v>
      </c>
      <c r="E86" s="2" t="s">
        <v>91</v>
      </c>
      <c r="F86" s="7" t="s">
        <v>14</v>
      </c>
      <c r="G86" s="7" t="s">
        <v>15</v>
      </c>
      <c r="H86" s="9">
        <v>1500</v>
      </c>
      <c r="I86" s="10"/>
      <c r="J86" s="9">
        <f t="shared" si="0"/>
        <v>1500</v>
      </c>
    </row>
    <row r="87" spans="1:10" ht="15.6" x14ac:dyDescent="0.3">
      <c r="A87" s="7">
        <v>100925</v>
      </c>
      <c r="B87" s="7">
        <v>304</v>
      </c>
      <c r="C87" s="1">
        <v>0.9</v>
      </c>
      <c r="D87" s="1" t="s">
        <v>17</v>
      </c>
      <c r="E87" s="2" t="s">
        <v>86</v>
      </c>
      <c r="F87" s="7" t="s">
        <v>14</v>
      </c>
      <c r="G87" s="7">
        <v>430</v>
      </c>
      <c r="H87" s="9">
        <v>1500</v>
      </c>
      <c r="I87" s="10"/>
      <c r="J87" s="9">
        <f t="shared" si="0"/>
        <v>1500</v>
      </c>
    </row>
    <row r="88" spans="1:10" ht="15.6" x14ac:dyDescent="0.3">
      <c r="A88" s="7">
        <v>100925</v>
      </c>
      <c r="B88" s="7">
        <v>304</v>
      </c>
      <c r="C88" s="1">
        <v>0.9</v>
      </c>
      <c r="D88" s="1" t="s">
        <v>15</v>
      </c>
      <c r="E88" s="2" t="s">
        <v>90</v>
      </c>
      <c r="F88" s="7" t="s">
        <v>14</v>
      </c>
      <c r="G88" s="7" t="s">
        <v>15</v>
      </c>
      <c r="H88" s="9">
        <v>1500</v>
      </c>
      <c r="I88" s="10"/>
      <c r="J88" s="9">
        <f t="shared" si="0"/>
        <v>1500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 t="s">
        <v>87</v>
      </c>
      <c r="B90" s="7">
        <v>304</v>
      </c>
      <c r="C90" s="1">
        <v>0.9</v>
      </c>
      <c r="D90" s="1" t="s">
        <v>17</v>
      </c>
      <c r="E90" s="2" t="s">
        <v>88</v>
      </c>
      <c r="F90" s="7" t="s">
        <v>14</v>
      </c>
      <c r="G90" s="7">
        <v>430</v>
      </c>
      <c r="H90" s="9">
        <v>1200</v>
      </c>
      <c r="I90" s="10"/>
      <c r="J90" s="9">
        <f t="shared" si="0"/>
        <v>1200</v>
      </c>
    </row>
    <row r="91" spans="1:10" ht="15.6" x14ac:dyDescent="0.3">
      <c r="A91" s="7" t="s">
        <v>87</v>
      </c>
      <c r="B91" s="7">
        <v>304</v>
      </c>
      <c r="C91" s="1">
        <v>0.9</v>
      </c>
      <c r="D91" s="1" t="s">
        <v>15</v>
      </c>
      <c r="E91" s="2" t="s">
        <v>89</v>
      </c>
      <c r="F91" s="7" t="s">
        <v>14</v>
      </c>
      <c r="G91" s="7" t="s">
        <v>15</v>
      </c>
      <c r="H91" s="9">
        <v>1200</v>
      </c>
      <c r="I91" s="10"/>
      <c r="J91" s="9">
        <f t="shared" si="0"/>
        <v>1200</v>
      </c>
    </row>
    <row r="92" spans="1:10" ht="15.6" x14ac:dyDescent="0.3">
      <c r="A92" s="7" t="s">
        <v>87</v>
      </c>
      <c r="B92" s="7">
        <v>304</v>
      </c>
      <c r="C92" s="1">
        <v>0.9</v>
      </c>
      <c r="D92" s="1" t="s">
        <v>17</v>
      </c>
      <c r="E92" s="2" t="s">
        <v>92</v>
      </c>
      <c r="F92" s="7" t="s">
        <v>14</v>
      </c>
      <c r="G92" s="7">
        <v>430</v>
      </c>
      <c r="H92" s="9">
        <v>1500</v>
      </c>
      <c r="I92" s="10"/>
      <c r="J92" s="9">
        <f t="shared" si="0"/>
        <v>1500</v>
      </c>
    </row>
    <row r="93" spans="1:10" ht="15.6" x14ac:dyDescent="0.3">
      <c r="A93" s="7" t="s">
        <v>87</v>
      </c>
      <c r="B93" s="7">
        <v>304</v>
      </c>
      <c r="C93" s="1">
        <v>0.9</v>
      </c>
      <c r="D93" s="1" t="s">
        <v>15</v>
      </c>
      <c r="E93" s="2" t="s">
        <v>93</v>
      </c>
      <c r="F93" s="7" t="s">
        <v>14</v>
      </c>
      <c r="G93" s="7" t="s">
        <v>15</v>
      </c>
      <c r="H93" s="9">
        <v>1500</v>
      </c>
      <c r="I93" s="10"/>
      <c r="J93" s="9">
        <f t="shared" si="0"/>
        <v>1500</v>
      </c>
    </row>
    <row r="94" spans="1:10" ht="15.6" x14ac:dyDescent="0.3">
      <c r="A94" s="7" t="s">
        <v>87</v>
      </c>
      <c r="B94" s="7">
        <v>304</v>
      </c>
      <c r="C94" s="1">
        <v>0.9</v>
      </c>
      <c r="D94" s="1" t="s">
        <v>17</v>
      </c>
      <c r="E94" s="2" t="s">
        <v>94</v>
      </c>
      <c r="F94" s="7" t="s">
        <v>14</v>
      </c>
      <c r="G94" s="7">
        <v>430</v>
      </c>
      <c r="H94" s="9">
        <v>1500</v>
      </c>
      <c r="I94" s="10"/>
      <c r="J94" s="9">
        <f t="shared" si="0"/>
        <v>1500</v>
      </c>
    </row>
    <row r="95" spans="1:10" ht="15.6" x14ac:dyDescent="0.3">
      <c r="A95" s="7" t="s">
        <v>87</v>
      </c>
      <c r="B95" s="7">
        <v>304</v>
      </c>
      <c r="C95" s="1">
        <v>0.9</v>
      </c>
      <c r="D95" s="1" t="s">
        <v>15</v>
      </c>
      <c r="E95" s="2" t="s">
        <v>95</v>
      </c>
      <c r="F95" s="7" t="s">
        <v>14</v>
      </c>
      <c r="G95" s="7" t="s">
        <v>15</v>
      </c>
      <c r="H95" s="9">
        <v>1500</v>
      </c>
      <c r="I95" s="10"/>
      <c r="J95" s="9">
        <f t="shared" si="0"/>
        <v>1500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>
        <v>160925</v>
      </c>
      <c r="B97" s="7">
        <v>304</v>
      </c>
      <c r="C97" s="1">
        <v>0.9</v>
      </c>
      <c r="D97" s="1" t="s">
        <v>17</v>
      </c>
      <c r="E97" s="2" t="s">
        <v>96</v>
      </c>
      <c r="F97" s="7" t="s">
        <v>14</v>
      </c>
      <c r="G97" s="7">
        <v>430</v>
      </c>
      <c r="H97" s="9">
        <v>1100</v>
      </c>
      <c r="I97" s="10"/>
      <c r="J97" s="9">
        <f t="shared" si="0"/>
        <v>1100</v>
      </c>
    </row>
    <row r="98" spans="1:10" ht="15.6" x14ac:dyDescent="0.3">
      <c r="A98" s="7">
        <v>160925</v>
      </c>
      <c r="B98" s="7">
        <v>304</v>
      </c>
      <c r="C98" s="1">
        <v>0.9</v>
      </c>
      <c r="D98" s="1" t="s">
        <v>15</v>
      </c>
      <c r="E98" s="2" t="s">
        <v>97</v>
      </c>
      <c r="F98" s="7" t="s">
        <v>14</v>
      </c>
      <c r="G98" s="7" t="s">
        <v>15</v>
      </c>
      <c r="H98" s="9">
        <v>1100</v>
      </c>
      <c r="I98" s="10"/>
      <c r="J98" s="9">
        <f t="shared" si="0"/>
        <v>1100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81857</v>
      </c>
      <c r="I145" s="10">
        <f>SUM(I4:I144)</f>
        <v>49724</v>
      </c>
      <c r="J145" s="9">
        <f>SUM(J4:J144)</f>
        <v>32133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zoomScale="85" zoomScaleNormal="85" workbookViewId="0">
      <selection activeCell="J5" sqref="I5:J5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45944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7">
        <f>1280+720+1240+731</f>
        <v>3971</v>
      </c>
      <c r="J5" s="18">
        <f t="shared" si="0"/>
        <v>29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</f>
        <v>2951</v>
      </c>
      <c r="J8" s="9">
        <f t="shared" si="0"/>
        <v>349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</f>
        <v>2951</v>
      </c>
      <c r="J9" s="9">
        <f t="shared" si="0"/>
        <v>349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</f>
        <v>3018</v>
      </c>
      <c r="J10" s="9">
        <f t="shared" si="0"/>
        <v>82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</f>
        <v>3018</v>
      </c>
      <c r="J11" s="9">
        <f t="shared" si="0"/>
        <v>82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7">
        <v>835</v>
      </c>
      <c r="J12" s="18">
        <f t="shared" si="0"/>
        <v>-31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7">
        <f>400+120</f>
        <v>520</v>
      </c>
      <c r="J22" s="18">
        <f t="shared" si="0"/>
        <v>-120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>
        <v>248</v>
      </c>
      <c r="J23" s="9">
        <f t="shared" si="0"/>
        <v>152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7">
        <v>401</v>
      </c>
      <c r="J24" s="18">
        <f t="shared" si="0"/>
        <v>-1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7">
        <f>365+120</f>
        <v>485</v>
      </c>
      <c r="J25" s="18">
        <f t="shared" si="0"/>
        <v>-85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f>401+120+5</f>
        <v>526</v>
      </c>
      <c r="J28" s="18">
        <f t="shared" si="0"/>
        <v>-126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7">
        <v>400</v>
      </c>
      <c r="J31" s="18">
        <f t="shared" si="0"/>
        <v>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7">
        <v>400</v>
      </c>
      <c r="J32" s="18">
        <f t="shared" si="0"/>
        <v>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7">
        <v>400</v>
      </c>
      <c r="J33" s="18">
        <f t="shared" si="0"/>
        <v>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7">
        <v>400</v>
      </c>
      <c r="J34" s="18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7">
        <v>399</v>
      </c>
      <c r="J38" s="18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7">
        <v>405</v>
      </c>
      <c r="J39" s="18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7">
        <f>400+58+11</f>
        <v>469</v>
      </c>
      <c r="J40" s="18">
        <f t="shared" si="0"/>
        <v>-69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7">
        <v>400</v>
      </c>
      <c r="J41" s="18">
        <f t="shared" si="0"/>
        <v>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>
        <v>360</v>
      </c>
      <c r="J42" s="9">
        <f t="shared" si="0"/>
        <v>40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7">
        <f>410+60+11</f>
        <v>481</v>
      </c>
      <c r="J43" s="18">
        <f t="shared" si="0"/>
        <v>-81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7">
        <v>400</v>
      </c>
      <c r="J44" s="18">
        <f t="shared" si="0"/>
        <v>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7">
        <v>400</v>
      </c>
      <c r="J46" s="18">
        <f t="shared" si="0"/>
        <v>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7">
        <v>400</v>
      </c>
      <c r="J47" s="18">
        <f t="shared" si="0"/>
        <v>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7">
        <v>400</v>
      </c>
      <c r="J48" s="18">
        <f t="shared" si="0"/>
        <v>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7">
        <v>402</v>
      </c>
      <c r="J49" s="18">
        <f t="shared" si="0"/>
        <v>-2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7">
        <v>400</v>
      </c>
      <c r="J50" s="18">
        <f t="shared" si="0"/>
        <v>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7">
        <v>400</v>
      </c>
      <c r="J51" s="18">
        <f t="shared" si="0"/>
        <v>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7">
        <v>600</v>
      </c>
      <c r="J52" s="18">
        <f t="shared" si="0"/>
        <v>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7">
        <v>400</v>
      </c>
      <c r="J53" s="18">
        <f t="shared" si="0"/>
        <v>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7">
        <v>600</v>
      </c>
      <c r="J54" s="18">
        <f t="shared" si="0"/>
        <v>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7">
        <v>400</v>
      </c>
      <c r="J55" s="18">
        <f t="shared" si="0"/>
        <v>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7">
        <v>598</v>
      </c>
      <c r="J56" s="18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7">
        <v>398</v>
      </c>
      <c r="J57" s="18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7">
        <v>600</v>
      </c>
      <c r="J58" s="18">
        <f t="shared" si="0"/>
        <v>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7">
        <v>400</v>
      </c>
      <c r="J59" s="18">
        <f t="shared" si="0"/>
        <v>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>
        <f>325+60</f>
        <v>385</v>
      </c>
      <c r="J64" s="9">
        <f t="shared" si="0"/>
        <v>15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7">
        <v>400</v>
      </c>
      <c r="J65" s="18">
        <f t="shared" si="0"/>
        <v>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7">
        <v>400</v>
      </c>
      <c r="J66" s="18">
        <f t="shared" si="0"/>
        <v>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7">
        <f>400+60</f>
        <v>460</v>
      </c>
      <c r="J67" s="18">
        <f t="shared" si="0"/>
        <v>-60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7">
        <v>400</v>
      </c>
      <c r="J68" s="18">
        <f t="shared" si="0"/>
        <v>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7">
        <v>400</v>
      </c>
      <c r="J69" s="18">
        <f t="shared" si="0"/>
        <v>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7">
        <v>400</v>
      </c>
      <c r="J70" s="18">
        <f t="shared" si="0"/>
        <v>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7">
        <v>400</v>
      </c>
      <c r="J71" s="18">
        <f t="shared" si="0"/>
        <v>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7">
        <v>400</v>
      </c>
      <c r="J72" s="18">
        <f t="shared" si="0"/>
        <v>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7">
        <v>400</v>
      </c>
      <c r="J73" s="18">
        <f t="shared" si="0"/>
        <v>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7">
        <v>403</v>
      </c>
      <c r="J74" s="18">
        <f t="shared" si="0"/>
        <v>-3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7">
        <v>400</v>
      </c>
      <c r="J75" s="18">
        <f t="shared" si="0"/>
        <v>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>
        <f>1600+1298+158</f>
        <v>3056</v>
      </c>
      <c r="J76" s="9">
        <f t="shared" si="0"/>
        <v>144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>
        <f>1600+1298+158</f>
        <v>3056</v>
      </c>
      <c r="J77" s="9">
        <f t="shared" si="0"/>
        <v>144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>
        <v>250074</v>
      </c>
      <c r="B79" s="7">
        <v>304</v>
      </c>
      <c r="C79" s="1">
        <v>0.7</v>
      </c>
      <c r="D79" s="1" t="s">
        <v>12</v>
      </c>
      <c r="E79" s="2" t="s">
        <v>80</v>
      </c>
      <c r="F79" s="7" t="s">
        <v>14</v>
      </c>
      <c r="G79" s="7">
        <v>430</v>
      </c>
      <c r="H79" s="9">
        <v>708</v>
      </c>
      <c r="I79" s="10">
        <v>590</v>
      </c>
      <c r="J79" s="9">
        <f t="shared" si="0"/>
        <v>118</v>
      </c>
    </row>
    <row r="80" spans="1:10" ht="15.6" x14ac:dyDescent="0.3">
      <c r="A80" s="7">
        <v>250074</v>
      </c>
      <c r="B80" s="7">
        <v>304</v>
      </c>
      <c r="C80" s="1">
        <v>0.7</v>
      </c>
      <c r="D80" s="1" t="s">
        <v>12</v>
      </c>
      <c r="E80" s="2" t="s">
        <v>81</v>
      </c>
      <c r="F80" s="7" t="s">
        <v>14</v>
      </c>
      <c r="G80" s="7">
        <v>430</v>
      </c>
      <c r="H80" s="9">
        <v>708</v>
      </c>
      <c r="I80" s="10">
        <v>600</v>
      </c>
      <c r="J80" s="9">
        <f t="shared" si="0"/>
        <v>108</v>
      </c>
    </row>
    <row r="81" spans="1:10" ht="15.6" x14ac:dyDescent="0.3">
      <c r="A81" s="7">
        <v>250074</v>
      </c>
      <c r="B81" s="7">
        <v>304</v>
      </c>
      <c r="C81" s="1">
        <v>0.7</v>
      </c>
      <c r="D81" s="1" t="s">
        <v>12</v>
      </c>
      <c r="E81" s="2" t="s">
        <v>82</v>
      </c>
      <c r="F81" s="7" t="s">
        <v>14</v>
      </c>
      <c r="G81" s="7">
        <v>430</v>
      </c>
      <c r="H81" s="9">
        <v>708</v>
      </c>
      <c r="I81" s="10">
        <v>398</v>
      </c>
      <c r="J81" s="9">
        <f t="shared" si="0"/>
        <v>310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>
        <v>100925</v>
      </c>
      <c r="B83" s="7">
        <v>304</v>
      </c>
      <c r="C83" s="1">
        <v>0.9</v>
      </c>
      <c r="D83" s="1" t="s">
        <v>17</v>
      </c>
      <c r="E83" s="2" t="s">
        <v>83</v>
      </c>
      <c r="F83" s="7" t="s">
        <v>14</v>
      </c>
      <c r="G83" s="7">
        <v>430</v>
      </c>
      <c r="H83" s="9">
        <v>1200</v>
      </c>
      <c r="I83" s="10">
        <v>526</v>
      </c>
      <c r="J83" s="9">
        <f t="shared" si="0"/>
        <v>674</v>
      </c>
    </row>
    <row r="84" spans="1:10" ht="15.6" x14ac:dyDescent="0.3">
      <c r="A84" s="7">
        <v>100925</v>
      </c>
      <c r="B84" s="7">
        <v>304</v>
      </c>
      <c r="C84" s="1">
        <v>0.9</v>
      </c>
      <c r="D84" s="1" t="s">
        <v>15</v>
      </c>
      <c r="E84" s="2" t="s">
        <v>84</v>
      </c>
      <c r="F84" s="7" t="s">
        <v>14</v>
      </c>
      <c r="G84" s="7" t="s">
        <v>15</v>
      </c>
      <c r="H84" s="9">
        <v>1200</v>
      </c>
      <c r="I84" s="10">
        <v>526</v>
      </c>
      <c r="J84" s="9">
        <f t="shared" si="0"/>
        <v>674</v>
      </c>
    </row>
    <row r="85" spans="1:10" ht="15.6" x14ac:dyDescent="0.3">
      <c r="A85" s="7">
        <v>100925</v>
      </c>
      <c r="B85" s="7">
        <v>304</v>
      </c>
      <c r="C85" s="1">
        <v>0.9</v>
      </c>
      <c r="D85" s="1" t="s">
        <v>17</v>
      </c>
      <c r="E85" s="2" t="s">
        <v>85</v>
      </c>
      <c r="F85" s="7" t="s">
        <v>14</v>
      </c>
      <c r="G85" s="7">
        <v>430</v>
      </c>
      <c r="H85" s="9">
        <v>1500</v>
      </c>
      <c r="I85" s="10"/>
      <c r="J85" s="9">
        <f t="shared" si="0"/>
        <v>1500</v>
      </c>
    </row>
    <row r="86" spans="1:10" ht="15.6" x14ac:dyDescent="0.3">
      <c r="A86" s="7">
        <v>100925</v>
      </c>
      <c r="B86" s="7">
        <v>304</v>
      </c>
      <c r="C86" s="1">
        <v>0.9</v>
      </c>
      <c r="D86" s="1" t="s">
        <v>15</v>
      </c>
      <c r="E86" s="2" t="s">
        <v>91</v>
      </c>
      <c r="F86" s="7" t="s">
        <v>14</v>
      </c>
      <c r="G86" s="7" t="s">
        <v>15</v>
      </c>
      <c r="H86" s="9">
        <v>1500</v>
      </c>
      <c r="I86" s="10"/>
      <c r="J86" s="9">
        <f t="shared" si="0"/>
        <v>1500</v>
      </c>
    </row>
    <row r="87" spans="1:10" ht="15.6" x14ac:dyDescent="0.3">
      <c r="A87" s="7">
        <v>100925</v>
      </c>
      <c r="B87" s="7">
        <v>304</v>
      </c>
      <c r="C87" s="1">
        <v>0.9</v>
      </c>
      <c r="D87" s="1" t="s">
        <v>17</v>
      </c>
      <c r="E87" s="2" t="s">
        <v>86</v>
      </c>
      <c r="F87" s="7" t="s">
        <v>14</v>
      </c>
      <c r="G87" s="7">
        <v>430</v>
      </c>
      <c r="H87" s="9">
        <v>1500</v>
      </c>
      <c r="I87" s="10"/>
      <c r="J87" s="9">
        <f t="shared" si="0"/>
        <v>1500</v>
      </c>
    </row>
    <row r="88" spans="1:10" ht="15.6" x14ac:dyDescent="0.3">
      <c r="A88" s="7">
        <v>100925</v>
      </c>
      <c r="B88" s="7">
        <v>304</v>
      </c>
      <c r="C88" s="1">
        <v>0.9</v>
      </c>
      <c r="D88" s="1" t="s">
        <v>15</v>
      </c>
      <c r="E88" s="2" t="s">
        <v>90</v>
      </c>
      <c r="F88" s="7" t="s">
        <v>14</v>
      </c>
      <c r="G88" s="7" t="s">
        <v>15</v>
      </c>
      <c r="H88" s="9">
        <v>1500</v>
      </c>
      <c r="I88" s="10"/>
      <c r="J88" s="9">
        <f t="shared" si="0"/>
        <v>1500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 t="s">
        <v>87</v>
      </c>
      <c r="B90" s="7">
        <v>304</v>
      </c>
      <c r="C90" s="1">
        <v>0.9</v>
      </c>
      <c r="D90" s="1" t="s">
        <v>17</v>
      </c>
      <c r="E90" s="2" t="s">
        <v>88</v>
      </c>
      <c r="F90" s="7" t="s">
        <v>14</v>
      </c>
      <c r="G90" s="7">
        <v>430</v>
      </c>
      <c r="H90" s="9">
        <v>1200</v>
      </c>
      <c r="I90" s="10">
        <v>698</v>
      </c>
      <c r="J90" s="9">
        <f t="shared" si="0"/>
        <v>502</v>
      </c>
    </row>
    <row r="91" spans="1:10" ht="15.6" x14ac:dyDescent="0.3">
      <c r="A91" s="7" t="s">
        <v>87</v>
      </c>
      <c r="B91" s="7">
        <v>304</v>
      </c>
      <c r="C91" s="1">
        <v>0.9</v>
      </c>
      <c r="D91" s="1" t="s">
        <v>15</v>
      </c>
      <c r="E91" s="2" t="s">
        <v>89</v>
      </c>
      <c r="F91" s="7" t="s">
        <v>14</v>
      </c>
      <c r="G91" s="7" t="s">
        <v>15</v>
      </c>
      <c r="H91" s="9">
        <v>1200</v>
      </c>
      <c r="I91" s="10">
        <v>698</v>
      </c>
      <c r="J91" s="9">
        <f t="shared" si="0"/>
        <v>502</v>
      </c>
    </row>
    <row r="92" spans="1:10" ht="15.6" x14ac:dyDescent="0.3">
      <c r="A92" s="7" t="s">
        <v>87</v>
      </c>
      <c r="B92" s="7">
        <v>304</v>
      </c>
      <c r="C92" s="1">
        <v>0.9</v>
      </c>
      <c r="D92" s="1" t="s">
        <v>17</v>
      </c>
      <c r="E92" s="2" t="s">
        <v>92</v>
      </c>
      <c r="F92" s="7" t="s">
        <v>14</v>
      </c>
      <c r="G92" s="7">
        <v>430</v>
      </c>
      <c r="H92" s="9">
        <v>1500</v>
      </c>
      <c r="I92" s="10"/>
      <c r="J92" s="9">
        <f t="shared" si="0"/>
        <v>1500</v>
      </c>
    </row>
    <row r="93" spans="1:10" ht="15.6" x14ac:dyDescent="0.3">
      <c r="A93" s="7" t="s">
        <v>87</v>
      </c>
      <c r="B93" s="7">
        <v>304</v>
      </c>
      <c r="C93" s="1">
        <v>0.9</v>
      </c>
      <c r="D93" s="1" t="s">
        <v>15</v>
      </c>
      <c r="E93" s="2" t="s">
        <v>93</v>
      </c>
      <c r="F93" s="7" t="s">
        <v>14</v>
      </c>
      <c r="G93" s="7" t="s">
        <v>15</v>
      </c>
      <c r="H93" s="9">
        <v>1500</v>
      </c>
      <c r="I93" s="10"/>
      <c r="J93" s="9">
        <f t="shared" si="0"/>
        <v>1500</v>
      </c>
    </row>
    <row r="94" spans="1:10" ht="15.6" x14ac:dyDescent="0.3">
      <c r="A94" s="7" t="s">
        <v>87</v>
      </c>
      <c r="B94" s="7">
        <v>304</v>
      </c>
      <c r="C94" s="1">
        <v>0.9</v>
      </c>
      <c r="D94" s="1" t="s">
        <v>17</v>
      </c>
      <c r="E94" s="2" t="s">
        <v>94</v>
      </c>
      <c r="F94" s="7" t="s">
        <v>14</v>
      </c>
      <c r="G94" s="7">
        <v>430</v>
      </c>
      <c r="H94" s="9">
        <v>1500</v>
      </c>
      <c r="I94" s="10"/>
      <c r="J94" s="9">
        <f t="shared" si="0"/>
        <v>1500</v>
      </c>
    </row>
    <row r="95" spans="1:10" ht="15.6" x14ac:dyDescent="0.3">
      <c r="A95" s="7" t="s">
        <v>87</v>
      </c>
      <c r="B95" s="7">
        <v>304</v>
      </c>
      <c r="C95" s="1">
        <v>0.9</v>
      </c>
      <c r="D95" s="1" t="s">
        <v>15</v>
      </c>
      <c r="E95" s="2" t="s">
        <v>95</v>
      </c>
      <c r="F95" s="7" t="s">
        <v>14</v>
      </c>
      <c r="G95" s="7" t="s">
        <v>15</v>
      </c>
      <c r="H95" s="9">
        <v>1500</v>
      </c>
      <c r="I95" s="10"/>
      <c r="J95" s="9">
        <f t="shared" si="0"/>
        <v>1500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>
        <v>160925</v>
      </c>
      <c r="B97" s="7">
        <v>304</v>
      </c>
      <c r="C97" s="1">
        <v>0.9</v>
      </c>
      <c r="D97" s="1" t="s">
        <v>17</v>
      </c>
      <c r="E97" s="2" t="s">
        <v>96</v>
      </c>
      <c r="F97" s="7" t="s">
        <v>14</v>
      </c>
      <c r="G97" s="7">
        <v>430</v>
      </c>
      <c r="H97" s="9">
        <v>1100</v>
      </c>
      <c r="I97" s="10"/>
      <c r="J97" s="9">
        <f t="shared" si="0"/>
        <v>1100</v>
      </c>
    </row>
    <row r="98" spans="1:10" ht="15.6" x14ac:dyDescent="0.3">
      <c r="A98" s="7">
        <v>160925</v>
      </c>
      <c r="B98" s="7">
        <v>304</v>
      </c>
      <c r="C98" s="1">
        <v>0.9</v>
      </c>
      <c r="D98" s="1" t="s">
        <v>15</v>
      </c>
      <c r="E98" s="2" t="s">
        <v>97</v>
      </c>
      <c r="F98" s="7" t="s">
        <v>14</v>
      </c>
      <c r="G98" s="7" t="s">
        <v>15</v>
      </c>
      <c r="H98" s="9">
        <v>1100</v>
      </c>
      <c r="I98" s="10"/>
      <c r="J98" s="9">
        <f t="shared" si="0"/>
        <v>1100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81857</v>
      </c>
      <c r="I145" s="10">
        <f>SUM(I4:I144)</f>
        <v>54502</v>
      </c>
      <c r="J145" s="9">
        <f>SUM(J4:J144)</f>
        <v>27355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zoomScale="85" zoomScaleNormal="85" workbookViewId="0">
      <selection activeCell="A2" sqref="A2:J2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45945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7">
        <f>1280+720+1240+731</f>
        <v>3971</v>
      </c>
      <c r="J5" s="18">
        <f t="shared" si="0"/>
        <v>29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</f>
        <v>2951</v>
      </c>
      <c r="J8" s="9">
        <f t="shared" si="0"/>
        <v>349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</f>
        <v>2951</v>
      </c>
      <c r="J9" s="9">
        <f t="shared" si="0"/>
        <v>349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</f>
        <v>3018</v>
      </c>
      <c r="J10" s="9">
        <f t="shared" si="0"/>
        <v>82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</f>
        <v>3018</v>
      </c>
      <c r="J11" s="9">
        <f t="shared" si="0"/>
        <v>82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7">
        <v>835</v>
      </c>
      <c r="J12" s="18">
        <f t="shared" si="0"/>
        <v>-31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7">
        <f>400+120</f>
        <v>520</v>
      </c>
      <c r="J22" s="18">
        <f t="shared" si="0"/>
        <v>-120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>
        <v>248</v>
      </c>
      <c r="J23" s="9">
        <f t="shared" si="0"/>
        <v>152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7">
        <v>401</v>
      </c>
      <c r="J24" s="18">
        <f t="shared" si="0"/>
        <v>-1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7">
        <f>365+120</f>
        <v>485</v>
      </c>
      <c r="J25" s="18">
        <f t="shared" si="0"/>
        <v>-85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f>401+120+5</f>
        <v>526</v>
      </c>
      <c r="J28" s="18">
        <f t="shared" si="0"/>
        <v>-126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7">
        <v>400</v>
      </c>
      <c r="J31" s="18">
        <f t="shared" si="0"/>
        <v>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7">
        <v>400</v>
      </c>
      <c r="J32" s="18">
        <f t="shared" si="0"/>
        <v>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7">
        <v>400</v>
      </c>
      <c r="J33" s="18">
        <f t="shared" si="0"/>
        <v>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7">
        <v>400</v>
      </c>
      <c r="J34" s="18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7">
        <v>399</v>
      </c>
      <c r="J38" s="18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7">
        <v>405</v>
      </c>
      <c r="J39" s="18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7">
        <f>400+58+11</f>
        <v>469</v>
      </c>
      <c r="J40" s="18">
        <f t="shared" si="0"/>
        <v>-69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7">
        <v>400</v>
      </c>
      <c r="J41" s="18">
        <f t="shared" si="0"/>
        <v>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>
        <v>360</v>
      </c>
      <c r="J42" s="9">
        <f t="shared" si="0"/>
        <v>40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7">
        <f>410+60+11</f>
        <v>481</v>
      </c>
      <c r="J43" s="18">
        <f t="shared" si="0"/>
        <v>-81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7">
        <v>400</v>
      </c>
      <c r="J44" s="18">
        <f t="shared" si="0"/>
        <v>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7">
        <v>400</v>
      </c>
      <c r="J46" s="18">
        <f t="shared" si="0"/>
        <v>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7">
        <v>400</v>
      </c>
      <c r="J47" s="18">
        <f t="shared" si="0"/>
        <v>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7">
        <v>400</v>
      </c>
      <c r="J48" s="18">
        <f t="shared" si="0"/>
        <v>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7">
        <v>402</v>
      </c>
      <c r="J49" s="18">
        <f t="shared" si="0"/>
        <v>-2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7">
        <v>400</v>
      </c>
      <c r="J50" s="18">
        <f t="shared" si="0"/>
        <v>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7">
        <v>400</v>
      </c>
      <c r="J51" s="18">
        <f t="shared" si="0"/>
        <v>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7">
        <v>600</v>
      </c>
      <c r="J52" s="18">
        <f t="shared" si="0"/>
        <v>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7">
        <v>400</v>
      </c>
      <c r="J53" s="18">
        <f t="shared" si="0"/>
        <v>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7">
        <v>600</v>
      </c>
      <c r="J54" s="18">
        <f t="shared" si="0"/>
        <v>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7">
        <v>400</v>
      </c>
      <c r="J55" s="18">
        <f t="shared" si="0"/>
        <v>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7">
        <v>598</v>
      </c>
      <c r="J56" s="18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7">
        <v>398</v>
      </c>
      <c r="J57" s="18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7">
        <v>600</v>
      </c>
      <c r="J58" s="18">
        <f t="shared" si="0"/>
        <v>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7">
        <v>400</v>
      </c>
      <c r="J59" s="18">
        <f t="shared" si="0"/>
        <v>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>
        <f>325+60</f>
        <v>385</v>
      </c>
      <c r="J64" s="9">
        <f t="shared" si="0"/>
        <v>15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7">
        <v>400</v>
      </c>
      <c r="J65" s="18">
        <f t="shared" si="0"/>
        <v>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7">
        <v>400</v>
      </c>
      <c r="J66" s="18">
        <f t="shared" si="0"/>
        <v>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7">
        <f>400+60</f>
        <v>460</v>
      </c>
      <c r="J67" s="18">
        <f t="shared" si="0"/>
        <v>-60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7">
        <v>400</v>
      </c>
      <c r="J68" s="18">
        <f t="shared" si="0"/>
        <v>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7">
        <v>400</v>
      </c>
      <c r="J69" s="18">
        <f t="shared" si="0"/>
        <v>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7">
        <v>400</v>
      </c>
      <c r="J70" s="18">
        <f t="shared" si="0"/>
        <v>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7">
        <v>400</v>
      </c>
      <c r="J71" s="18">
        <f t="shared" si="0"/>
        <v>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7">
        <v>400</v>
      </c>
      <c r="J72" s="18">
        <f t="shared" si="0"/>
        <v>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7">
        <v>400</v>
      </c>
      <c r="J73" s="18">
        <f t="shared" si="0"/>
        <v>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7">
        <v>403</v>
      </c>
      <c r="J74" s="18">
        <f t="shared" si="0"/>
        <v>-3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7">
        <v>400</v>
      </c>
      <c r="J75" s="18">
        <f t="shared" si="0"/>
        <v>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>
        <f>1600+1298+158</f>
        <v>3056</v>
      </c>
      <c r="J76" s="9">
        <f t="shared" si="0"/>
        <v>144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>
        <f>1600+1298+158</f>
        <v>3056</v>
      </c>
      <c r="J77" s="9">
        <f t="shared" si="0"/>
        <v>144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>
        <v>250074</v>
      </c>
      <c r="B79" s="7">
        <v>304</v>
      </c>
      <c r="C79" s="1">
        <v>0.7</v>
      </c>
      <c r="D79" s="1" t="s">
        <v>12</v>
      </c>
      <c r="E79" s="2" t="s">
        <v>80</v>
      </c>
      <c r="F79" s="7" t="s">
        <v>14</v>
      </c>
      <c r="G79" s="7">
        <v>430</v>
      </c>
      <c r="H79" s="9">
        <v>708</v>
      </c>
      <c r="I79" s="10">
        <v>590</v>
      </c>
      <c r="J79" s="9">
        <f t="shared" si="0"/>
        <v>118</v>
      </c>
    </row>
    <row r="80" spans="1:10" ht="15.6" x14ac:dyDescent="0.3">
      <c r="A80" s="7">
        <v>250074</v>
      </c>
      <c r="B80" s="7">
        <v>304</v>
      </c>
      <c r="C80" s="1">
        <v>0.7</v>
      </c>
      <c r="D80" s="1" t="s">
        <v>12</v>
      </c>
      <c r="E80" s="2" t="s">
        <v>81</v>
      </c>
      <c r="F80" s="7" t="s">
        <v>14</v>
      </c>
      <c r="G80" s="7">
        <v>430</v>
      </c>
      <c r="H80" s="9">
        <v>708</v>
      </c>
      <c r="I80" s="10">
        <v>600</v>
      </c>
      <c r="J80" s="9">
        <f t="shared" si="0"/>
        <v>108</v>
      </c>
    </row>
    <row r="81" spans="1:10" ht="15.6" x14ac:dyDescent="0.3">
      <c r="A81" s="7">
        <v>250074</v>
      </c>
      <c r="B81" s="7">
        <v>304</v>
      </c>
      <c r="C81" s="1">
        <v>0.7</v>
      </c>
      <c r="D81" s="1" t="s">
        <v>12</v>
      </c>
      <c r="E81" s="2" t="s">
        <v>82</v>
      </c>
      <c r="F81" s="7" t="s">
        <v>14</v>
      </c>
      <c r="G81" s="7">
        <v>430</v>
      </c>
      <c r="H81" s="9">
        <v>708</v>
      </c>
      <c r="I81" s="10">
        <v>398</v>
      </c>
      <c r="J81" s="9">
        <f t="shared" si="0"/>
        <v>310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>
        <v>100925</v>
      </c>
      <c r="B83" s="7">
        <v>304</v>
      </c>
      <c r="C83" s="1">
        <v>0.9</v>
      </c>
      <c r="D83" s="1" t="s">
        <v>17</v>
      </c>
      <c r="E83" s="2" t="s">
        <v>83</v>
      </c>
      <c r="F83" s="7" t="s">
        <v>14</v>
      </c>
      <c r="G83" s="7">
        <v>430</v>
      </c>
      <c r="H83" s="9">
        <v>1200</v>
      </c>
      <c r="I83" s="10">
        <v>526</v>
      </c>
      <c r="J83" s="9">
        <f t="shared" si="0"/>
        <v>674</v>
      </c>
    </row>
    <row r="84" spans="1:10" ht="15.6" x14ac:dyDescent="0.3">
      <c r="A84" s="7">
        <v>100925</v>
      </c>
      <c r="B84" s="7">
        <v>304</v>
      </c>
      <c r="C84" s="1">
        <v>0.9</v>
      </c>
      <c r="D84" s="1" t="s">
        <v>15</v>
      </c>
      <c r="E84" s="2" t="s">
        <v>84</v>
      </c>
      <c r="F84" s="7" t="s">
        <v>14</v>
      </c>
      <c r="G84" s="7" t="s">
        <v>15</v>
      </c>
      <c r="H84" s="9">
        <v>1200</v>
      </c>
      <c r="I84" s="10">
        <v>526</v>
      </c>
      <c r="J84" s="9">
        <f t="shared" si="0"/>
        <v>674</v>
      </c>
    </row>
    <row r="85" spans="1:10" ht="15.6" x14ac:dyDescent="0.3">
      <c r="A85" s="7">
        <v>100925</v>
      </c>
      <c r="B85" s="7">
        <v>304</v>
      </c>
      <c r="C85" s="1">
        <v>0.9</v>
      </c>
      <c r="D85" s="1" t="s">
        <v>17</v>
      </c>
      <c r="E85" s="2" t="s">
        <v>85</v>
      </c>
      <c r="F85" s="7" t="s">
        <v>14</v>
      </c>
      <c r="G85" s="7">
        <v>430</v>
      </c>
      <c r="H85" s="9">
        <v>1500</v>
      </c>
      <c r="I85" s="10"/>
      <c r="J85" s="9">
        <f t="shared" si="0"/>
        <v>1500</v>
      </c>
    </row>
    <row r="86" spans="1:10" ht="15.6" x14ac:dyDescent="0.3">
      <c r="A86" s="7">
        <v>100925</v>
      </c>
      <c r="B86" s="7">
        <v>304</v>
      </c>
      <c r="C86" s="1">
        <v>0.9</v>
      </c>
      <c r="D86" s="1" t="s">
        <v>15</v>
      </c>
      <c r="E86" s="2" t="s">
        <v>91</v>
      </c>
      <c r="F86" s="7" t="s">
        <v>14</v>
      </c>
      <c r="G86" s="7" t="s">
        <v>15</v>
      </c>
      <c r="H86" s="9">
        <v>1500</v>
      </c>
      <c r="I86" s="10"/>
      <c r="J86" s="9">
        <f t="shared" si="0"/>
        <v>1500</v>
      </c>
    </row>
    <row r="87" spans="1:10" ht="15.6" x14ac:dyDescent="0.3">
      <c r="A87" s="7">
        <v>100925</v>
      </c>
      <c r="B87" s="7">
        <v>304</v>
      </c>
      <c r="C87" s="1">
        <v>0.9</v>
      </c>
      <c r="D87" s="1" t="s">
        <v>17</v>
      </c>
      <c r="E87" s="2" t="s">
        <v>86</v>
      </c>
      <c r="F87" s="7" t="s">
        <v>14</v>
      </c>
      <c r="G87" s="7">
        <v>430</v>
      </c>
      <c r="H87" s="9">
        <v>1500</v>
      </c>
      <c r="I87" s="10"/>
      <c r="J87" s="9">
        <f t="shared" si="0"/>
        <v>1500</v>
      </c>
    </row>
    <row r="88" spans="1:10" ht="15.6" x14ac:dyDescent="0.3">
      <c r="A88" s="7">
        <v>100925</v>
      </c>
      <c r="B88" s="7">
        <v>304</v>
      </c>
      <c r="C88" s="1">
        <v>0.9</v>
      </c>
      <c r="D88" s="1" t="s">
        <v>15</v>
      </c>
      <c r="E88" s="2" t="s">
        <v>90</v>
      </c>
      <c r="F88" s="7" t="s">
        <v>14</v>
      </c>
      <c r="G88" s="7" t="s">
        <v>15</v>
      </c>
      <c r="H88" s="9">
        <v>1500</v>
      </c>
      <c r="I88" s="10"/>
      <c r="J88" s="9">
        <f t="shared" si="0"/>
        <v>1500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 t="s">
        <v>87</v>
      </c>
      <c r="B90" s="7">
        <v>304</v>
      </c>
      <c r="C90" s="1">
        <v>0.9</v>
      </c>
      <c r="D90" s="1" t="s">
        <v>17</v>
      </c>
      <c r="E90" s="2" t="s">
        <v>88</v>
      </c>
      <c r="F90" s="7" t="s">
        <v>14</v>
      </c>
      <c r="G90" s="7">
        <v>430</v>
      </c>
      <c r="H90" s="9">
        <v>1200</v>
      </c>
      <c r="I90" s="10">
        <v>698</v>
      </c>
      <c r="J90" s="9">
        <f t="shared" si="0"/>
        <v>502</v>
      </c>
    </row>
    <row r="91" spans="1:10" ht="15.6" x14ac:dyDescent="0.3">
      <c r="A91" s="7" t="s">
        <v>87</v>
      </c>
      <c r="B91" s="7">
        <v>304</v>
      </c>
      <c r="C91" s="1">
        <v>0.9</v>
      </c>
      <c r="D91" s="1" t="s">
        <v>15</v>
      </c>
      <c r="E91" s="2" t="s">
        <v>89</v>
      </c>
      <c r="F91" s="7" t="s">
        <v>14</v>
      </c>
      <c r="G91" s="7" t="s">
        <v>15</v>
      </c>
      <c r="H91" s="9">
        <v>1200</v>
      </c>
      <c r="I91" s="10">
        <v>698</v>
      </c>
      <c r="J91" s="9">
        <f t="shared" si="0"/>
        <v>502</v>
      </c>
    </row>
    <row r="92" spans="1:10" ht="15.6" x14ac:dyDescent="0.3">
      <c r="A92" s="7" t="s">
        <v>87</v>
      </c>
      <c r="B92" s="7">
        <v>304</v>
      </c>
      <c r="C92" s="1">
        <v>0.9</v>
      </c>
      <c r="D92" s="1" t="s">
        <v>17</v>
      </c>
      <c r="E92" s="2" t="s">
        <v>92</v>
      </c>
      <c r="F92" s="7" t="s">
        <v>14</v>
      </c>
      <c r="G92" s="7">
        <v>430</v>
      </c>
      <c r="H92" s="9">
        <v>1500</v>
      </c>
      <c r="I92" s="10"/>
      <c r="J92" s="9">
        <f t="shared" si="0"/>
        <v>1500</v>
      </c>
    </row>
    <row r="93" spans="1:10" ht="15.6" x14ac:dyDescent="0.3">
      <c r="A93" s="7" t="s">
        <v>87</v>
      </c>
      <c r="B93" s="7">
        <v>304</v>
      </c>
      <c r="C93" s="1">
        <v>0.9</v>
      </c>
      <c r="D93" s="1" t="s">
        <v>15</v>
      </c>
      <c r="E93" s="2" t="s">
        <v>93</v>
      </c>
      <c r="F93" s="7" t="s">
        <v>14</v>
      </c>
      <c r="G93" s="7" t="s">
        <v>15</v>
      </c>
      <c r="H93" s="9">
        <v>1500</v>
      </c>
      <c r="I93" s="10"/>
      <c r="J93" s="9">
        <f t="shared" si="0"/>
        <v>1500</v>
      </c>
    </row>
    <row r="94" spans="1:10" ht="15.6" x14ac:dyDescent="0.3">
      <c r="A94" s="7" t="s">
        <v>87</v>
      </c>
      <c r="B94" s="7">
        <v>304</v>
      </c>
      <c r="C94" s="1">
        <v>0.9</v>
      </c>
      <c r="D94" s="1" t="s">
        <v>17</v>
      </c>
      <c r="E94" s="2" t="s">
        <v>94</v>
      </c>
      <c r="F94" s="7" t="s">
        <v>14</v>
      </c>
      <c r="G94" s="7">
        <v>430</v>
      </c>
      <c r="H94" s="9">
        <v>1500</v>
      </c>
      <c r="I94" s="10"/>
      <c r="J94" s="9">
        <f t="shared" si="0"/>
        <v>1500</v>
      </c>
    </row>
    <row r="95" spans="1:10" ht="15.6" x14ac:dyDescent="0.3">
      <c r="A95" s="7" t="s">
        <v>87</v>
      </c>
      <c r="B95" s="7">
        <v>304</v>
      </c>
      <c r="C95" s="1">
        <v>0.9</v>
      </c>
      <c r="D95" s="1" t="s">
        <v>15</v>
      </c>
      <c r="E95" s="2" t="s">
        <v>95</v>
      </c>
      <c r="F95" s="7" t="s">
        <v>14</v>
      </c>
      <c r="G95" s="7" t="s">
        <v>15</v>
      </c>
      <c r="H95" s="9">
        <v>1500</v>
      </c>
      <c r="I95" s="10"/>
      <c r="J95" s="9">
        <f t="shared" si="0"/>
        <v>1500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>
        <v>160925</v>
      </c>
      <c r="B97" s="7">
        <v>304</v>
      </c>
      <c r="C97" s="1">
        <v>0.9</v>
      </c>
      <c r="D97" s="1" t="s">
        <v>17</v>
      </c>
      <c r="E97" s="2" t="s">
        <v>96</v>
      </c>
      <c r="F97" s="7" t="s">
        <v>14</v>
      </c>
      <c r="G97" s="7">
        <v>430</v>
      </c>
      <c r="H97" s="9">
        <v>1100</v>
      </c>
      <c r="I97" s="10"/>
      <c r="J97" s="9">
        <f t="shared" si="0"/>
        <v>1100</v>
      </c>
    </row>
    <row r="98" spans="1:10" ht="15.6" x14ac:dyDescent="0.3">
      <c r="A98" s="7">
        <v>160925</v>
      </c>
      <c r="B98" s="7">
        <v>304</v>
      </c>
      <c r="C98" s="1">
        <v>0.9</v>
      </c>
      <c r="D98" s="1" t="s">
        <v>15</v>
      </c>
      <c r="E98" s="2" t="s">
        <v>97</v>
      </c>
      <c r="F98" s="7" t="s">
        <v>14</v>
      </c>
      <c r="G98" s="7" t="s">
        <v>15</v>
      </c>
      <c r="H98" s="9">
        <v>1100</v>
      </c>
      <c r="I98" s="10"/>
      <c r="J98" s="9">
        <f t="shared" si="0"/>
        <v>1100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81857</v>
      </c>
      <c r="I145" s="10">
        <f>SUM(I4:I144)</f>
        <v>54502</v>
      </c>
      <c r="J145" s="9">
        <f>SUM(J4:J144)</f>
        <v>27355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topLeftCell="A82" zoomScale="85" zoomScaleNormal="85" workbookViewId="0">
      <selection activeCell="I94" sqref="I94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45946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144" si="0">H4-I4</f>
        <v>700</v>
      </c>
    </row>
    <row r="5" spans="1:10" ht="19.95" customHeight="1" x14ac:dyDescent="0.3">
      <c r="A5" s="7">
        <v>210825</v>
      </c>
      <c r="B5" s="7">
        <v>304</v>
      </c>
      <c r="C5" s="1">
        <v>0.7</v>
      </c>
      <c r="D5" s="1" t="s">
        <v>15</v>
      </c>
      <c r="E5" s="2" t="s">
        <v>16</v>
      </c>
      <c r="F5" s="7" t="s">
        <v>14</v>
      </c>
      <c r="G5" s="7" t="s">
        <v>15</v>
      </c>
      <c r="H5" s="9">
        <v>4000</v>
      </c>
      <c r="I5" s="17">
        <f>1280+720+1240+731+61</f>
        <v>4032</v>
      </c>
      <c r="J5" s="18">
        <f t="shared" si="0"/>
        <v>-32</v>
      </c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</f>
        <v>2002</v>
      </c>
      <c r="J6" s="9">
        <f t="shared" si="0"/>
        <v>1298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</f>
        <v>2002</v>
      </c>
      <c r="J7" s="9">
        <f t="shared" si="0"/>
        <v>1298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</f>
        <v>2951</v>
      </c>
      <c r="J8" s="9">
        <f t="shared" si="0"/>
        <v>349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</f>
        <v>2951</v>
      </c>
      <c r="J9" s="9">
        <f t="shared" si="0"/>
        <v>349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</f>
        <v>3018</v>
      </c>
      <c r="J10" s="9">
        <f t="shared" si="0"/>
        <v>82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</f>
        <v>3018</v>
      </c>
      <c r="J11" s="9">
        <f t="shared" si="0"/>
        <v>82</v>
      </c>
    </row>
    <row r="12" spans="1:10" ht="15.6" x14ac:dyDescent="0.3">
      <c r="A12" s="7">
        <v>250075</v>
      </c>
      <c r="B12" s="7">
        <v>304</v>
      </c>
      <c r="C12" s="1">
        <v>0.9</v>
      </c>
      <c r="D12" s="1" t="s">
        <v>15</v>
      </c>
      <c r="E12" s="2" t="s">
        <v>24</v>
      </c>
      <c r="F12" s="7" t="s">
        <v>14</v>
      </c>
      <c r="G12" s="7" t="s">
        <v>15</v>
      </c>
      <c r="H12" s="9">
        <v>804</v>
      </c>
      <c r="I12" s="17">
        <v>835</v>
      </c>
      <c r="J12" s="18">
        <f t="shared" si="0"/>
        <v>-31</v>
      </c>
    </row>
    <row r="13" spans="1:10" ht="15.6" x14ac:dyDescent="0.3">
      <c r="A13" s="7">
        <v>250075</v>
      </c>
      <c r="B13" s="7">
        <v>304</v>
      </c>
      <c r="C13" s="1">
        <v>0.9</v>
      </c>
      <c r="D13" s="1" t="s">
        <v>15</v>
      </c>
      <c r="E13" s="2" t="s">
        <v>25</v>
      </c>
      <c r="F13" s="7" t="s">
        <v>14</v>
      </c>
      <c r="G13" s="7" t="s">
        <v>15</v>
      </c>
      <c r="H13" s="9">
        <v>804</v>
      </c>
      <c r="I13" s="17">
        <f>420+417</f>
        <v>837</v>
      </c>
      <c r="J13" s="18">
        <f t="shared" si="0"/>
        <v>-33</v>
      </c>
    </row>
    <row r="14" spans="1:10" ht="15.6" x14ac:dyDescent="0.3">
      <c r="A14" s="7">
        <v>250054</v>
      </c>
      <c r="B14" s="7">
        <v>304</v>
      </c>
      <c r="C14" s="1">
        <v>0.7</v>
      </c>
      <c r="D14" s="1" t="s">
        <v>12</v>
      </c>
      <c r="E14" s="2" t="s">
        <v>26</v>
      </c>
      <c r="F14" s="7" t="s">
        <v>14</v>
      </c>
      <c r="G14" s="7">
        <v>304</v>
      </c>
      <c r="H14" s="9">
        <v>825</v>
      </c>
      <c r="I14" s="17">
        <f>299+550</f>
        <v>849</v>
      </c>
      <c r="J14" s="18">
        <f t="shared" si="0"/>
        <v>-24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27</v>
      </c>
      <c r="F15" s="7" t="s">
        <v>14</v>
      </c>
      <c r="G15" s="7">
        <v>304</v>
      </c>
      <c r="H15" s="9">
        <v>1000</v>
      </c>
      <c r="I15" s="10"/>
      <c r="J15" s="9">
        <f t="shared" si="0"/>
        <v>1000</v>
      </c>
    </row>
    <row r="16" spans="1:10" ht="15.6" x14ac:dyDescent="0.3">
      <c r="A16" s="7">
        <v>250041</v>
      </c>
      <c r="B16" s="7">
        <v>304</v>
      </c>
      <c r="C16" s="1">
        <v>0.9</v>
      </c>
      <c r="D16" s="1" t="s">
        <v>17</v>
      </c>
      <c r="E16" s="2" t="s">
        <v>28</v>
      </c>
      <c r="F16" s="7" t="s">
        <v>14</v>
      </c>
      <c r="G16" s="7">
        <v>304</v>
      </c>
      <c r="H16" s="9">
        <v>1000</v>
      </c>
      <c r="I16" s="10"/>
      <c r="J16" s="9">
        <f t="shared" si="0"/>
        <v>1000</v>
      </c>
    </row>
    <row r="17" spans="1:10" ht="15.6" x14ac:dyDescent="0.3">
      <c r="A17" s="7">
        <v>250041</v>
      </c>
      <c r="B17" s="7">
        <v>304</v>
      </c>
      <c r="C17" s="1">
        <v>0.9</v>
      </c>
      <c r="D17" s="1" t="s">
        <v>17</v>
      </c>
      <c r="E17" s="2" t="s">
        <v>29</v>
      </c>
      <c r="F17" s="7" t="s">
        <v>14</v>
      </c>
      <c r="G17" s="7">
        <v>304</v>
      </c>
      <c r="H17" s="9">
        <v>1000</v>
      </c>
      <c r="I17" s="10"/>
      <c r="J17" s="9">
        <f t="shared" si="0"/>
        <v>1000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30</v>
      </c>
      <c r="F18" s="7" t="s">
        <v>14</v>
      </c>
      <c r="G18" s="7">
        <v>304</v>
      </c>
      <c r="H18" s="9">
        <v>500</v>
      </c>
      <c r="I18" s="10"/>
      <c r="J18" s="9">
        <f t="shared" si="0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32</v>
      </c>
      <c r="F19" s="7" t="s">
        <v>14</v>
      </c>
      <c r="G19" s="7">
        <v>304</v>
      </c>
      <c r="H19" s="9">
        <v>500</v>
      </c>
      <c r="I19" s="10"/>
      <c r="J19" s="9">
        <f t="shared" si="0"/>
        <v>500</v>
      </c>
    </row>
    <row r="20" spans="1:10" ht="15.6" x14ac:dyDescent="0.3">
      <c r="A20" s="7">
        <v>250041</v>
      </c>
      <c r="B20" s="7">
        <v>304</v>
      </c>
      <c r="C20" s="1">
        <v>0.7</v>
      </c>
      <c r="D20" s="1" t="s">
        <v>17</v>
      </c>
      <c r="E20" s="2" t="s">
        <v>31</v>
      </c>
      <c r="F20" s="7" t="s">
        <v>14</v>
      </c>
      <c r="G20" s="7">
        <v>304</v>
      </c>
      <c r="H20" s="9">
        <v>500</v>
      </c>
      <c r="I20" s="10"/>
      <c r="J20" s="9">
        <f t="shared" si="0"/>
        <v>500</v>
      </c>
    </row>
    <row r="21" spans="1:10" ht="15.6" x14ac:dyDescent="0.3">
      <c r="A21" s="7">
        <v>250041</v>
      </c>
      <c r="B21" s="7">
        <v>304</v>
      </c>
      <c r="C21" s="1">
        <v>0.7</v>
      </c>
      <c r="D21" s="1" t="s">
        <v>17</v>
      </c>
      <c r="E21" s="2" t="s">
        <v>33</v>
      </c>
      <c r="F21" s="7" t="s">
        <v>14</v>
      </c>
      <c r="G21" s="7">
        <v>304</v>
      </c>
      <c r="H21" s="9">
        <v>500</v>
      </c>
      <c r="I21" s="10"/>
      <c r="J21" s="9">
        <f t="shared" si="0"/>
        <v>500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35</v>
      </c>
      <c r="F22" s="7" t="s">
        <v>14</v>
      </c>
      <c r="G22" s="7">
        <v>304</v>
      </c>
      <c r="H22" s="9">
        <v>400</v>
      </c>
      <c r="I22" s="17">
        <f>400+120</f>
        <v>520</v>
      </c>
      <c r="J22" s="18">
        <f t="shared" si="0"/>
        <v>-120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36</v>
      </c>
      <c r="F23" s="7" t="s">
        <v>14</v>
      </c>
      <c r="G23" s="7">
        <v>304</v>
      </c>
      <c r="H23" s="9">
        <v>400</v>
      </c>
      <c r="I23" s="10">
        <v>248</v>
      </c>
      <c r="J23" s="9">
        <f t="shared" si="0"/>
        <v>152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37</v>
      </c>
      <c r="F24" s="7" t="s">
        <v>14</v>
      </c>
      <c r="G24" s="7">
        <v>304</v>
      </c>
      <c r="H24" s="9">
        <v>400</v>
      </c>
      <c r="I24" s="17">
        <v>401</v>
      </c>
      <c r="J24" s="18">
        <f t="shared" si="0"/>
        <v>-1</v>
      </c>
    </row>
    <row r="25" spans="1:10" ht="15.6" x14ac:dyDescent="0.3">
      <c r="A25" s="7">
        <v>250039</v>
      </c>
      <c r="B25" s="7">
        <v>304</v>
      </c>
      <c r="C25" s="1">
        <v>0.7</v>
      </c>
      <c r="D25" s="1" t="s">
        <v>34</v>
      </c>
      <c r="E25" s="2" t="s">
        <v>38</v>
      </c>
      <c r="F25" s="7" t="s">
        <v>14</v>
      </c>
      <c r="G25" s="7">
        <v>304</v>
      </c>
      <c r="H25" s="9">
        <v>400</v>
      </c>
      <c r="I25" s="17">
        <f>365+120</f>
        <v>485</v>
      </c>
      <c r="J25" s="18">
        <f t="shared" si="0"/>
        <v>-85</v>
      </c>
    </row>
    <row r="26" spans="1:10" ht="15.6" x14ac:dyDescent="0.3">
      <c r="A26" s="7">
        <v>250039</v>
      </c>
      <c r="B26" s="7">
        <v>304</v>
      </c>
      <c r="C26" s="1">
        <v>0.7</v>
      </c>
      <c r="D26" s="1" t="s">
        <v>34</v>
      </c>
      <c r="E26" s="2" t="s">
        <v>39</v>
      </c>
      <c r="F26" s="7" t="s">
        <v>14</v>
      </c>
      <c r="G26" s="7">
        <v>304</v>
      </c>
      <c r="H26" s="9">
        <v>400</v>
      </c>
      <c r="I26" s="17">
        <v>400</v>
      </c>
      <c r="J26" s="18">
        <f t="shared" si="0"/>
        <v>0</v>
      </c>
    </row>
    <row r="27" spans="1:10" ht="15.6" x14ac:dyDescent="0.3">
      <c r="A27" s="7">
        <v>250039</v>
      </c>
      <c r="B27" s="7">
        <v>304</v>
      </c>
      <c r="C27" s="1">
        <v>0.7</v>
      </c>
      <c r="D27" s="1" t="s">
        <v>34</v>
      </c>
      <c r="E27" s="2" t="s">
        <v>40</v>
      </c>
      <c r="F27" s="7" t="s">
        <v>14</v>
      </c>
      <c r="G27" s="7">
        <v>304</v>
      </c>
      <c r="H27" s="9">
        <v>400</v>
      </c>
      <c r="I27" s="17">
        <v>405</v>
      </c>
      <c r="J27" s="18">
        <f t="shared" si="0"/>
        <v>-5</v>
      </c>
    </row>
    <row r="28" spans="1:10" ht="15.6" x14ac:dyDescent="0.3">
      <c r="A28" s="7">
        <v>250039</v>
      </c>
      <c r="B28" s="7">
        <v>304</v>
      </c>
      <c r="C28" s="1">
        <v>0.7</v>
      </c>
      <c r="D28" s="1" t="s">
        <v>34</v>
      </c>
      <c r="E28" s="2" t="s">
        <v>41</v>
      </c>
      <c r="F28" s="7" t="s">
        <v>14</v>
      </c>
      <c r="G28" s="7">
        <v>304</v>
      </c>
      <c r="H28" s="9">
        <v>400</v>
      </c>
      <c r="I28" s="17">
        <f>401+120+5</f>
        <v>526</v>
      </c>
      <c r="J28" s="18">
        <f t="shared" si="0"/>
        <v>-126</v>
      </c>
    </row>
    <row r="29" spans="1:10" ht="15.6" x14ac:dyDescent="0.3">
      <c r="A29" s="7">
        <v>250039</v>
      </c>
      <c r="B29" s="7">
        <v>304</v>
      </c>
      <c r="C29" s="1">
        <v>0.7</v>
      </c>
      <c r="D29" s="1" t="s">
        <v>34</v>
      </c>
      <c r="E29" s="2" t="s">
        <v>42</v>
      </c>
      <c r="F29" s="7" t="s">
        <v>14</v>
      </c>
      <c r="G29" s="7">
        <v>304</v>
      </c>
      <c r="H29" s="9">
        <v>400</v>
      </c>
      <c r="I29" s="17">
        <v>400</v>
      </c>
      <c r="J29" s="18">
        <f t="shared" si="0"/>
        <v>0</v>
      </c>
    </row>
    <row r="30" spans="1:10" ht="15.6" x14ac:dyDescent="0.3">
      <c r="A30" s="7">
        <v>250039</v>
      </c>
      <c r="B30" s="7">
        <v>304</v>
      </c>
      <c r="C30" s="1">
        <v>0.7</v>
      </c>
      <c r="D30" s="1" t="s">
        <v>34</v>
      </c>
      <c r="E30" s="2" t="s">
        <v>43</v>
      </c>
      <c r="F30" s="7" t="s">
        <v>14</v>
      </c>
      <c r="G30" s="7">
        <v>304</v>
      </c>
      <c r="H30" s="9">
        <v>400</v>
      </c>
      <c r="I30" s="10">
        <v>373</v>
      </c>
      <c r="J30" s="9">
        <f t="shared" si="0"/>
        <v>27</v>
      </c>
    </row>
    <row r="31" spans="1:10" ht="15.6" x14ac:dyDescent="0.3">
      <c r="A31" s="7">
        <v>250039</v>
      </c>
      <c r="B31" s="7">
        <v>304</v>
      </c>
      <c r="C31" s="1">
        <v>0.7</v>
      </c>
      <c r="D31" s="1" t="s">
        <v>34</v>
      </c>
      <c r="E31" s="2" t="s">
        <v>44</v>
      </c>
      <c r="F31" s="7" t="s">
        <v>14</v>
      </c>
      <c r="G31" s="7">
        <v>304</v>
      </c>
      <c r="H31" s="9">
        <v>400</v>
      </c>
      <c r="I31" s="17">
        <v>400</v>
      </c>
      <c r="J31" s="18">
        <f t="shared" si="0"/>
        <v>0</v>
      </c>
    </row>
    <row r="32" spans="1:10" ht="15.6" x14ac:dyDescent="0.3">
      <c r="A32" s="7">
        <v>250039</v>
      </c>
      <c r="B32" s="7">
        <v>304</v>
      </c>
      <c r="C32" s="1">
        <v>0.7</v>
      </c>
      <c r="D32" s="1" t="s">
        <v>34</v>
      </c>
      <c r="E32" s="2" t="s">
        <v>45</v>
      </c>
      <c r="F32" s="7" t="s">
        <v>14</v>
      </c>
      <c r="G32" s="7">
        <v>304</v>
      </c>
      <c r="H32" s="9">
        <v>400</v>
      </c>
      <c r="I32" s="17">
        <v>400</v>
      </c>
      <c r="J32" s="18">
        <f t="shared" si="0"/>
        <v>0</v>
      </c>
    </row>
    <row r="33" spans="1:10" ht="15.6" x14ac:dyDescent="0.3">
      <c r="A33" s="7">
        <v>250039</v>
      </c>
      <c r="B33" s="7">
        <v>304</v>
      </c>
      <c r="C33" s="1">
        <v>0.7</v>
      </c>
      <c r="D33" s="1" t="s">
        <v>34</v>
      </c>
      <c r="E33" s="2" t="s">
        <v>46</v>
      </c>
      <c r="F33" s="7" t="s">
        <v>14</v>
      </c>
      <c r="G33" s="7">
        <v>304</v>
      </c>
      <c r="H33" s="9">
        <v>400</v>
      </c>
      <c r="I33" s="17">
        <v>400</v>
      </c>
      <c r="J33" s="18">
        <f t="shared" si="0"/>
        <v>0</v>
      </c>
    </row>
    <row r="34" spans="1:10" ht="15.6" x14ac:dyDescent="0.3">
      <c r="A34" s="7">
        <v>250039</v>
      </c>
      <c r="B34" s="7">
        <v>304</v>
      </c>
      <c r="C34" s="1">
        <v>0.7</v>
      </c>
      <c r="D34" s="1" t="s">
        <v>34</v>
      </c>
      <c r="E34" s="2" t="s">
        <v>47</v>
      </c>
      <c r="F34" s="7" t="s">
        <v>14</v>
      </c>
      <c r="G34" s="7">
        <v>304</v>
      </c>
      <c r="H34" s="9">
        <v>400</v>
      </c>
      <c r="I34" s="17">
        <v>400</v>
      </c>
      <c r="J34" s="18">
        <f t="shared" si="0"/>
        <v>0</v>
      </c>
    </row>
    <row r="35" spans="1:10" ht="15.6" x14ac:dyDescent="0.3">
      <c r="A35" s="7">
        <v>250039</v>
      </c>
      <c r="B35" s="7">
        <v>304</v>
      </c>
      <c r="C35" s="1">
        <v>0.7</v>
      </c>
      <c r="D35" s="1" t="s">
        <v>34</v>
      </c>
      <c r="E35" s="2" t="s">
        <v>48</v>
      </c>
      <c r="F35" s="7" t="s">
        <v>14</v>
      </c>
      <c r="G35" s="7">
        <v>304</v>
      </c>
      <c r="H35" s="9">
        <v>400</v>
      </c>
      <c r="I35" s="17">
        <v>400</v>
      </c>
      <c r="J35" s="18">
        <f t="shared" si="0"/>
        <v>0</v>
      </c>
    </row>
    <row r="36" spans="1:10" ht="15.6" x14ac:dyDescent="0.3">
      <c r="A36" s="7">
        <v>250039</v>
      </c>
      <c r="B36" s="7">
        <v>304</v>
      </c>
      <c r="C36" s="1">
        <v>0.7</v>
      </c>
      <c r="D36" s="1" t="s">
        <v>34</v>
      </c>
      <c r="E36" s="2" t="s">
        <v>49</v>
      </c>
      <c r="F36" s="7" t="s">
        <v>14</v>
      </c>
      <c r="G36" s="7">
        <v>304</v>
      </c>
      <c r="H36" s="9">
        <v>400</v>
      </c>
      <c r="I36" s="17">
        <v>402</v>
      </c>
      <c r="J36" s="18">
        <f t="shared" si="0"/>
        <v>-2</v>
      </c>
    </row>
    <row r="37" spans="1:10" ht="15.6" x14ac:dyDescent="0.3">
      <c r="A37" s="7">
        <v>250039</v>
      </c>
      <c r="B37" s="7">
        <v>304</v>
      </c>
      <c r="C37" s="1">
        <v>0.7</v>
      </c>
      <c r="D37" s="1" t="s">
        <v>34</v>
      </c>
      <c r="E37" s="2" t="s">
        <v>50</v>
      </c>
      <c r="F37" s="7" t="s">
        <v>14</v>
      </c>
      <c r="G37" s="7">
        <v>304</v>
      </c>
      <c r="H37" s="9">
        <v>400</v>
      </c>
      <c r="I37" s="10"/>
      <c r="J37" s="9">
        <f t="shared" si="0"/>
        <v>400</v>
      </c>
    </row>
    <row r="38" spans="1:10" ht="15.6" x14ac:dyDescent="0.3">
      <c r="A38" s="7">
        <v>250039</v>
      </c>
      <c r="B38" s="7">
        <v>304</v>
      </c>
      <c r="C38" s="1">
        <v>0.7</v>
      </c>
      <c r="D38" s="1" t="s">
        <v>34</v>
      </c>
      <c r="E38" s="2" t="s">
        <v>51</v>
      </c>
      <c r="F38" s="7" t="s">
        <v>14</v>
      </c>
      <c r="G38" s="7">
        <v>304</v>
      </c>
      <c r="H38" s="9">
        <v>400</v>
      </c>
      <c r="I38" s="17">
        <v>399</v>
      </c>
      <c r="J38" s="18">
        <f t="shared" si="0"/>
        <v>1</v>
      </c>
    </row>
    <row r="39" spans="1:10" ht="15.6" x14ac:dyDescent="0.3">
      <c r="A39" s="7">
        <v>250039</v>
      </c>
      <c r="B39" s="7">
        <v>304</v>
      </c>
      <c r="C39" s="1">
        <v>0.7</v>
      </c>
      <c r="D39" s="1" t="s">
        <v>34</v>
      </c>
      <c r="E39" s="2" t="s">
        <v>52</v>
      </c>
      <c r="F39" s="7" t="s">
        <v>14</v>
      </c>
      <c r="G39" s="7">
        <v>304</v>
      </c>
      <c r="H39" s="9">
        <v>400</v>
      </c>
      <c r="I39" s="17">
        <v>405</v>
      </c>
      <c r="J39" s="18">
        <f t="shared" si="0"/>
        <v>-5</v>
      </c>
    </row>
    <row r="40" spans="1:10" ht="15.6" x14ac:dyDescent="0.3">
      <c r="A40" s="7">
        <v>250039</v>
      </c>
      <c r="B40" s="7">
        <v>304</v>
      </c>
      <c r="C40" s="1">
        <v>0.7</v>
      </c>
      <c r="D40" s="1" t="s">
        <v>34</v>
      </c>
      <c r="E40" s="2" t="s">
        <v>53</v>
      </c>
      <c r="F40" s="7" t="s">
        <v>14</v>
      </c>
      <c r="G40" s="7">
        <v>304</v>
      </c>
      <c r="H40" s="9">
        <v>400</v>
      </c>
      <c r="I40" s="17">
        <f>400+58+11</f>
        <v>469</v>
      </c>
      <c r="J40" s="18">
        <f t="shared" si="0"/>
        <v>-69</v>
      </c>
    </row>
    <row r="41" spans="1:10" ht="15.6" x14ac:dyDescent="0.3">
      <c r="A41" s="7">
        <v>250039</v>
      </c>
      <c r="B41" s="7">
        <v>304</v>
      </c>
      <c r="C41" s="1">
        <v>0.7</v>
      </c>
      <c r="D41" s="1" t="s">
        <v>34</v>
      </c>
      <c r="E41" s="2" t="s">
        <v>54</v>
      </c>
      <c r="F41" s="7" t="s">
        <v>14</v>
      </c>
      <c r="G41" s="7">
        <v>304</v>
      </c>
      <c r="H41" s="9">
        <v>400</v>
      </c>
      <c r="I41" s="17">
        <v>400</v>
      </c>
      <c r="J41" s="18">
        <f t="shared" si="0"/>
        <v>0</v>
      </c>
    </row>
    <row r="42" spans="1:10" ht="15.6" x14ac:dyDescent="0.3">
      <c r="A42" s="7">
        <v>250039</v>
      </c>
      <c r="B42" s="7">
        <v>304</v>
      </c>
      <c r="C42" s="1">
        <v>0.7</v>
      </c>
      <c r="D42" s="1" t="s">
        <v>34</v>
      </c>
      <c r="E42" s="2" t="s">
        <v>55</v>
      </c>
      <c r="F42" s="7" t="s">
        <v>14</v>
      </c>
      <c r="G42" s="7">
        <v>304</v>
      </c>
      <c r="H42" s="9">
        <v>400</v>
      </c>
      <c r="I42" s="10">
        <v>360</v>
      </c>
      <c r="J42" s="9">
        <f t="shared" si="0"/>
        <v>40</v>
      </c>
    </row>
    <row r="43" spans="1:10" ht="15.6" x14ac:dyDescent="0.3">
      <c r="A43" s="7">
        <v>250039</v>
      </c>
      <c r="B43" s="7">
        <v>304</v>
      </c>
      <c r="C43" s="1">
        <v>0.7</v>
      </c>
      <c r="D43" s="1" t="s">
        <v>34</v>
      </c>
      <c r="E43" s="2" t="s">
        <v>56</v>
      </c>
      <c r="F43" s="7" t="s">
        <v>14</v>
      </c>
      <c r="G43" s="7">
        <v>304</v>
      </c>
      <c r="H43" s="9">
        <v>400</v>
      </c>
      <c r="I43" s="17">
        <f>410+60+11</f>
        <v>481</v>
      </c>
      <c r="J43" s="18">
        <f t="shared" si="0"/>
        <v>-81</v>
      </c>
    </row>
    <row r="44" spans="1:10" ht="15.6" x14ac:dyDescent="0.3">
      <c r="A44" s="7">
        <v>250039</v>
      </c>
      <c r="B44" s="7">
        <v>304</v>
      </c>
      <c r="C44" s="1">
        <v>0.7</v>
      </c>
      <c r="D44" s="1" t="s">
        <v>34</v>
      </c>
      <c r="E44" s="2" t="s">
        <v>57</v>
      </c>
      <c r="F44" s="7" t="s">
        <v>14</v>
      </c>
      <c r="G44" s="7">
        <v>304</v>
      </c>
      <c r="H44" s="9">
        <v>400</v>
      </c>
      <c r="I44" s="17">
        <v>400</v>
      </c>
      <c r="J44" s="18">
        <f t="shared" si="0"/>
        <v>0</v>
      </c>
    </row>
    <row r="45" spans="1:10" ht="15.6" x14ac:dyDescent="0.3">
      <c r="A45" s="7">
        <v>250039</v>
      </c>
      <c r="B45" s="7">
        <v>304</v>
      </c>
      <c r="C45" s="1">
        <v>0.7</v>
      </c>
      <c r="D45" s="1" t="s">
        <v>34</v>
      </c>
      <c r="E45" s="2" t="s">
        <v>58</v>
      </c>
      <c r="F45" s="7" t="s">
        <v>14</v>
      </c>
      <c r="G45" s="7">
        <v>304</v>
      </c>
      <c r="H45" s="9">
        <v>400</v>
      </c>
      <c r="I45" s="10"/>
      <c r="J45" s="9">
        <f t="shared" si="0"/>
        <v>400</v>
      </c>
    </row>
    <row r="46" spans="1:10" ht="15.6" x14ac:dyDescent="0.3">
      <c r="A46" s="7">
        <v>250039</v>
      </c>
      <c r="B46" s="7">
        <v>304</v>
      </c>
      <c r="C46" s="1">
        <v>0.7</v>
      </c>
      <c r="D46" s="1" t="s">
        <v>34</v>
      </c>
      <c r="E46" s="2" t="s">
        <v>59</v>
      </c>
      <c r="F46" s="7" t="s">
        <v>14</v>
      </c>
      <c r="G46" s="7">
        <v>304</v>
      </c>
      <c r="H46" s="9">
        <v>400</v>
      </c>
      <c r="I46" s="17">
        <v>400</v>
      </c>
      <c r="J46" s="18">
        <f t="shared" si="0"/>
        <v>0</v>
      </c>
    </row>
    <row r="47" spans="1:10" ht="15.6" x14ac:dyDescent="0.3">
      <c r="A47" s="7">
        <v>250039</v>
      </c>
      <c r="B47" s="7">
        <v>304</v>
      </c>
      <c r="C47" s="1">
        <v>0.7</v>
      </c>
      <c r="D47" s="1" t="s">
        <v>34</v>
      </c>
      <c r="E47" s="2" t="s">
        <v>60</v>
      </c>
      <c r="F47" s="7" t="s">
        <v>14</v>
      </c>
      <c r="G47" s="7">
        <v>304</v>
      </c>
      <c r="H47" s="9">
        <v>400</v>
      </c>
      <c r="I47" s="17">
        <v>400</v>
      </c>
      <c r="J47" s="18">
        <f t="shared" si="0"/>
        <v>0</v>
      </c>
    </row>
    <row r="48" spans="1:10" ht="15.6" x14ac:dyDescent="0.3">
      <c r="A48" s="7">
        <v>250039</v>
      </c>
      <c r="B48" s="7">
        <v>304</v>
      </c>
      <c r="C48" s="1">
        <v>0.7</v>
      </c>
      <c r="D48" s="1" t="s">
        <v>34</v>
      </c>
      <c r="E48" s="2" t="s">
        <v>61</v>
      </c>
      <c r="F48" s="7" t="s">
        <v>14</v>
      </c>
      <c r="G48" s="7">
        <v>304</v>
      </c>
      <c r="H48" s="9">
        <v>400</v>
      </c>
      <c r="I48" s="17">
        <v>400</v>
      </c>
      <c r="J48" s="18">
        <f t="shared" si="0"/>
        <v>0</v>
      </c>
    </row>
    <row r="49" spans="1:10" ht="15.6" x14ac:dyDescent="0.3">
      <c r="A49" s="7">
        <v>250039</v>
      </c>
      <c r="B49" s="7">
        <v>304</v>
      </c>
      <c r="C49" s="1">
        <v>0.7</v>
      </c>
      <c r="D49" s="1" t="s">
        <v>34</v>
      </c>
      <c r="E49" s="2" t="s">
        <v>62</v>
      </c>
      <c r="F49" s="7" t="s">
        <v>14</v>
      </c>
      <c r="G49" s="7">
        <v>304</v>
      </c>
      <c r="H49" s="9">
        <v>400</v>
      </c>
      <c r="I49" s="17">
        <v>402</v>
      </c>
      <c r="J49" s="18">
        <f t="shared" si="0"/>
        <v>-2</v>
      </c>
    </row>
    <row r="50" spans="1:10" ht="15.6" x14ac:dyDescent="0.3">
      <c r="A50" s="7">
        <v>250039</v>
      </c>
      <c r="B50" s="7">
        <v>304</v>
      </c>
      <c r="C50" s="1">
        <v>0.7</v>
      </c>
      <c r="D50" s="1" t="s">
        <v>34</v>
      </c>
      <c r="E50" s="2" t="s">
        <v>63</v>
      </c>
      <c r="F50" s="7" t="s">
        <v>14</v>
      </c>
      <c r="G50" s="7">
        <v>304</v>
      </c>
      <c r="H50" s="9">
        <v>400</v>
      </c>
      <c r="I50" s="17">
        <v>400</v>
      </c>
      <c r="J50" s="18">
        <f t="shared" si="0"/>
        <v>0</v>
      </c>
    </row>
    <row r="51" spans="1:10" ht="15.6" x14ac:dyDescent="0.3">
      <c r="A51" s="7">
        <v>250039</v>
      </c>
      <c r="B51" s="7">
        <v>304</v>
      </c>
      <c r="C51" s="1">
        <v>0.7</v>
      </c>
      <c r="D51" s="1" t="s">
        <v>34</v>
      </c>
      <c r="E51" s="2" t="s">
        <v>64</v>
      </c>
      <c r="F51" s="7" t="s">
        <v>14</v>
      </c>
      <c r="G51" s="7">
        <v>304</v>
      </c>
      <c r="H51" s="9">
        <v>400</v>
      </c>
      <c r="I51" s="17">
        <v>400</v>
      </c>
      <c r="J51" s="18">
        <f t="shared" si="0"/>
        <v>0</v>
      </c>
    </row>
    <row r="52" spans="1:10" ht="15.6" x14ac:dyDescent="0.3">
      <c r="A52" s="7">
        <v>250040</v>
      </c>
      <c r="B52" s="7">
        <v>304</v>
      </c>
      <c r="C52" s="1">
        <v>0.7</v>
      </c>
      <c r="D52" s="1" t="s">
        <v>34</v>
      </c>
      <c r="E52" s="2" t="s">
        <v>35</v>
      </c>
      <c r="F52" s="7" t="s">
        <v>14</v>
      </c>
      <c r="G52" s="7">
        <v>304</v>
      </c>
      <c r="H52" s="9">
        <v>600</v>
      </c>
      <c r="I52" s="17">
        <v>600</v>
      </c>
      <c r="J52" s="18">
        <f t="shared" si="0"/>
        <v>0</v>
      </c>
    </row>
    <row r="53" spans="1:10" ht="15.6" x14ac:dyDescent="0.3">
      <c r="A53" s="7">
        <v>250040</v>
      </c>
      <c r="B53" s="7">
        <v>304</v>
      </c>
      <c r="C53" s="1">
        <v>0.7</v>
      </c>
      <c r="D53" s="1" t="s">
        <v>34</v>
      </c>
      <c r="E53" s="2" t="s">
        <v>36</v>
      </c>
      <c r="F53" s="7" t="s">
        <v>14</v>
      </c>
      <c r="G53" s="7">
        <v>304</v>
      </c>
      <c r="H53" s="9">
        <v>400</v>
      </c>
      <c r="I53" s="17">
        <v>400</v>
      </c>
      <c r="J53" s="18">
        <f t="shared" si="0"/>
        <v>0</v>
      </c>
    </row>
    <row r="54" spans="1:10" ht="15.6" x14ac:dyDescent="0.3">
      <c r="A54" s="7">
        <v>250040</v>
      </c>
      <c r="B54" s="7">
        <v>304</v>
      </c>
      <c r="C54" s="1">
        <v>0.7</v>
      </c>
      <c r="D54" s="1" t="s">
        <v>34</v>
      </c>
      <c r="E54" s="2" t="s">
        <v>38</v>
      </c>
      <c r="F54" s="7" t="s">
        <v>14</v>
      </c>
      <c r="G54" s="7">
        <v>304</v>
      </c>
      <c r="H54" s="9">
        <v>600</v>
      </c>
      <c r="I54" s="17">
        <v>600</v>
      </c>
      <c r="J54" s="18">
        <f t="shared" si="0"/>
        <v>0</v>
      </c>
    </row>
    <row r="55" spans="1:10" ht="15.6" x14ac:dyDescent="0.3">
      <c r="A55" s="7">
        <v>250040</v>
      </c>
      <c r="B55" s="7">
        <v>304</v>
      </c>
      <c r="C55" s="1">
        <v>0.7</v>
      </c>
      <c r="D55" s="1" t="s">
        <v>34</v>
      </c>
      <c r="E55" s="2" t="s">
        <v>39</v>
      </c>
      <c r="F55" s="7" t="s">
        <v>14</v>
      </c>
      <c r="G55" s="7">
        <v>304</v>
      </c>
      <c r="H55" s="9">
        <v>400</v>
      </c>
      <c r="I55" s="17">
        <v>400</v>
      </c>
      <c r="J55" s="18">
        <f t="shared" si="0"/>
        <v>0</v>
      </c>
    </row>
    <row r="56" spans="1:10" ht="15.6" x14ac:dyDescent="0.3">
      <c r="A56" s="7">
        <v>250040</v>
      </c>
      <c r="B56" s="7">
        <v>304</v>
      </c>
      <c r="C56" s="1">
        <v>0.7</v>
      </c>
      <c r="D56" s="1" t="s">
        <v>34</v>
      </c>
      <c r="E56" s="2" t="s">
        <v>41</v>
      </c>
      <c r="F56" s="7" t="s">
        <v>14</v>
      </c>
      <c r="G56" s="7">
        <v>304</v>
      </c>
      <c r="H56" s="9">
        <v>600</v>
      </c>
      <c r="I56" s="17">
        <v>598</v>
      </c>
      <c r="J56" s="18">
        <f t="shared" si="0"/>
        <v>2</v>
      </c>
    </row>
    <row r="57" spans="1:10" ht="15.6" x14ac:dyDescent="0.3">
      <c r="A57" s="7">
        <v>250040</v>
      </c>
      <c r="B57" s="7">
        <v>304</v>
      </c>
      <c r="C57" s="1">
        <v>0.7</v>
      </c>
      <c r="D57" s="1" t="s">
        <v>34</v>
      </c>
      <c r="E57" s="2" t="s">
        <v>42</v>
      </c>
      <c r="F57" s="7" t="s">
        <v>14</v>
      </c>
      <c r="G57" s="7">
        <v>304</v>
      </c>
      <c r="H57" s="9">
        <v>400</v>
      </c>
      <c r="I57" s="17">
        <v>398</v>
      </c>
      <c r="J57" s="18">
        <f t="shared" si="0"/>
        <v>2</v>
      </c>
    </row>
    <row r="58" spans="1:10" ht="15.6" x14ac:dyDescent="0.3">
      <c r="A58" s="7">
        <v>250040</v>
      </c>
      <c r="B58" s="7">
        <v>304</v>
      </c>
      <c r="C58" s="1">
        <v>0.7</v>
      </c>
      <c r="D58" s="1" t="s">
        <v>34</v>
      </c>
      <c r="E58" s="2" t="s">
        <v>44</v>
      </c>
      <c r="F58" s="7" t="s">
        <v>14</v>
      </c>
      <c r="G58" s="7">
        <v>304</v>
      </c>
      <c r="H58" s="9">
        <v>600</v>
      </c>
      <c r="I58" s="17">
        <v>600</v>
      </c>
      <c r="J58" s="18">
        <f t="shared" si="0"/>
        <v>0</v>
      </c>
    </row>
    <row r="59" spans="1:10" ht="15.6" x14ac:dyDescent="0.3">
      <c r="A59" s="7">
        <v>250040</v>
      </c>
      <c r="B59" s="7">
        <v>304</v>
      </c>
      <c r="C59" s="1">
        <v>0.7</v>
      </c>
      <c r="D59" s="1" t="s">
        <v>34</v>
      </c>
      <c r="E59" s="2" t="s">
        <v>45</v>
      </c>
      <c r="F59" s="7" t="s">
        <v>14</v>
      </c>
      <c r="G59" s="7">
        <v>304</v>
      </c>
      <c r="H59" s="9">
        <v>400</v>
      </c>
      <c r="I59" s="17">
        <v>400</v>
      </c>
      <c r="J59" s="18">
        <f t="shared" si="0"/>
        <v>0</v>
      </c>
    </row>
    <row r="60" spans="1:10" ht="15.6" x14ac:dyDescent="0.3">
      <c r="A60" s="7">
        <v>250040</v>
      </c>
      <c r="B60" s="7">
        <v>304</v>
      </c>
      <c r="C60" s="1">
        <v>0.7</v>
      </c>
      <c r="D60" s="1" t="s">
        <v>34</v>
      </c>
      <c r="E60" s="2" t="s">
        <v>47</v>
      </c>
      <c r="F60" s="7" t="s">
        <v>14</v>
      </c>
      <c r="G60" s="7">
        <v>304</v>
      </c>
      <c r="H60" s="9">
        <v>600</v>
      </c>
      <c r="I60" s="17">
        <v>600</v>
      </c>
      <c r="J60" s="18">
        <f t="shared" si="0"/>
        <v>0</v>
      </c>
    </row>
    <row r="61" spans="1:10" ht="15.6" x14ac:dyDescent="0.3">
      <c r="A61" s="7">
        <v>250040</v>
      </c>
      <c r="B61" s="7">
        <v>304</v>
      </c>
      <c r="C61" s="1">
        <v>0.7</v>
      </c>
      <c r="D61" s="1" t="s">
        <v>34</v>
      </c>
      <c r="E61" s="2" t="s">
        <v>48</v>
      </c>
      <c r="F61" s="7" t="s">
        <v>14</v>
      </c>
      <c r="G61" s="7">
        <v>304</v>
      </c>
      <c r="H61" s="9">
        <v>400</v>
      </c>
      <c r="I61" s="17">
        <v>400</v>
      </c>
      <c r="J61" s="18">
        <f t="shared" si="0"/>
        <v>0</v>
      </c>
    </row>
    <row r="62" spans="1:10" ht="15.6" x14ac:dyDescent="0.3">
      <c r="A62" s="7">
        <v>250040</v>
      </c>
      <c r="B62" s="7">
        <v>304</v>
      </c>
      <c r="C62" s="1">
        <v>0.7</v>
      </c>
      <c r="D62" s="1" t="s">
        <v>34</v>
      </c>
      <c r="E62" s="2" t="s">
        <v>50</v>
      </c>
      <c r="F62" s="7" t="s">
        <v>14</v>
      </c>
      <c r="G62" s="7">
        <v>304</v>
      </c>
      <c r="H62" s="9">
        <v>600</v>
      </c>
      <c r="I62" s="17">
        <v>600</v>
      </c>
      <c r="J62" s="18">
        <f t="shared" si="0"/>
        <v>0</v>
      </c>
    </row>
    <row r="63" spans="1:10" ht="15.6" x14ac:dyDescent="0.3">
      <c r="A63" s="7">
        <v>250040</v>
      </c>
      <c r="B63" s="7">
        <v>304</v>
      </c>
      <c r="C63" s="1">
        <v>0.7</v>
      </c>
      <c r="D63" s="1" t="s">
        <v>34</v>
      </c>
      <c r="E63" s="2" t="s">
        <v>51</v>
      </c>
      <c r="F63" s="7" t="s">
        <v>14</v>
      </c>
      <c r="G63" s="7">
        <v>304</v>
      </c>
      <c r="H63" s="9">
        <v>400</v>
      </c>
      <c r="I63" s="10"/>
      <c r="J63" s="9">
        <f t="shared" si="0"/>
        <v>400</v>
      </c>
    </row>
    <row r="64" spans="1:10" ht="15.6" x14ac:dyDescent="0.3">
      <c r="A64" s="7">
        <v>250040</v>
      </c>
      <c r="B64" s="7">
        <v>304</v>
      </c>
      <c r="C64" s="1">
        <v>0.7</v>
      </c>
      <c r="D64" s="1" t="s">
        <v>17</v>
      </c>
      <c r="E64" s="2" t="s">
        <v>65</v>
      </c>
      <c r="F64" s="7" t="s">
        <v>14</v>
      </c>
      <c r="G64" s="7">
        <v>304</v>
      </c>
      <c r="H64" s="9">
        <v>400</v>
      </c>
      <c r="I64" s="10">
        <f>325+60</f>
        <v>385</v>
      </c>
      <c r="J64" s="9">
        <f t="shared" si="0"/>
        <v>15</v>
      </c>
    </row>
    <row r="65" spans="1:10" ht="15.6" x14ac:dyDescent="0.3">
      <c r="A65" s="7">
        <v>250040</v>
      </c>
      <c r="B65" s="7">
        <v>304</v>
      </c>
      <c r="C65" s="1">
        <v>0.7</v>
      </c>
      <c r="D65" s="1" t="s">
        <v>17</v>
      </c>
      <c r="E65" s="2" t="s">
        <v>66</v>
      </c>
      <c r="F65" s="7" t="s">
        <v>14</v>
      </c>
      <c r="G65" s="7">
        <v>304</v>
      </c>
      <c r="H65" s="9">
        <v>400</v>
      </c>
      <c r="I65" s="17">
        <v>400</v>
      </c>
      <c r="J65" s="18">
        <f t="shared" si="0"/>
        <v>0</v>
      </c>
    </row>
    <row r="66" spans="1:10" ht="15.6" x14ac:dyDescent="0.3">
      <c r="A66" s="7">
        <v>250040</v>
      </c>
      <c r="B66" s="7">
        <v>304</v>
      </c>
      <c r="C66" s="1">
        <v>0.7</v>
      </c>
      <c r="D66" s="1" t="s">
        <v>17</v>
      </c>
      <c r="E66" s="2" t="s">
        <v>69</v>
      </c>
      <c r="F66" s="7" t="s">
        <v>14</v>
      </c>
      <c r="G66" s="7">
        <v>304</v>
      </c>
      <c r="H66" s="9">
        <v>400</v>
      </c>
      <c r="I66" s="17">
        <v>400</v>
      </c>
      <c r="J66" s="18">
        <f t="shared" si="0"/>
        <v>0</v>
      </c>
    </row>
    <row r="67" spans="1:10" ht="15.6" x14ac:dyDescent="0.3">
      <c r="A67" s="7">
        <v>250040</v>
      </c>
      <c r="B67" s="7">
        <v>304</v>
      </c>
      <c r="C67" s="1">
        <v>0.7</v>
      </c>
      <c r="D67" s="1" t="s">
        <v>17</v>
      </c>
      <c r="E67" s="2" t="s">
        <v>67</v>
      </c>
      <c r="F67" s="7" t="s">
        <v>14</v>
      </c>
      <c r="G67" s="7">
        <v>304</v>
      </c>
      <c r="H67" s="9">
        <v>400</v>
      </c>
      <c r="I67" s="17">
        <f>400+60</f>
        <v>460</v>
      </c>
      <c r="J67" s="18">
        <f t="shared" si="0"/>
        <v>-60</v>
      </c>
    </row>
    <row r="68" spans="1:10" ht="15.6" x14ac:dyDescent="0.3">
      <c r="A68" s="7">
        <v>250040</v>
      </c>
      <c r="B68" s="7">
        <v>304</v>
      </c>
      <c r="C68" s="1">
        <v>0.7</v>
      </c>
      <c r="D68" s="1" t="s">
        <v>17</v>
      </c>
      <c r="E68" s="2" t="s">
        <v>68</v>
      </c>
      <c r="F68" s="7" t="s">
        <v>14</v>
      </c>
      <c r="G68" s="7">
        <v>304</v>
      </c>
      <c r="H68" s="9">
        <v>400</v>
      </c>
      <c r="I68" s="17">
        <v>400</v>
      </c>
      <c r="J68" s="18">
        <f t="shared" si="0"/>
        <v>0</v>
      </c>
    </row>
    <row r="69" spans="1:10" ht="15.6" x14ac:dyDescent="0.3">
      <c r="A69" s="7">
        <v>250040</v>
      </c>
      <c r="B69" s="7">
        <v>304</v>
      </c>
      <c r="C69" s="1">
        <v>0.7</v>
      </c>
      <c r="D69" s="1" t="s">
        <v>17</v>
      </c>
      <c r="E69" s="2" t="s">
        <v>70</v>
      </c>
      <c r="F69" s="7" t="s">
        <v>14</v>
      </c>
      <c r="G69" s="7">
        <v>304</v>
      </c>
      <c r="H69" s="9">
        <v>400</v>
      </c>
      <c r="I69" s="17">
        <v>400</v>
      </c>
      <c r="J69" s="18">
        <f t="shared" si="0"/>
        <v>0</v>
      </c>
    </row>
    <row r="70" spans="1:10" ht="15.6" x14ac:dyDescent="0.3">
      <c r="A70" s="7">
        <v>250040</v>
      </c>
      <c r="B70" s="7">
        <v>304</v>
      </c>
      <c r="C70" s="1">
        <v>0.7</v>
      </c>
      <c r="D70" s="1" t="s">
        <v>17</v>
      </c>
      <c r="E70" s="2" t="s">
        <v>71</v>
      </c>
      <c r="F70" s="7" t="s">
        <v>14</v>
      </c>
      <c r="G70" s="7">
        <v>304</v>
      </c>
      <c r="H70" s="9">
        <v>400</v>
      </c>
      <c r="I70" s="17">
        <v>400</v>
      </c>
      <c r="J70" s="18">
        <f t="shared" si="0"/>
        <v>0</v>
      </c>
    </row>
    <row r="71" spans="1:10" ht="15.6" x14ac:dyDescent="0.3">
      <c r="A71" s="7">
        <v>250040</v>
      </c>
      <c r="B71" s="7">
        <v>304</v>
      </c>
      <c r="C71" s="1">
        <v>0.7</v>
      </c>
      <c r="D71" s="1" t="s">
        <v>17</v>
      </c>
      <c r="E71" s="2" t="s">
        <v>72</v>
      </c>
      <c r="F71" s="7" t="s">
        <v>14</v>
      </c>
      <c r="G71" s="7">
        <v>304</v>
      </c>
      <c r="H71" s="9">
        <v>400</v>
      </c>
      <c r="I71" s="17">
        <v>400</v>
      </c>
      <c r="J71" s="18">
        <f t="shared" si="0"/>
        <v>0</v>
      </c>
    </row>
    <row r="72" spans="1:10" ht="15.6" x14ac:dyDescent="0.3">
      <c r="A72" s="7">
        <v>250040</v>
      </c>
      <c r="B72" s="7">
        <v>304</v>
      </c>
      <c r="C72" s="1">
        <v>0.7</v>
      </c>
      <c r="D72" s="1" t="s">
        <v>17</v>
      </c>
      <c r="E72" s="2" t="s">
        <v>73</v>
      </c>
      <c r="F72" s="7" t="s">
        <v>14</v>
      </c>
      <c r="G72" s="7">
        <v>304</v>
      </c>
      <c r="H72" s="9">
        <v>400</v>
      </c>
      <c r="I72" s="17">
        <v>400</v>
      </c>
      <c r="J72" s="18">
        <f t="shared" si="0"/>
        <v>0</v>
      </c>
    </row>
    <row r="73" spans="1:10" ht="15.6" x14ac:dyDescent="0.3">
      <c r="A73" s="7">
        <v>250040</v>
      </c>
      <c r="B73" s="7">
        <v>304</v>
      </c>
      <c r="C73" s="1">
        <v>0.7</v>
      </c>
      <c r="D73" s="1" t="s">
        <v>17</v>
      </c>
      <c r="E73" s="2" t="s">
        <v>74</v>
      </c>
      <c r="F73" s="7" t="s">
        <v>14</v>
      </c>
      <c r="G73" s="7">
        <v>304</v>
      </c>
      <c r="H73" s="9">
        <v>400</v>
      </c>
      <c r="I73" s="17">
        <v>400</v>
      </c>
      <c r="J73" s="18">
        <f t="shared" si="0"/>
        <v>0</v>
      </c>
    </row>
    <row r="74" spans="1:10" ht="15.6" x14ac:dyDescent="0.3">
      <c r="A74" s="7">
        <v>250040</v>
      </c>
      <c r="B74" s="7">
        <v>304</v>
      </c>
      <c r="C74" s="1">
        <v>0.7</v>
      </c>
      <c r="D74" s="1" t="s">
        <v>17</v>
      </c>
      <c r="E74" s="2" t="s">
        <v>75</v>
      </c>
      <c r="F74" s="7" t="s">
        <v>14</v>
      </c>
      <c r="G74" s="7">
        <v>304</v>
      </c>
      <c r="H74" s="9">
        <v>400</v>
      </c>
      <c r="I74" s="17">
        <v>403</v>
      </c>
      <c r="J74" s="18">
        <f t="shared" si="0"/>
        <v>-3</v>
      </c>
    </row>
    <row r="75" spans="1:10" ht="15.6" x14ac:dyDescent="0.3">
      <c r="A75" s="7">
        <v>250040</v>
      </c>
      <c r="B75" s="7">
        <v>304</v>
      </c>
      <c r="C75" s="1">
        <v>0.7</v>
      </c>
      <c r="D75" s="1" t="s">
        <v>17</v>
      </c>
      <c r="E75" s="2" t="s">
        <v>76</v>
      </c>
      <c r="F75" s="7" t="s">
        <v>14</v>
      </c>
      <c r="G75" s="7">
        <v>304</v>
      </c>
      <c r="H75" s="9">
        <v>400</v>
      </c>
      <c r="I75" s="17">
        <v>400</v>
      </c>
      <c r="J75" s="18">
        <f t="shared" si="0"/>
        <v>0</v>
      </c>
    </row>
    <row r="76" spans="1:10" ht="15.6" x14ac:dyDescent="0.3">
      <c r="A76" s="7" t="s">
        <v>77</v>
      </c>
      <c r="B76" s="7">
        <v>304</v>
      </c>
      <c r="C76" s="1">
        <v>0.8</v>
      </c>
      <c r="D76" s="1" t="s">
        <v>17</v>
      </c>
      <c r="E76" s="2" t="s">
        <v>78</v>
      </c>
      <c r="F76" s="7" t="s">
        <v>14</v>
      </c>
      <c r="G76" s="7">
        <v>304</v>
      </c>
      <c r="H76" s="9">
        <v>3200</v>
      </c>
      <c r="I76" s="10">
        <f>1600+1298+158+92</f>
        <v>3148</v>
      </c>
      <c r="J76" s="9">
        <f t="shared" si="0"/>
        <v>52</v>
      </c>
    </row>
    <row r="77" spans="1:10" ht="15.6" x14ac:dyDescent="0.3">
      <c r="A77" s="7" t="s">
        <v>77</v>
      </c>
      <c r="B77" s="7">
        <v>304</v>
      </c>
      <c r="C77" s="1">
        <v>0.8</v>
      </c>
      <c r="D77" s="1" t="s">
        <v>17</v>
      </c>
      <c r="E77" s="2" t="s">
        <v>79</v>
      </c>
      <c r="F77" s="7" t="s">
        <v>14</v>
      </c>
      <c r="G77" s="7">
        <v>304</v>
      </c>
      <c r="H77" s="9">
        <v>3200</v>
      </c>
      <c r="I77" s="10">
        <f>1600+1298+158+92</f>
        <v>3148</v>
      </c>
      <c r="J77" s="9">
        <f t="shared" si="0"/>
        <v>52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0"/>
        <v>0</v>
      </c>
    </row>
    <row r="79" spans="1:10" ht="15.6" x14ac:dyDescent="0.3">
      <c r="A79" s="7">
        <v>250074</v>
      </c>
      <c r="B79" s="7">
        <v>304</v>
      </c>
      <c r="C79" s="1">
        <v>0.7</v>
      </c>
      <c r="D79" s="1" t="s">
        <v>12</v>
      </c>
      <c r="E79" s="2" t="s">
        <v>80</v>
      </c>
      <c r="F79" s="7" t="s">
        <v>14</v>
      </c>
      <c r="G79" s="7">
        <v>430</v>
      </c>
      <c r="H79" s="9">
        <v>708</v>
      </c>
      <c r="I79" s="17">
        <f>590+183</f>
        <v>773</v>
      </c>
      <c r="J79" s="18">
        <f t="shared" si="0"/>
        <v>-65</v>
      </c>
    </row>
    <row r="80" spans="1:10" ht="15.6" x14ac:dyDescent="0.3">
      <c r="A80" s="7">
        <v>250074</v>
      </c>
      <c r="B80" s="7">
        <v>304</v>
      </c>
      <c r="C80" s="1">
        <v>0.7</v>
      </c>
      <c r="D80" s="1" t="s">
        <v>12</v>
      </c>
      <c r="E80" s="2" t="s">
        <v>81</v>
      </c>
      <c r="F80" s="7" t="s">
        <v>14</v>
      </c>
      <c r="G80" s="7">
        <v>430</v>
      </c>
      <c r="H80" s="9">
        <v>708</v>
      </c>
      <c r="I80" s="10">
        <f>600+79</f>
        <v>679</v>
      </c>
      <c r="J80" s="9">
        <f t="shared" si="0"/>
        <v>29</v>
      </c>
    </row>
    <row r="81" spans="1:10" ht="15.6" x14ac:dyDescent="0.3">
      <c r="A81" s="7">
        <v>250074</v>
      </c>
      <c r="B81" s="7">
        <v>304</v>
      </c>
      <c r="C81" s="1">
        <v>0.7</v>
      </c>
      <c r="D81" s="1" t="s">
        <v>12</v>
      </c>
      <c r="E81" s="2" t="s">
        <v>82</v>
      </c>
      <c r="F81" s="7" t="s">
        <v>14</v>
      </c>
      <c r="G81" s="7">
        <v>430</v>
      </c>
      <c r="H81" s="9">
        <v>708</v>
      </c>
      <c r="I81" s="17">
        <f>398+410</f>
        <v>808</v>
      </c>
      <c r="J81" s="18">
        <f t="shared" si="0"/>
        <v>-100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0"/>
        <v>0</v>
      </c>
    </row>
    <row r="83" spans="1:10" ht="15.6" x14ac:dyDescent="0.3">
      <c r="A83" s="7">
        <v>100925</v>
      </c>
      <c r="B83" s="7">
        <v>304</v>
      </c>
      <c r="C83" s="1">
        <v>0.9</v>
      </c>
      <c r="D83" s="1" t="s">
        <v>17</v>
      </c>
      <c r="E83" s="2" t="s">
        <v>83</v>
      </c>
      <c r="F83" s="7" t="s">
        <v>14</v>
      </c>
      <c r="G83" s="7">
        <v>430</v>
      </c>
      <c r="H83" s="9">
        <v>1200</v>
      </c>
      <c r="I83" s="10">
        <v>526</v>
      </c>
      <c r="J83" s="9">
        <f t="shared" si="0"/>
        <v>674</v>
      </c>
    </row>
    <row r="84" spans="1:10" ht="15.6" x14ac:dyDescent="0.3">
      <c r="A84" s="7">
        <v>100925</v>
      </c>
      <c r="B84" s="7">
        <v>304</v>
      </c>
      <c r="C84" s="1">
        <v>0.9</v>
      </c>
      <c r="D84" s="1" t="s">
        <v>15</v>
      </c>
      <c r="E84" s="2" t="s">
        <v>84</v>
      </c>
      <c r="F84" s="7" t="s">
        <v>14</v>
      </c>
      <c r="G84" s="7" t="s">
        <v>15</v>
      </c>
      <c r="H84" s="9">
        <v>1200</v>
      </c>
      <c r="I84" s="10">
        <v>526</v>
      </c>
      <c r="J84" s="9">
        <f t="shared" si="0"/>
        <v>674</v>
      </c>
    </row>
    <row r="85" spans="1:10" ht="15.6" x14ac:dyDescent="0.3">
      <c r="A85" s="7">
        <v>100925</v>
      </c>
      <c r="B85" s="7">
        <v>304</v>
      </c>
      <c r="C85" s="1">
        <v>0.9</v>
      </c>
      <c r="D85" s="1" t="s">
        <v>17</v>
      </c>
      <c r="E85" s="2" t="s">
        <v>85</v>
      </c>
      <c r="F85" s="7" t="s">
        <v>14</v>
      </c>
      <c r="G85" s="7">
        <v>430</v>
      </c>
      <c r="H85" s="9">
        <v>1500</v>
      </c>
      <c r="I85" s="17">
        <f>893+623</f>
        <v>1516</v>
      </c>
      <c r="J85" s="18">
        <f t="shared" si="0"/>
        <v>-16</v>
      </c>
    </row>
    <row r="86" spans="1:10" ht="15.6" x14ac:dyDescent="0.3">
      <c r="A86" s="7">
        <v>100925</v>
      </c>
      <c r="B86" s="7">
        <v>304</v>
      </c>
      <c r="C86" s="1">
        <v>0.9</v>
      </c>
      <c r="D86" s="1" t="s">
        <v>15</v>
      </c>
      <c r="E86" s="2" t="s">
        <v>91</v>
      </c>
      <c r="F86" s="7" t="s">
        <v>14</v>
      </c>
      <c r="G86" s="7" t="s">
        <v>15</v>
      </c>
      <c r="H86" s="9">
        <v>1500</v>
      </c>
      <c r="I86" s="17">
        <f>893+623</f>
        <v>1516</v>
      </c>
      <c r="J86" s="18">
        <f t="shared" si="0"/>
        <v>-16</v>
      </c>
    </row>
    <row r="87" spans="1:10" ht="15.6" x14ac:dyDescent="0.3">
      <c r="A87" s="7">
        <v>100925</v>
      </c>
      <c r="B87" s="7">
        <v>304</v>
      </c>
      <c r="C87" s="1">
        <v>0.9</v>
      </c>
      <c r="D87" s="1" t="s">
        <v>17</v>
      </c>
      <c r="E87" s="2" t="s">
        <v>86</v>
      </c>
      <c r="F87" s="7" t="s">
        <v>14</v>
      </c>
      <c r="G87" s="7">
        <v>430</v>
      </c>
      <c r="H87" s="9">
        <v>1500</v>
      </c>
      <c r="I87" s="10"/>
      <c r="J87" s="9">
        <f t="shared" si="0"/>
        <v>1500</v>
      </c>
    </row>
    <row r="88" spans="1:10" ht="15.6" x14ac:dyDescent="0.3">
      <c r="A88" s="7">
        <v>100925</v>
      </c>
      <c r="B88" s="7">
        <v>304</v>
      </c>
      <c r="C88" s="1">
        <v>0.9</v>
      </c>
      <c r="D88" s="1" t="s">
        <v>15</v>
      </c>
      <c r="E88" s="2" t="s">
        <v>90</v>
      </c>
      <c r="F88" s="7" t="s">
        <v>14</v>
      </c>
      <c r="G88" s="7" t="s">
        <v>15</v>
      </c>
      <c r="H88" s="9">
        <v>1500</v>
      </c>
      <c r="I88" s="10"/>
      <c r="J88" s="9">
        <f t="shared" si="0"/>
        <v>1500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0"/>
        <v>0</v>
      </c>
    </row>
    <row r="90" spans="1:10" ht="15.6" x14ac:dyDescent="0.3">
      <c r="A90" s="7" t="s">
        <v>87</v>
      </c>
      <c r="B90" s="7">
        <v>304</v>
      </c>
      <c r="C90" s="1">
        <v>0.9</v>
      </c>
      <c r="D90" s="1" t="s">
        <v>17</v>
      </c>
      <c r="E90" s="2" t="s">
        <v>88</v>
      </c>
      <c r="F90" s="7" t="s">
        <v>14</v>
      </c>
      <c r="G90" s="7">
        <v>430</v>
      </c>
      <c r="H90" s="9">
        <v>1200</v>
      </c>
      <c r="I90" s="10">
        <v>698</v>
      </c>
      <c r="J90" s="9">
        <f t="shared" si="0"/>
        <v>502</v>
      </c>
    </row>
    <row r="91" spans="1:10" ht="15.6" x14ac:dyDescent="0.3">
      <c r="A91" s="7" t="s">
        <v>87</v>
      </c>
      <c r="B91" s="7">
        <v>304</v>
      </c>
      <c r="C91" s="1">
        <v>0.9</v>
      </c>
      <c r="D91" s="1" t="s">
        <v>15</v>
      </c>
      <c r="E91" s="2" t="s">
        <v>89</v>
      </c>
      <c r="F91" s="7" t="s">
        <v>14</v>
      </c>
      <c r="G91" s="7" t="s">
        <v>15</v>
      </c>
      <c r="H91" s="9">
        <v>1200</v>
      </c>
      <c r="I91" s="10">
        <v>698</v>
      </c>
      <c r="J91" s="9">
        <f t="shared" si="0"/>
        <v>502</v>
      </c>
    </row>
    <row r="92" spans="1:10" ht="15.6" x14ac:dyDescent="0.3">
      <c r="A92" s="7" t="s">
        <v>87</v>
      </c>
      <c r="B92" s="7">
        <v>304</v>
      </c>
      <c r="C92" s="1">
        <v>0.9</v>
      </c>
      <c r="D92" s="1" t="s">
        <v>17</v>
      </c>
      <c r="E92" s="2" t="s">
        <v>92</v>
      </c>
      <c r="F92" s="7" t="s">
        <v>14</v>
      </c>
      <c r="G92" s="7">
        <v>430</v>
      </c>
      <c r="H92" s="9">
        <v>1500</v>
      </c>
      <c r="I92" s="10">
        <f>600+288</f>
        <v>888</v>
      </c>
      <c r="J92" s="9">
        <f t="shared" si="0"/>
        <v>612</v>
      </c>
    </row>
    <row r="93" spans="1:10" ht="15.6" x14ac:dyDescent="0.3">
      <c r="A93" s="7" t="s">
        <v>87</v>
      </c>
      <c r="B93" s="7">
        <v>304</v>
      </c>
      <c r="C93" s="1">
        <v>0.9</v>
      </c>
      <c r="D93" s="1" t="s">
        <v>15</v>
      </c>
      <c r="E93" s="2" t="s">
        <v>93</v>
      </c>
      <c r="F93" s="7" t="s">
        <v>14</v>
      </c>
      <c r="G93" s="7" t="s">
        <v>15</v>
      </c>
      <c r="H93" s="9">
        <v>1500</v>
      </c>
      <c r="I93" s="10">
        <f>600+288</f>
        <v>888</v>
      </c>
      <c r="J93" s="9">
        <f t="shared" si="0"/>
        <v>612</v>
      </c>
    </row>
    <row r="94" spans="1:10" ht="15.6" x14ac:dyDescent="0.3">
      <c r="A94" s="7" t="s">
        <v>87</v>
      </c>
      <c r="B94" s="7">
        <v>304</v>
      </c>
      <c r="C94" s="1">
        <v>0.9</v>
      </c>
      <c r="D94" s="1" t="s">
        <v>17</v>
      </c>
      <c r="E94" s="2" t="s">
        <v>94</v>
      </c>
      <c r="F94" s="7" t="s">
        <v>14</v>
      </c>
      <c r="G94" s="7">
        <v>430</v>
      </c>
      <c r="H94" s="9">
        <v>1500</v>
      </c>
      <c r="I94" s="10"/>
      <c r="J94" s="9">
        <f t="shared" si="0"/>
        <v>1500</v>
      </c>
    </row>
    <row r="95" spans="1:10" ht="15.6" x14ac:dyDescent="0.3">
      <c r="A95" s="7" t="s">
        <v>87</v>
      </c>
      <c r="B95" s="7">
        <v>304</v>
      </c>
      <c r="C95" s="1">
        <v>0.9</v>
      </c>
      <c r="D95" s="1" t="s">
        <v>15</v>
      </c>
      <c r="E95" s="2" t="s">
        <v>95</v>
      </c>
      <c r="F95" s="7" t="s">
        <v>14</v>
      </c>
      <c r="G95" s="7" t="s">
        <v>15</v>
      </c>
      <c r="H95" s="9">
        <v>1500</v>
      </c>
      <c r="I95" s="10"/>
      <c r="J95" s="9">
        <f t="shared" si="0"/>
        <v>1500</v>
      </c>
    </row>
    <row r="96" spans="1:10" ht="15.6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0"/>
        <v>0</v>
      </c>
    </row>
    <row r="97" spans="1:10" ht="15.6" x14ac:dyDescent="0.3">
      <c r="A97" s="7">
        <v>160925</v>
      </c>
      <c r="B97" s="7">
        <v>304</v>
      </c>
      <c r="C97" s="1">
        <v>0.9</v>
      </c>
      <c r="D97" s="1" t="s">
        <v>17</v>
      </c>
      <c r="E97" s="2" t="s">
        <v>96</v>
      </c>
      <c r="F97" s="7" t="s">
        <v>14</v>
      </c>
      <c r="G97" s="7">
        <v>430</v>
      </c>
      <c r="H97" s="9">
        <v>1100</v>
      </c>
      <c r="I97" s="10"/>
      <c r="J97" s="9">
        <f t="shared" si="0"/>
        <v>1100</v>
      </c>
    </row>
    <row r="98" spans="1:10" ht="15.6" x14ac:dyDescent="0.3">
      <c r="A98" s="7">
        <v>160925</v>
      </c>
      <c r="B98" s="7">
        <v>304</v>
      </c>
      <c r="C98" s="1">
        <v>0.9</v>
      </c>
      <c r="D98" s="1" t="s">
        <v>15</v>
      </c>
      <c r="E98" s="2" t="s">
        <v>97</v>
      </c>
      <c r="F98" s="7" t="s">
        <v>14</v>
      </c>
      <c r="G98" s="7" t="s">
        <v>15</v>
      </c>
      <c r="H98" s="9">
        <v>1100</v>
      </c>
      <c r="I98" s="10"/>
      <c r="J98" s="9">
        <f t="shared" si="0"/>
        <v>1100</v>
      </c>
    </row>
    <row r="99" spans="1:10" ht="15.6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0"/>
        <v>0</v>
      </c>
    </row>
    <row r="100" spans="1:10" ht="15.6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0"/>
        <v>0</v>
      </c>
    </row>
    <row r="101" spans="1:10" ht="15.6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0"/>
        <v>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0"/>
        <v>0</v>
      </c>
    </row>
    <row r="103" spans="1:10" ht="15.6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0"/>
        <v>0</v>
      </c>
    </row>
    <row r="104" spans="1:10" ht="15.6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0"/>
        <v>0</v>
      </c>
    </row>
    <row r="105" spans="1:10" ht="15.6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0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0"/>
        <v>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0"/>
        <v>0</v>
      </c>
    </row>
    <row r="108" spans="1:10" ht="15.6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0"/>
        <v>0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0"/>
        <v>0</v>
      </c>
    </row>
    <row r="110" spans="1:10" ht="15.6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0"/>
        <v>0</v>
      </c>
    </row>
    <row r="111" spans="1:10" ht="15.6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0"/>
        <v>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0"/>
        <v>0</v>
      </c>
    </row>
    <row r="113" spans="1:10" ht="15.6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0"/>
        <v>0</v>
      </c>
    </row>
    <row r="114" spans="1:10" ht="15.6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0"/>
        <v>0</v>
      </c>
    </row>
    <row r="115" spans="1:10" ht="15.6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0"/>
        <v>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0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0"/>
        <v>0</v>
      </c>
    </row>
    <row r="118" spans="1:10" ht="15.6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0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0"/>
        <v>0</v>
      </c>
    </row>
    <row r="120" spans="1:10" ht="15.6" x14ac:dyDescent="0.3">
      <c r="A120" s="7"/>
      <c r="B120" s="7"/>
      <c r="C120" s="1"/>
      <c r="D120" s="1"/>
      <c r="E120" s="2"/>
      <c r="F120" s="7"/>
      <c r="G120" s="7"/>
      <c r="H120" s="9"/>
      <c r="I120" s="10"/>
      <c r="J120" s="9">
        <f t="shared" si="0"/>
        <v>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0"/>
        <v>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0"/>
        <v>0</v>
      </c>
    </row>
    <row r="123" spans="1:10" ht="15.6" x14ac:dyDescent="0.3">
      <c r="A123" s="7"/>
      <c r="B123" s="7"/>
      <c r="C123" s="1"/>
      <c r="D123" s="1"/>
      <c r="E123" s="2"/>
      <c r="F123" s="7"/>
      <c r="G123" s="7"/>
      <c r="H123" s="9"/>
      <c r="I123" s="10"/>
      <c r="J123" s="9">
        <f t="shared" si="0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0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0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0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0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0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0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0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0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0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0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0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0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0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0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0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0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0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0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0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0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0"/>
        <v>0</v>
      </c>
    </row>
    <row r="145" spans="1:10" ht="15.6" x14ac:dyDescent="0.3">
      <c r="A145" s="11"/>
      <c r="B145" s="11"/>
      <c r="C145" s="12"/>
      <c r="D145" s="12"/>
      <c r="E145" s="13"/>
      <c r="F145" s="11"/>
      <c r="G145" s="14"/>
      <c r="H145" s="9">
        <f>SUM(H4:H144)</f>
        <v>81857</v>
      </c>
      <c r="I145" s="10">
        <f>SUM(I4:I144)</f>
        <v>60227</v>
      </c>
      <c r="J145" s="9">
        <f>SUM(J4:J144)</f>
        <v>21630</v>
      </c>
    </row>
  </sheetData>
  <autoFilter ref="A3:J145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opLeftCell="A28" zoomScale="85" zoomScaleNormal="85" workbookViewId="0">
      <selection activeCell="E49" sqref="E49:E50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45950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/>
      <c r="J4" s="9">
        <f t="shared" ref="J4:J61" si="0">H4-I4</f>
        <v>700</v>
      </c>
    </row>
    <row r="5" spans="1:10" ht="19.95" customHeight="1" x14ac:dyDescent="0.3">
      <c r="A5" s="7"/>
      <c r="B5" s="7"/>
      <c r="C5" s="1"/>
      <c r="D5" s="1"/>
      <c r="E5" s="2"/>
      <c r="F5" s="7"/>
      <c r="G5" s="7"/>
      <c r="H5" s="9"/>
      <c r="I5" s="10"/>
      <c r="J5" s="9"/>
    </row>
    <row r="6" spans="1:10" ht="19.95" customHeight="1" x14ac:dyDescent="0.3">
      <c r="A6" s="7">
        <v>10925</v>
      </c>
      <c r="B6" s="7">
        <v>430</v>
      </c>
      <c r="C6" s="1">
        <v>0.8</v>
      </c>
      <c r="D6" s="1" t="s">
        <v>17</v>
      </c>
      <c r="E6" s="2" t="s">
        <v>18</v>
      </c>
      <c r="F6" s="7" t="s">
        <v>14</v>
      </c>
      <c r="G6" s="7">
        <v>430</v>
      </c>
      <c r="H6" s="9">
        <v>3300</v>
      </c>
      <c r="I6" s="10">
        <f>890+800+114+174+24+1298</f>
        <v>3300</v>
      </c>
      <c r="J6" s="9">
        <f t="shared" si="0"/>
        <v>0</v>
      </c>
    </row>
    <row r="7" spans="1:10" ht="19.95" customHeight="1" x14ac:dyDescent="0.3">
      <c r="A7" s="7">
        <v>10925</v>
      </c>
      <c r="B7" s="7">
        <v>430</v>
      </c>
      <c r="C7" s="1">
        <v>0.8</v>
      </c>
      <c r="D7" s="1" t="s">
        <v>15</v>
      </c>
      <c r="E7" s="2" t="s">
        <v>19</v>
      </c>
      <c r="F7" s="7" t="s">
        <v>14</v>
      </c>
      <c r="G7" s="7" t="s">
        <v>15</v>
      </c>
      <c r="H7" s="9">
        <v>3300</v>
      </c>
      <c r="I7" s="10">
        <f>890+800+114+174+24+1298</f>
        <v>3300</v>
      </c>
      <c r="J7" s="9">
        <f t="shared" si="0"/>
        <v>0</v>
      </c>
    </row>
    <row r="8" spans="1:10" ht="15.6" x14ac:dyDescent="0.3">
      <c r="A8" s="7">
        <v>10925</v>
      </c>
      <c r="B8" s="7">
        <v>430</v>
      </c>
      <c r="C8" s="1">
        <v>0.8</v>
      </c>
      <c r="D8" s="1" t="s">
        <v>17</v>
      </c>
      <c r="E8" s="2" t="s">
        <v>20</v>
      </c>
      <c r="F8" s="7" t="s">
        <v>14</v>
      </c>
      <c r="G8" s="7">
        <v>430</v>
      </c>
      <c r="H8" s="9">
        <v>3300</v>
      </c>
      <c r="I8" s="10">
        <f>1200+480+1251+20+349</f>
        <v>3300</v>
      </c>
      <c r="J8" s="9">
        <f t="shared" si="0"/>
        <v>0</v>
      </c>
    </row>
    <row r="9" spans="1:10" ht="15.6" x14ac:dyDescent="0.3">
      <c r="A9" s="7">
        <v>10925</v>
      </c>
      <c r="B9" s="7">
        <v>430</v>
      </c>
      <c r="C9" s="1">
        <v>0.8</v>
      </c>
      <c r="D9" s="1" t="s">
        <v>15</v>
      </c>
      <c r="E9" s="2" t="s">
        <v>21</v>
      </c>
      <c r="F9" s="7" t="s">
        <v>14</v>
      </c>
      <c r="G9" s="7" t="s">
        <v>15</v>
      </c>
      <c r="H9" s="9">
        <v>3300</v>
      </c>
      <c r="I9" s="10">
        <f>1200+480+1251+20+349</f>
        <v>3300</v>
      </c>
      <c r="J9" s="9">
        <f t="shared" si="0"/>
        <v>0</v>
      </c>
    </row>
    <row r="10" spans="1:10" ht="15.6" x14ac:dyDescent="0.3">
      <c r="A10" s="7">
        <v>10925</v>
      </c>
      <c r="B10" s="7">
        <v>430</v>
      </c>
      <c r="C10" s="1">
        <v>0.8</v>
      </c>
      <c r="D10" s="1" t="s">
        <v>17</v>
      </c>
      <c r="E10" s="2" t="s">
        <v>22</v>
      </c>
      <c r="F10" s="7" t="s">
        <v>14</v>
      </c>
      <c r="G10" s="7">
        <v>430</v>
      </c>
      <c r="H10" s="9">
        <v>3100</v>
      </c>
      <c r="I10" s="10">
        <f>910+290+1250+252+258+38+20+82</f>
        <v>3100</v>
      </c>
      <c r="J10" s="9">
        <f t="shared" si="0"/>
        <v>0</v>
      </c>
    </row>
    <row r="11" spans="1:10" ht="15.6" x14ac:dyDescent="0.3">
      <c r="A11" s="7">
        <v>10925</v>
      </c>
      <c r="B11" s="7">
        <v>430</v>
      </c>
      <c r="C11" s="1">
        <v>0.8</v>
      </c>
      <c r="D11" s="1" t="s">
        <v>15</v>
      </c>
      <c r="E11" s="2" t="s">
        <v>23</v>
      </c>
      <c r="F11" s="7" t="s">
        <v>14</v>
      </c>
      <c r="G11" s="7" t="s">
        <v>15</v>
      </c>
      <c r="H11" s="9">
        <v>3100</v>
      </c>
      <c r="I11" s="10">
        <f>910+290+1250+252+258+38+20+82</f>
        <v>3100</v>
      </c>
      <c r="J11" s="9">
        <f t="shared" si="0"/>
        <v>0</v>
      </c>
    </row>
    <row r="12" spans="1:10" ht="15.6" x14ac:dyDescent="0.3">
      <c r="A12" s="7"/>
      <c r="B12" s="7"/>
      <c r="C12" s="1"/>
      <c r="D12" s="1"/>
      <c r="E12" s="2"/>
      <c r="F12" s="7"/>
      <c r="G12" s="7"/>
      <c r="H12" s="9"/>
      <c r="I12" s="10"/>
      <c r="J12" s="9">
        <f t="shared" si="0"/>
        <v>0</v>
      </c>
    </row>
    <row r="13" spans="1:10" ht="15.6" x14ac:dyDescent="0.3">
      <c r="A13" s="7">
        <v>250041</v>
      </c>
      <c r="B13" s="7">
        <v>304</v>
      </c>
      <c r="C13" s="1">
        <v>0.9</v>
      </c>
      <c r="D13" s="1" t="s">
        <v>17</v>
      </c>
      <c r="E13" s="2" t="s">
        <v>27</v>
      </c>
      <c r="F13" s="7" t="s">
        <v>14</v>
      </c>
      <c r="G13" s="7">
        <v>304</v>
      </c>
      <c r="H13" s="9">
        <v>1000</v>
      </c>
      <c r="I13" s="10"/>
      <c r="J13" s="9">
        <f t="shared" ref="J13:J19" si="1">H13-I13</f>
        <v>1000</v>
      </c>
    </row>
    <row r="14" spans="1:10" ht="15.6" x14ac:dyDescent="0.3">
      <c r="A14" s="7">
        <v>250041</v>
      </c>
      <c r="B14" s="7">
        <v>304</v>
      </c>
      <c r="C14" s="1">
        <v>0.9</v>
      </c>
      <c r="D14" s="1" t="s">
        <v>17</v>
      </c>
      <c r="E14" s="2" t="s">
        <v>28</v>
      </c>
      <c r="F14" s="7" t="s">
        <v>14</v>
      </c>
      <c r="G14" s="7">
        <v>304</v>
      </c>
      <c r="H14" s="9">
        <v>1000</v>
      </c>
      <c r="I14" s="10"/>
      <c r="J14" s="9">
        <f t="shared" si="1"/>
        <v>1000</v>
      </c>
    </row>
    <row r="15" spans="1:10" ht="15.6" x14ac:dyDescent="0.3">
      <c r="A15" s="7">
        <v>250041</v>
      </c>
      <c r="B15" s="7">
        <v>304</v>
      </c>
      <c r="C15" s="1">
        <v>0.9</v>
      </c>
      <c r="D15" s="1" t="s">
        <v>17</v>
      </c>
      <c r="E15" s="2" t="s">
        <v>29</v>
      </c>
      <c r="F15" s="7" t="s">
        <v>14</v>
      </c>
      <c r="G15" s="7">
        <v>304</v>
      </c>
      <c r="H15" s="9">
        <v>1000</v>
      </c>
      <c r="I15" s="10"/>
      <c r="J15" s="9">
        <f t="shared" si="1"/>
        <v>1000</v>
      </c>
    </row>
    <row r="16" spans="1:10" ht="15.6" x14ac:dyDescent="0.3">
      <c r="A16" s="7">
        <v>250041</v>
      </c>
      <c r="B16" s="7">
        <v>304</v>
      </c>
      <c r="C16" s="1">
        <v>0.7</v>
      </c>
      <c r="D16" s="1" t="s">
        <v>17</v>
      </c>
      <c r="E16" s="2" t="s">
        <v>30</v>
      </c>
      <c r="F16" s="7" t="s">
        <v>14</v>
      </c>
      <c r="G16" s="7">
        <v>304</v>
      </c>
      <c r="H16" s="9">
        <v>500</v>
      </c>
      <c r="I16" s="10"/>
      <c r="J16" s="9">
        <f t="shared" si="1"/>
        <v>500</v>
      </c>
    </row>
    <row r="17" spans="1:10" ht="15.6" x14ac:dyDescent="0.3">
      <c r="A17" s="7">
        <v>250041</v>
      </c>
      <c r="B17" s="7">
        <v>304</v>
      </c>
      <c r="C17" s="1">
        <v>0.7</v>
      </c>
      <c r="D17" s="1" t="s">
        <v>17</v>
      </c>
      <c r="E17" s="2" t="s">
        <v>32</v>
      </c>
      <c r="F17" s="7" t="s">
        <v>14</v>
      </c>
      <c r="G17" s="7">
        <v>304</v>
      </c>
      <c r="H17" s="9">
        <v>500</v>
      </c>
      <c r="I17" s="10"/>
      <c r="J17" s="9">
        <f t="shared" si="1"/>
        <v>500</v>
      </c>
    </row>
    <row r="18" spans="1:10" ht="15.6" x14ac:dyDescent="0.3">
      <c r="A18" s="7">
        <v>250041</v>
      </c>
      <c r="B18" s="7">
        <v>304</v>
      </c>
      <c r="C18" s="1">
        <v>0.7</v>
      </c>
      <c r="D18" s="1" t="s">
        <v>17</v>
      </c>
      <c r="E18" s="2" t="s">
        <v>31</v>
      </c>
      <c r="F18" s="7" t="s">
        <v>14</v>
      </c>
      <c r="G18" s="7">
        <v>304</v>
      </c>
      <c r="H18" s="9">
        <v>500</v>
      </c>
      <c r="I18" s="10"/>
      <c r="J18" s="9">
        <f t="shared" si="1"/>
        <v>500</v>
      </c>
    </row>
    <row r="19" spans="1:10" ht="15.6" x14ac:dyDescent="0.3">
      <c r="A19" s="7">
        <v>250041</v>
      </c>
      <c r="B19" s="7">
        <v>304</v>
      </c>
      <c r="C19" s="1">
        <v>0.7</v>
      </c>
      <c r="D19" s="1" t="s">
        <v>17</v>
      </c>
      <c r="E19" s="2" t="s">
        <v>33</v>
      </c>
      <c r="F19" s="7" t="s">
        <v>14</v>
      </c>
      <c r="G19" s="7">
        <v>304</v>
      </c>
      <c r="H19" s="9">
        <v>500</v>
      </c>
      <c r="I19" s="10"/>
      <c r="J19" s="9">
        <f t="shared" si="1"/>
        <v>500</v>
      </c>
    </row>
    <row r="20" spans="1:10" ht="15.6" x14ac:dyDescent="0.3">
      <c r="A20" s="7"/>
      <c r="B20" s="7"/>
      <c r="C20" s="1"/>
      <c r="D20" s="1"/>
      <c r="E20" s="2"/>
      <c r="F20" s="7"/>
      <c r="G20" s="7"/>
      <c r="H20" s="9"/>
      <c r="I20" s="10"/>
      <c r="J20" s="9">
        <f t="shared" si="0"/>
        <v>0</v>
      </c>
    </row>
    <row r="21" spans="1:10" ht="15.6" x14ac:dyDescent="0.3">
      <c r="A21" s="7">
        <v>250039</v>
      </c>
      <c r="B21" s="7">
        <v>304</v>
      </c>
      <c r="C21" s="1">
        <v>0.7</v>
      </c>
      <c r="D21" s="1" t="s">
        <v>34</v>
      </c>
      <c r="E21" s="2" t="s">
        <v>36</v>
      </c>
      <c r="F21" s="7" t="s">
        <v>14</v>
      </c>
      <c r="G21" s="7">
        <v>304</v>
      </c>
      <c r="H21" s="9">
        <v>400</v>
      </c>
      <c r="I21" s="10">
        <f>248+152</f>
        <v>400</v>
      </c>
      <c r="J21" s="9">
        <f t="shared" si="0"/>
        <v>0</v>
      </c>
    </row>
    <row r="22" spans="1:10" ht="15.6" x14ac:dyDescent="0.3">
      <c r="A22" s="7">
        <v>250039</v>
      </c>
      <c r="B22" s="7">
        <v>304</v>
      </c>
      <c r="C22" s="1">
        <v>0.7</v>
      </c>
      <c r="D22" s="1" t="s">
        <v>34</v>
      </c>
      <c r="E22" s="2" t="s">
        <v>50</v>
      </c>
      <c r="F22" s="7" t="s">
        <v>14</v>
      </c>
      <c r="G22" s="7">
        <v>304</v>
      </c>
      <c r="H22" s="9">
        <v>400</v>
      </c>
      <c r="I22" s="10">
        <v>400</v>
      </c>
      <c r="J22" s="9">
        <f t="shared" si="0"/>
        <v>0</v>
      </c>
    </row>
    <row r="23" spans="1:10" ht="15.6" x14ac:dyDescent="0.3">
      <c r="A23" s="7">
        <v>250039</v>
      </c>
      <c r="B23" s="7">
        <v>304</v>
      </c>
      <c r="C23" s="1">
        <v>0.7</v>
      </c>
      <c r="D23" s="1" t="s">
        <v>34</v>
      </c>
      <c r="E23" s="2" t="s">
        <v>55</v>
      </c>
      <c r="F23" s="7" t="s">
        <v>14</v>
      </c>
      <c r="G23" s="7">
        <v>304</v>
      </c>
      <c r="H23" s="9">
        <v>400</v>
      </c>
      <c r="I23" s="10">
        <v>400</v>
      </c>
      <c r="J23" s="9">
        <f t="shared" si="0"/>
        <v>0</v>
      </c>
    </row>
    <row r="24" spans="1:10" ht="15.6" x14ac:dyDescent="0.3">
      <c r="A24" s="7">
        <v>250039</v>
      </c>
      <c r="B24" s="7">
        <v>304</v>
      </c>
      <c r="C24" s="1">
        <v>0.7</v>
      </c>
      <c r="D24" s="1" t="s">
        <v>34</v>
      </c>
      <c r="E24" s="2" t="s">
        <v>58</v>
      </c>
      <c r="F24" s="7" t="s">
        <v>14</v>
      </c>
      <c r="G24" s="7">
        <v>304</v>
      </c>
      <c r="H24" s="9">
        <v>400</v>
      </c>
      <c r="I24" s="10">
        <v>400</v>
      </c>
      <c r="J24" s="9">
        <f t="shared" si="0"/>
        <v>0</v>
      </c>
    </row>
    <row r="25" spans="1:10" ht="15.6" x14ac:dyDescent="0.3">
      <c r="A25" s="7">
        <v>250040</v>
      </c>
      <c r="B25" s="7">
        <v>304</v>
      </c>
      <c r="C25" s="1">
        <v>0.7</v>
      </c>
      <c r="D25" s="1" t="s">
        <v>34</v>
      </c>
      <c r="E25" s="2" t="s">
        <v>51</v>
      </c>
      <c r="F25" s="7" t="s">
        <v>14</v>
      </c>
      <c r="G25" s="7">
        <v>304</v>
      </c>
      <c r="H25" s="9">
        <v>400</v>
      </c>
      <c r="I25" s="10">
        <v>400</v>
      </c>
      <c r="J25" s="9">
        <f t="shared" si="0"/>
        <v>0</v>
      </c>
    </row>
    <row r="26" spans="1:10" ht="15.6" x14ac:dyDescent="0.3">
      <c r="A26" s="7">
        <v>250040</v>
      </c>
      <c r="B26" s="7">
        <v>304</v>
      </c>
      <c r="C26" s="1">
        <v>0.7</v>
      </c>
      <c r="D26" s="1" t="s">
        <v>17</v>
      </c>
      <c r="E26" s="2" t="s">
        <v>65</v>
      </c>
      <c r="F26" s="7" t="s">
        <v>14</v>
      </c>
      <c r="G26" s="7">
        <v>304</v>
      </c>
      <c r="H26" s="9">
        <v>400</v>
      </c>
      <c r="I26" s="10">
        <f>325+60+15</f>
        <v>400</v>
      </c>
      <c r="J26" s="9">
        <f t="shared" si="0"/>
        <v>0</v>
      </c>
    </row>
    <row r="27" spans="1:10" ht="15.6" x14ac:dyDescent="0.3">
      <c r="A27" s="7"/>
      <c r="B27" s="7"/>
      <c r="C27" s="1"/>
      <c r="D27" s="1"/>
      <c r="E27" s="2"/>
      <c r="F27" s="7"/>
      <c r="G27" s="7"/>
      <c r="H27" s="9"/>
      <c r="I27" s="10"/>
      <c r="J27" s="9">
        <f t="shared" si="0"/>
        <v>0</v>
      </c>
    </row>
    <row r="28" spans="1:10" ht="15.6" x14ac:dyDescent="0.3">
      <c r="A28" s="7" t="s">
        <v>77</v>
      </c>
      <c r="B28" s="7">
        <v>304</v>
      </c>
      <c r="C28" s="1">
        <v>0.8</v>
      </c>
      <c r="D28" s="1" t="s">
        <v>17</v>
      </c>
      <c r="E28" s="2" t="s">
        <v>78</v>
      </c>
      <c r="F28" s="7" t="s">
        <v>14</v>
      </c>
      <c r="G28" s="7">
        <v>304</v>
      </c>
      <c r="H28" s="9">
        <v>3200</v>
      </c>
      <c r="I28" s="10">
        <f>1600+1298+158+92+13+39</f>
        <v>3200</v>
      </c>
      <c r="J28" s="9">
        <f t="shared" si="0"/>
        <v>0</v>
      </c>
    </row>
    <row r="29" spans="1:10" ht="15.6" x14ac:dyDescent="0.3">
      <c r="A29" s="7" t="s">
        <v>77</v>
      </c>
      <c r="B29" s="7">
        <v>304</v>
      </c>
      <c r="C29" s="1">
        <v>0.8</v>
      </c>
      <c r="D29" s="1" t="s">
        <v>17</v>
      </c>
      <c r="E29" s="2" t="s">
        <v>79</v>
      </c>
      <c r="F29" s="7" t="s">
        <v>14</v>
      </c>
      <c r="G29" s="7">
        <v>304</v>
      </c>
      <c r="H29" s="9">
        <v>3200</v>
      </c>
      <c r="I29" s="10">
        <f>1600+1298+158+92+13+39</f>
        <v>3200</v>
      </c>
      <c r="J29" s="9">
        <f t="shared" si="0"/>
        <v>0</v>
      </c>
    </row>
    <row r="30" spans="1:10" ht="15.6" x14ac:dyDescent="0.3">
      <c r="A30" s="7"/>
      <c r="B30" s="7"/>
      <c r="C30" s="1"/>
      <c r="D30" s="1"/>
      <c r="E30" s="2"/>
      <c r="F30" s="7"/>
      <c r="G30" s="7"/>
      <c r="H30" s="9"/>
      <c r="I30" s="10"/>
      <c r="J30" s="9">
        <f t="shared" si="0"/>
        <v>0</v>
      </c>
    </row>
    <row r="31" spans="1:10" ht="15.6" x14ac:dyDescent="0.3">
      <c r="A31" s="7">
        <v>250074</v>
      </c>
      <c r="B31" s="7">
        <v>304</v>
      </c>
      <c r="C31" s="1">
        <v>0.7</v>
      </c>
      <c r="D31" s="1" t="s">
        <v>12</v>
      </c>
      <c r="E31" s="2" t="s">
        <v>81</v>
      </c>
      <c r="F31" s="7" t="s">
        <v>14</v>
      </c>
      <c r="G31" s="7">
        <v>430</v>
      </c>
      <c r="H31" s="9">
        <v>708</v>
      </c>
      <c r="I31" s="10">
        <f>600+79+29</f>
        <v>708</v>
      </c>
      <c r="J31" s="9">
        <f t="shared" si="0"/>
        <v>0</v>
      </c>
    </row>
    <row r="32" spans="1:10" ht="15.6" x14ac:dyDescent="0.3">
      <c r="A32" s="7"/>
      <c r="B32" s="7"/>
      <c r="C32" s="1"/>
      <c r="D32" s="1"/>
      <c r="E32" s="2"/>
      <c r="F32" s="7"/>
      <c r="G32" s="7"/>
      <c r="H32" s="9"/>
      <c r="I32" s="10"/>
      <c r="J32" s="9">
        <f t="shared" si="0"/>
        <v>0</v>
      </c>
    </row>
    <row r="33" spans="1:10" ht="15.6" x14ac:dyDescent="0.3">
      <c r="A33" s="7">
        <v>100925</v>
      </c>
      <c r="B33" s="7">
        <v>304</v>
      </c>
      <c r="C33" s="1">
        <v>0.9</v>
      </c>
      <c r="D33" s="1" t="s">
        <v>17</v>
      </c>
      <c r="E33" s="2" t="s">
        <v>83</v>
      </c>
      <c r="F33" s="7" t="s">
        <v>14</v>
      </c>
      <c r="G33" s="7">
        <v>430</v>
      </c>
      <c r="H33" s="9">
        <v>1200</v>
      </c>
      <c r="I33" s="10">
        <f>526+22+652</f>
        <v>1200</v>
      </c>
      <c r="J33" s="9">
        <f t="shared" si="0"/>
        <v>0</v>
      </c>
    </row>
    <row r="34" spans="1:10" ht="15.6" x14ac:dyDescent="0.3">
      <c r="A34" s="7">
        <v>100925</v>
      </c>
      <c r="B34" s="7">
        <v>304</v>
      </c>
      <c r="C34" s="1">
        <v>0.9</v>
      </c>
      <c r="D34" s="1" t="s">
        <v>15</v>
      </c>
      <c r="E34" s="2" t="s">
        <v>84</v>
      </c>
      <c r="F34" s="7" t="s">
        <v>14</v>
      </c>
      <c r="G34" s="7" t="s">
        <v>15</v>
      </c>
      <c r="H34" s="9">
        <v>1200</v>
      </c>
      <c r="I34" s="10">
        <f>526+22+652</f>
        <v>1200</v>
      </c>
      <c r="J34" s="9">
        <f t="shared" si="0"/>
        <v>0</v>
      </c>
    </row>
    <row r="35" spans="1:10" ht="15.6" x14ac:dyDescent="0.3">
      <c r="A35" s="7"/>
      <c r="B35" s="7"/>
      <c r="C35" s="1"/>
      <c r="D35" s="1"/>
      <c r="E35" s="2"/>
      <c r="F35" s="7"/>
      <c r="G35" s="7"/>
      <c r="H35" s="9"/>
      <c r="I35" s="10"/>
      <c r="J35" s="9">
        <f t="shared" si="0"/>
        <v>0</v>
      </c>
    </row>
    <row r="36" spans="1:10" ht="15.6" x14ac:dyDescent="0.3">
      <c r="A36" s="7">
        <v>100925</v>
      </c>
      <c r="B36" s="7">
        <v>304</v>
      </c>
      <c r="C36" s="1">
        <v>0.9</v>
      </c>
      <c r="D36" s="1" t="s">
        <v>17</v>
      </c>
      <c r="E36" s="2" t="s">
        <v>86</v>
      </c>
      <c r="F36" s="7" t="s">
        <v>14</v>
      </c>
      <c r="G36" s="7">
        <v>430</v>
      </c>
      <c r="H36" s="9">
        <v>1500</v>
      </c>
      <c r="I36" s="10">
        <f>161+368+41+834</f>
        <v>1404</v>
      </c>
      <c r="J36" s="9">
        <f t="shared" si="0"/>
        <v>96</v>
      </c>
    </row>
    <row r="37" spans="1:10" ht="15.6" x14ac:dyDescent="0.3">
      <c r="A37" s="7">
        <v>100925</v>
      </c>
      <c r="B37" s="7">
        <v>304</v>
      </c>
      <c r="C37" s="1">
        <v>0.9</v>
      </c>
      <c r="D37" s="1" t="s">
        <v>15</v>
      </c>
      <c r="E37" s="2" t="s">
        <v>90</v>
      </c>
      <c r="F37" s="7" t="s">
        <v>14</v>
      </c>
      <c r="G37" s="7" t="s">
        <v>15</v>
      </c>
      <c r="H37" s="9">
        <v>1500</v>
      </c>
      <c r="I37" s="10">
        <f>161+368+41+834</f>
        <v>1404</v>
      </c>
      <c r="J37" s="9">
        <f t="shared" si="0"/>
        <v>96</v>
      </c>
    </row>
    <row r="38" spans="1:10" ht="15.6" x14ac:dyDescent="0.3">
      <c r="A38" s="7"/>
      <c r="B38" s="7"/>
      <c r="C38" s="1"/>
      <c r="D38" s="1"/>
      <c r="E38" s="2"/>
      <c r="F38" s="7"/>
      <c r="G38" s="7"/>
      <c r="H38" s="9"/>
      <c r="I38" s="10"/>
      <c r="J38" s="9">
        <f t="shared" si="0"/>
        <v>0</v>
      </c>
    </row>
    <row r="39" spans="1:10" ht="15.6" x14ac:dyDescent="0.3">
      <c r="A39" s="7" t="s">
        <v>87</v>
      </c>
      <c r="B39" s="7">
        <v>304</v>
      </c>
      <c r="C39" s="1">
        <v>0.9</v>
      </c>
      <c r="D39" s="1" t="s">
        <v>17</v>
      </c>
      <c r="E39" s="2" t="s">
        <v>88</v>
      </c>
      <c r="F39" s="7" t="s">
        <v>14</v>
      </c>
      <c r="G39" s="7">
        <v>430</v>
      </c>
      <c r="H39" s="18">
        <v>1200</v>
      </c>
      <c r="I39" s="17">
        <f>778+230+284</f>
        <v>1292</v>
      </c>
      <c r="J39" s="18">
        <f t="shared" si="0"/>
        <v>-92</v>
      </c>
    </row>
    <row r="40" spans="1:10" ht="15.6" x14ac:dyDescent="0.3">
      <c r="A40" s="7" t="s">
        <v>87</v>
      </c>
      <c r="B40" s="7">
        <v>304</v>
      </c>
      <c r="C40" s="1">
        <v>0.9</v>
      </c>
      <c r="D40" s="1" t="s">
        <v>15</v>
      </c>
      <c r="E40" s="2" t="s">
        <v>89</v>
      </c>
      <c r="F40" s="7" t="s">
        <v>14</v>
      </c>
      <c r="G40" s="7" t="s">
        <v>15</v>
      </c>
      <c r="H40" s="18">
        <v>1200</v>
      </c>
      <c r="I40" s="17">
        <f>778+230+284</f>
        <v>1292</v>
      </c>
      <c r="J40" s="18">
        <f t="shared" si="0"/>
        <v>-92</v>
      </c>
    </row>
    <row r="41" spans="1:10" ht="15.6" x14ac:dyDescent="0.3">
      <c r="A41" s="7" t="s">
        <v>87</v>
      </c>
      <c r="B41" s="7">
        <v>304</v>
      </c>
      <c r="C41" s="1">
        <v>0.9</v>
      </c>
      <c r="D41" s="1" t="s">
        <v>17</v>
      </c>
      <c r="E41" s="2" t="s">
        <v>92</v>
      </c>
      <c r="F41" s="7" t="s">
        <v>14</v>
      </c>
      <c r="G41" s="7">
        <v>430</v>
      </c>
      <c r="H41" s="18">
        <v>1500</v>
      </c>
      <c r="I41" s="17">
        <f>600+288+543+142+15</f>
        <v>1588</v>
      </c>
      <c r="J41" s="18">
        <f t="shared" si="0"/>
        <v>-88</v>
      </c>
    </row>
    <row r="42" spans="1:10" ht="15.6" x14ac:dyDescent="0.3">
      <c r="A42" s="7" t="s">
        <v>87</v>
      </c>
      <c r="B42" s="7">
        <v>304</v>
      </c>
      <c r="C42" s="1">
        <v>0.9</v>
      </c>
      <c r="D42" s="1" t="s">
        <v>15</v>
      </c>
      <c r="E42" s="2" t="s">
        <v>93</v>
      </c>
      <c r="F42" s="7" t="s">
        <v>14</v>
      </c>
      <c r="G42" s="7" t="s">
        <v>15</v>
      </c>
      <c r="H42" s="18">
        <v>1500</v>
      </c>
      <c r="I42" s="17">
        <f>600+288+543+142+15</f>
        <v>1588</v>
      </c>
      <c r="J42" s="18">
        <f t="shared" si="0"/>
        <v>-88</v>
      </c>
    </row>
    <row r="43" spans="1:10" ht="15.6" x14ac:dyDescent="0.3">
      <c r="A43" s="7" t="s">
        <v>87</v>
      </c>
      <c r="B43" s="7">
        <v>304</v>
      </c>
      <c r="C43" s="1">
        <v>0.9</v>
      </c>
      <c r="D43" s="1" t="s">
        <v>17</v>
      </c>
      <c r="E43" s="2" t="s">
        <v>94</v>
      </c>
      <c r="F43" s="7" t="s">
        <v>14</v>
      </c>
      <c r="G43" s="7">
        <v>430</v>
      </c>
      <c r="H43" s="9">
        <v>1500</v>
      </c>
      <c r="I43" s="10">
        <f>749+420+180+25+56</f>
        <v>1430</v>
      </c>
      <c r="J43" s="9">
        <f t="shared" si="0"/>
        <v>70</v>
      </c>
    </row>
    <row r="44" spans="1:10" ht="15.6" x14ac:dyDescent="0.3">
      <c r="A44" s="7" t="s">
        <v>87</v>
      </c>
      <c r="B44" s="7">
        <v>304</v>
      </c>
      <c r="C44" s="1">
        <v>0.9</v>
      </c>
      <c r="D44" s="1" t="s">
        <v>15</v>
      </c>
      <c r="E44" s="2" t="s">
        <v>95</v>
      </c>
      <c r="F44" s="7" t="s">
        <v>14</v>
      </c>
      <c r="G44" s="7" t="s">
        <v>15</v>
      </c>
      <c r="H44" s="9">
        <v>1500</v>
      </c>
      <c r="I44" s="10">
        <f>749+420+180+25+56</f>
        <v>1430</v>
      </c>
      <c r="J44" s="9">
        <f t="shared" si="0"/>
        <v>70</v>
      </c>
    </row>
    <row r="45" spans="1:10" ht="15.6" x14ac:dyDescent="0.3">
      <c r="A45" s="7"/>
      <c r="B45" s="7"/>
      <c r="C45" s="1"/>
      <c r="D45" s="1"/>
      <c r="E45" s="2"/>
      <c r="F45" s="7"/>
      <c r="G45" s="7"/>
      <c r="H45" s="9"/>
      <c r="I45" s="10"/>
      <c r="J45" s="9">
        <f t="shared" ref="J45:J53" si="2">H45-I45</f>
        <v>0</v>
      </c>
    </row>
    <row r="46" spans="1:10" ht="15.6" x14ac:dyDescent="0.3">
      <c r="A46" s="7">
        <v>290925</v>
      </c>
      <c r="B46" s="7">
        <v>304</v>
      </c>
      <c r="C46" s="1">
        <v>0.9</v>
      </c>
      <c r="D46" s="1" t="s">
        <v>17</v>
      </c>
      <c r="E46" s="2" t="s">
        <v>98</v>
      </c>
      <c r="F46" s="7" t="s">
        <v>14</v>
      </c>
      <c r="G46" s="7">
        <v>430</v>
      </c>
      <c r="H46" s="9">
        <v>3000</v>
      </c>
      <c r="I46" s="10"/>
      <c r="J46" s="9">
        <f t="shared" si="2"/>
        <v>3000</v>
      </c>
    </row>
    <row r="47" spans="1:10" ht="15.6" x14ac:dyDescent="0.3">
      <c r="A47" s="7">
        <v>290925</v>
      </c>
      <c r="B47" s="7">
        <v>304</v>
      </c>
      <c r="C47" s="1">
        <v>0.9</v>
      </c>
      <c r="D47" s="1" t="s">
        <v>17</v>
      </c>
      <c r="E47" s="2" t="s">
        <v>99</v>
      </c>
      <c r="F47" s="7" t="s">
        <v>14</v>
      </c>
      <c r="G47" s="7" t="s">
        <v>15</v>
      </c>
      <c r="H47" s="9">
        <v>3000</v>
      </c>
      <c r="I47" s="10"/>
      <c r="J47" s="9">
        <f t="shared" si="2"/>
        <v>3000</v>
      </c>
    </row>
    <row r="48" spans="1:10" ht="15.6" x14ac:dyDescent="0.3">
      <c r="A48" s="7"/>
      <c r="B48" s="7"/>
      <c r="C48" s="1"/>
      <c r="D48" s="1"/>
      <c r="E48" s="2"/>
      <c r="F48" s="7"/>
      <c r="G48" s="7"/>
      <c r="H48" s="9"/>
      <c r="I48" s="10"/>
      <c r="J48" s="9">
        <f t="shared" si="2"/>
        <v>0</v>
      </c>
    </row>
    <row r="49" spans="1:10" ht="15.6" x14ac:dyDescent="0.3">
      <c r="A49" s="7">
        <v>290925</v>
      </c>
      <c r="B49" s="7">
        <v>304</v>
      </c>
      <c r="C49" s="1">
        <v>0.9</v>
      </c>
      <c r="D49" s="1" t="s">
        <v>17</v>
      </c>
      <c r="E49" s="2" t="s">
        <v>101</v>
      </c>
      <c r="F49" s="7" t="s">
        <v>14</v>
      </c>
      <c r="G49" s="7">
        <v>430</v>
      </c>
      <c r="H49" s="9">
        <v>4000</v>
      </c>
      <c r="I49" s="10">
        <f>1111+169+460+970</f>
        <v>2710</v>
      </c>
      <c r="J49" s="9">
        <f t="shared" si="2"/>
        <v>1290</v>
      </c>
    </row>
    <row r="50" spans="1:10" ht="15.6" x14ac:dyDescent="0.3">
      <c r="A50" s="7">
        <v>290925</v>
      </c>
      <c r="B50" s="7">
        <v>304</v>
      </c>
      <c r="C50" s="1">
        <v>0.9</v>
      </c>
      <c r="D50" s="1" t="s">
        <v>15</v>
      </c>
      <c r="E50" s="2" t="s">
        <v>100</v>
      </c>
      <c r="F50" s="7" t="s">
        <v>14</v>
      </c>
      <c r="G50" s="7" t="s">
        <v>15</v>
      </c>
      <c r="H50" s="9">
        <v>4000</v>
      </c>
      <c r="I50" s="10">
        <f>1111+169+460+970</f>
        <v>2710</v>
      </c>
      <c r="J50" s="9">
        <f t="shared" si="2"/>
        <v>1290</v>
      </c>
    </row>
    <row r="51" spans="1:10" ht="15.6" x14ac:dyDescent="0.3">
      <c r="A51" s="7"/>
      <c r="B51" s="7"/>
      <c r="C51" s="1"/>
      <c r="D51" s="1"/>
      <c r="E51" s="2"/>
      <c r="F51" s="7"/>
      <c r="G51" s="7"/>
      <c r="H51" s="9"/>
      <c r="I51" s="10"/>
      <c r="J51" s="9">
        <f t="shared" si="2"/>
        <v>0</v>
      </c>
    </row>
    <row r="52" spans="1:10" ht="15.6" x14ac:dyDescent="0.3">
      <c r="A52" s="7">
        <v>131025</v>
      </c>
      <c r="B52" s="7">
        <v>304</v>
      </c>
      <c r="C52" s="1">
        <v>0.9</v>
      </c>
      <c r="D52" s="1" t="s">
        <v>15</v>
      </c>
      <c r="E52" s="2" t="s">
        <v>102</v>
      </c>
      <c r="F52" s="7" t="s">
        <v>14</v>
      </c>
      <c r="G52" s="7" t="s">
        <v>15</v>
      </c>
      <c r="H52" s="9">
        <v>2550</v>
      </c>
      <c r="I52" s="10"/>
      <c r="J52" s="9">
        <f t="shared" si="2"/>
        <v>2550</v>
      </c>
    </row>
    <row r="53" spans="1:10" ht="15.6" x14ac:dyDescent="0.3">
      <c r="A53" s="7"/>
      <c r="B53" s="7"/>
      <c r="C53" s="1"/>
      <c r="D53" s="1"/>
      <c r="E53" s="2"/>
      <c r="F53" s="7"/>
      <c r="G53" s="7"/>
      <c r="H53" s="9"/>
      <c r="I53" s="10"/>
      <c r="J53" s="9">
        <f t="shared" si="2"/>
        <v>0</v>
      </c>
    </row>
    <row r="54" spans="1:10" ht="15.6" x14ac:dyDescent="0.3">
      <c r="A54" s="7">
        <v>160925</v>
      </c>
      <c r="B54" s="7">
        <v>304</v>
      </c>
      <c r="C54" s="1">
        <v>0.9</v>
      </c>
      <c r="D54" s="1" t="s">
        <v>17</v>
      </c>
      <c r="E54" s="2" t="s">
        <v>96</v>
      </c>
      <c r="F54" s="7" t="s">
        <v>14</v>
      </c>
      <c r="G54" s="7">
        <v>430</v>
      </c>
      <c r="H54" s="18">
        <v>1100</v>
      </c>
      <c r="I54" s="17">
        <f>593+521</f>
        <v>1114</v>
      </c>
      <c r="J54" s="18">
        <f t="shared" si="0"/>
        <v>-14</v>
      </c>
    </row>
    <row r="55" spans="1:10" ht="15.6" x14ac:dyDescent="0.3">
      <c r="A55" s="7">
        <v>160925</v>
      </c>
      <c r="B55" s="7">
        <v>304</v>
      </c>
      <c r="C55" s="1">
        <v>0.9</v>
      </c>
      <c r="D55" s="1" t="s">
        <v>15</v>
      </c>
      <c r="E55" s="2" t="s">
        <v>97</v>
      </c>
      <c r="F55" s="7" t="s">
        <v>14</v>
      </c>
      <c r="G55" s="7" t="s">
        <v>15</v>
      </c>
      <c r="H55" s="18">
        <v>1100</v>
      </c>
      <c r="I55" s="17">
        <f>593+521</f>
        <v>1114</v>
      </c>
      <c r="J55" s="18">
        <f t="shared" si="0"/>
        <v>-14</v>
      </c>
    </row>
    <row r="56" spans="1:10" ht="15.6" x14ac:dyDescent="0.3">
      <c r="A56" s="7"/>
      <c r="B56" s="7"/>
      <c r="C56" s="1"/>
      <c r="D56" s="1"/>
      <c r="E56" s="2"/>
      <c r="F56" s="7"/>
      <c r="G56" s="7"/>
      <c r="H56" s="9"/>
      <c r="I56" s="10"/>
      <c r="J56" s="9">
        <f t="shared" si="0"/>
        <v>0</v>
      </c>
    </row>
    <row r="57" spans="1:10" ht="15.6" x14ac:dyDescent="0.3">
      <c r="A57" s="7"/>
      <c r="B57" s="7"/>
      <c r="C57" s="1"/>
      <c r="D57" s="1"/>
      <c r="E57" s="2"/>
      <c r="F57" s="7"/>
      <c r="G57" s="7"/>
      <c r="H57" s="9"/>
      <c r="I57" s="10"/>
      <c r="J57" s="9">
        <f t="shared" si="0"/>
        <v>0</v>
      </c>
    </row>
    <row r="58" spans="1:10" ht="15.6" x14ac:dyDescent="0.3">
      <c r="A58" s="7"/>
      <c r="B58" s="7"/>
      <c r="C58" s="1"/>
      <c r="D58" s="1"/>
      <c r="E58" s="2"/>
      <c r="F58" s="7"/>
      <c r="G58" s="7"/>
      <c r="H58" s="9"/>
      <c r="I58" s="10"/>
      <c r="J58" s="9">
        <f t="shared" si="0"/>
        <v>0</v>
      </c>
    </row>
    <row r="59" spans="1:10" ht="15.6" x14ac:dyDescent="0.3">
      <c r="A59" s="7"/>
      <c r="B59" s="7"/>
      <c r="C59" s="1"/>
      <c r="D59" s="1"/>
      <c r="E59" s="2"/>
      <c r="F59" s="7"/>
      <c r="G59" s="7"/>
      <c r="H59" s="9"/>
      <c r="I59" s="10"/>
      <c r="J59" s="9">
        <f t="shared" si="0"/>
        <v>0</v>
      </c>
    </row>
    <row r="60" spans="1:10" ht="15.6" x14ac:dyDescent="0.3">
      <c r="A60" s="7"/>
      <c r="B60" s="7"/>
      <c r="C60" s="1"/>
      <c r="D60" s="1"/>
      <c r="E60" s="2"/>
      <c r="F60" s="7"/>
      <c r="G60" s="7"/>
      <c r="H60" s="9"/>
      <c r="I60" s="10"/>
      <c r="J60" s="9">
        <f t="shared" ref="J60" si="3">H60-I60</f>
        <v>0</v>
      </c>
    </row>
    <row r="61" spans="1:10" ht="15.6" x14ac:dyDescent="0.3">
      <c r="A61" s="7"/>
      <c r="B61" s="7"/>
      <c r="C61" s="1"/>
      <c r="D61" s="1"/>
      <c r="E61" s="2"/>
      <c r="F61" s="7"/>
      <c r="G61" s="7"/>
      <c r="H61" s="9"/>
      <c r="I61" s="10"/>
      <c r="J61" s="9">
        <f t="shared" si="0"/>
        <v>0</v>
      </c>
    </row>
    <row r="62" spans="1:10" ht="15.6" x14ac:dyDescent="0.3">
      <c r="A62" s="11"/>
      <c r="B62" s="11"/>
      <c r="C62" s="12"/>
      <c r="D62" s="12"/>
      <c r="E62" s="13"/>
      <c r="F62" s="11"/>
      <c r="G62" s="14"/>
      <c r="H62" s="9">
        <f>SUM(H4:H61)</f>
        <v>67158</v>
      </c>
      <c r="I62" s="10">
        <f>SUM(I4:I61)</f>
        <v>50384</v>
      </c>
      <c r="J62" s="9">
        <f>SUM(J4:J61)</f>
        <v>16774</v>
      </c>
    </row>
  </sheetData>
  <autoFilter ref="A3:J62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abSelected="1" zoomScale="85" zoomScaleNormal="85" workbookViewId="0">
      <selection activeCell="L6" sqref="L6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3">
        <v>45964</v>
      </c>
      <c r="J1" s="23"/>
    </row>
    <row r="2" spans="1:10" ht="40.049999999999997" customHeight="1" x14ac:dyDescent="0.3">
      <c r="A2" s="24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>
        <v>250825</v>
      </c>
      <c r="B4" s="7">
        <v>430</v>
      </c>
      <c r="C4" s="1">
        <v>0.8</v>
      </c>
      <c r="D4" s="1" t="s">
        <v>12</v>
      </c>
      <c r="E4" s="2" t="s">
        <v>13</v>
      </c>
      <c r="F4" s="7" t="s">
        <v>14</v>
      </c>
      <c r="G4" s="7">
        <v>430</v>
      </c>
      <c r="H4" s="9">
        <v>700</v>
      </c>
      <c r="I4" s="10">
        <v>700</v>
      </c>
      <c r="J4" s="9">
        <f t="shared" ref="J4:J36" si="0">H4-I4</f>
        <v>0</v>
      </c>
    </row>
    <row r="5" spans="1:10" ht="15.6" x14ac:dyDescent="0.3">
      <c r="A5" s="7"/>
      <c r="B5" s="7"/>
      <c r="C5" s="1"/>
      <c r="D5" s="1"/>
      <c r="E5" s="2"/>
      <c r="F5" s="7"/>
      <c r="G5" s="7"/>
      <c r="H5" s="9"/>
      <c r="I5" s="10"/>
      <c r="J5" s="9">
        <f t="shared" si="0"/>
        <v>0</v>
      </c>
    </row>
    <row r="6" spans="1:10" ht="15.6" x14ac:dyDescent="0.3">
      <c r="A6" s="7">
        <v>250041</v>
      </c>
      <c r="B6" s="7">
        <v>304</v>
      </c>
      <c r="C6" s="1">
        <v>0.9</v>
      </c>
      <c r="D6" s="1" t="s">
        <v>17</v>
      </c>
      <c r="E6" s="2" t="s">
        <v>27</v>
      </c>
      <c r="F6" s="7" t="s">
        <v>14</v>
      </c>
      <c r="G6" s="7">
        <v>304</v>
      </c>
      <c r="H6" s="9">
        <v>1000</v>
      </c>
      <c r="I6" s="10"/>
      <c r="J6" s="9">
        <f t="shared" si="0"/>
        <v>1000</v>
      </c>
    </row>
    <row r="7" spans="1:10" ht="15.6" x14ac:dyDescent="0.3">
      <c r="A7" s="7">
        <v>250041</v>
      </c>
      <c r="B7" s="7">
        <v>304</v>
      </c>
      <c r="C7" s="1">
        <v>0.9</v>
      </c>
      <c r="D7" s="1" t="s">
        <v>17</v>
      </c>
      <c r="E7" s="2" t="s">
        <v>28</v>
      </c>
      <c r="F7" s="7" t="s">
        <v>14</v>
      </c>
      <c r="G7" s="7">
        <v>304</v>
      </c>
      <c r="H7" s="9">
        <v>1000</v>
      </c>
      <c r="I7" s="10"/>
      <c r="J7" s="9">
        <f t="shared" si="0"/>
        <v>1000</v>
      </c>
    </row>
    <row r="8" spans="1:10" ht="15.6" x14ac:dyDescent="0.3">
      <c r="A8" s="7">
        <v>250041</v>
      </c>
      <c r="B8" s="7">
        <v>304</v>
      </c>
      <c r="C8" s="1">
        <v>0.9</v>
      </c>
      <c r="D8" s="1" t="s">
        <v>17</v>
      </c>
      <c r="E8" s="2" t="s">
        <v>29</v>
      </c>
      <c r="F8" s="7" t="s">
        <v>14</v>
      </c>
      <c r="G8" s="7">
        <v>304</v>
      </c>
      <c r="H8" s="9">
        <v>1000</v>
      </c>
      <c r="I8" s="10"/>
      <c r="J8" s="9">
        <f t="shared" si="0"/>
        <v>1000</v>
      </c>
    </row>
    <row r="9" spans="1:10" ht="15.6" x14ac:dyDescent="0.3">
      <c r="A9" s="7">
        <v>250041</v>
      </c>
      <c r="B9" s="7">
        <v>304</v>
      </c>
      <c r="C9" s="1">
        <v>0.7</v>
      </c>
      <c r="D9" s="1" t="s">
        <v>17</v>
      </c>
      <c r="E9" s="2" t="s">
        <v>30</v>
      </c>
      <c r="F9" s="7" t="s">
        <v>14</v>
      </c>
      <c r="G9" s="7">
        <v>304</v>
      </c>
      <c r="H9" s="9">
        <v>500</v>
      </c>
      <c r="I9" s="10"/>
      <c r="J9" s="9">
        <f t="shared" si="0"/>
        <v>500</v>
      </c>
    </row>
    <row r="10" spans="1:10" ht="15.6" x14ac:dyDescent="0.3">
      <c r="A10" s="7">
        <v>250041</v>
      </c>
      <c r="B10" s="7">
        <v>304</v>
      </c>
      <c r="C10" s="1">
        <v>0.7</v>
      </c>
      <c r="D10" s="1" t="s">
        <v>17</v>
      </c>
      <c r="E10" s="2" t="s">
        <v>32</v>
      </c>
      <c r="F10" s="7" t="s">
        <v>14</v>
      </c>
      <c r="G10" s="7">
        <v>304</v>
      </c>
      <c r="H10" s="9">
        <v>500</v>
      </c>
      <c r="I10" s="10"/>
      <c r="J10" s="9">
        <f t="shared" si="0"/>
        <v>500</v>
      </c>
    </row>
    <row r="11" spans="1:10" ht="15.6" x14ac:dyDescent="0.3">
      <c r="A11" s="7">
        <v>250041</v>
      </c>
      <c r="B11" s="7">
        <v>304</v>
      </c>
      <c r="C11" s="1">
        <v>0.7</v>
      </c>
      <c r="D11" s="1" t="s">
        <v>17</v>
      </c>
      <c r="E11" s="2" t="s">
        <v>31</v>
      </c>
      <c r="F11" s="7" t="s">
        <v>14</v>
      </c>
      <c r="G11" s="7">
        <v>304</v>
      </c>
      <c r="H11" s="9">
        <v>500</v>
      </c>
      <c r="I11" s="10"/>
      <c r="J11" s="9">
        <f t="shared" si="0"/>
        <v>500</v>
      </c>
    </row>
    <row r="12" spans="1:10" ht="15.6" x14ac:dyDescent="0.3">
      <c r="A12" s="7">
        <v>250041</v>
      </c>
      <c r="B12" s="7">
        <v>304</v>
      </c>
      <c r="C12" s="1">
        <v>0.7</v>
      </c>
      <c r="D12" s="1" t="s">
        <v>17</v>
      </c>
      <c r="E12" s="2" t="s">
        <v>33</v>
      </c>
      <c r="F12" s="7" t="s">
        <v>14</v>
      </c>
      <c r="G12" s="7">
        <v>304</v>
      </c>
      <c r="H12" s="9">
        <v>500</v>
      </c>
      <c r="I12" s="10"/>
      <c r="J12" s="9">
        <f t="shared" si="0"/>
        <v>500</v>
      </c>
    </row>
    <row r="13" spans="1:10" ht="15.6" x14ac:dyDescent="0.3">
      <c r="A13" s="7"/>
      <c r="B13" s="7"/>
      <c r="C13" s="1"/>
      <c r="D13" s="1"/>
      <c r="E13" s="2"/>
      <c r="F13" s="7"/>
      <c r="G13" s="7"/>
      <c r="H13" s="9"/>
      <c r="I13" s="10"/>
      <c r="J13" s="9">
        <f t="shared" si="0"/>
        <v>0</v>
      </c>
    </row>
    <row r="14" spans="1:10" ht="15.6" x14ac:dyDescent="0.3">
      <c r="A14" s="7">
        <v>100925</v>
      </c>
      <c r="B14" s="7">
        <v>304</v>
      </c>
      <c r="C14" s="1">
        <v>0.9</v>
      </c>
      <c r="D14" s="1" t="s">
        <v>17</v>
      </c>
      <c r="E14" s="2" t="s">
        <v>86</v>
      </c>
      <c r="F14" s="7" t="s">
        <v>14</v>
      </c>
      <c r="G14" s="7">
        <v>430</v>
      </c>
      <c r="H14" s="9">
        <v>1500</v>
      </c>
      <c r="I14" s="10">
        <f>161+368+41+834</f>
        <v>1404</v>
      </c>
      <c r="J14" s="9">
        <f t="shared" si="0"/>
        <v>96</v>
      </c>
    </row>
    <row r="15" spans="1:10" ht="15.6" x14ac:dyDescent="0.3">
      <c r="A15" s="7">
        <v>100925</v>
      </c>
      <c r="B15" s="7">
        <v>304</v>
      </c>
      <c r="C15" s="1">
        <v>0.9</v>
      </c>
      <c r="D15" s="1" t="s">
        <v>15</v>
      </c>
      <c r="E15" s="2" t="s">
        <v>90</v>
      </c>
      <c r="F15" s="7" t="s">
        <v>14</v>
      </c>
      <c r="G15" s="7" t="s">
        <v>15</v>
      </c>
      <c r="H15" s="9">
        <v>1500</v>
      </c>
      <c r="I15" s="10">
        <f>161+368+41+834</f>
        <v>1404</v>
      </c>
      <c r="J15" s="9">
        <f t="shared" si="0"/>
        <v>96</v>
      </c>
    </row>
    <row r="16" spans="1:10" ht="15.6" x14ac:dyDescent="0.3">
      <c r="A16" s="7"/>
      <c r="B16" s="7"/>
      <c r="C16" s="1"/>
      <c r="D16" s="1"/>
      <c r="E16" s="2"/>
      <c r="F16" s="7"/>
      <c r="G16" s="7"/>
      <c r="H16" s="9"/>
      <c r="I16" s="10"/>
      <c r="J16" s="9">
        <f t="shared" si="0"/>
        <v>0</v>
      </c>
    </row>
    <row r="17" spans="1:10" ht="15.6" x14ac:dyDescent="0.3">
      <c r="A17" s="7" t="s">
        <v>87</v>
      </c>
      <c r="B17" s="7">
        <v>304</v>
      </c>
      <c r="C17" s="1">
        <v>0.9</v>
      </c>
      <c r="D17" s="1" t="s">
        <v>17</v>
      </c>
      <c r="E17" s="2" t="s">
        <v>94</v>
      </c>
      <c r="F17" s="7" t="s">
        <v>14</v>
      </c>
      <c r="G17" s="7">
        <v>430</v>
      </c>
      <c r="H17" s="9">
        <v>1500</v>
      </c>
      <c r="I17" s="10">
        <f>749+420+180+25+56+103</f>
        <v>1533</v>
      </c>
      <c r="J17" s="9">
        <f t="shared" si="0"/>
        <v>-33</v>
      </c>
    </row>
    <row r="18" spans="1:10" ht="15.6" x14ac:dyDescent="0.3">
      <c r="A18" s="7" t="s">
        <v>87</v>
      </c>
      <c r="B18" s="7">
        <v>304</v>
      </c>
      <c r="C18" s="1">
        <v>0.9</v>
      </c>
      <c r="D18" s="1" t="s">
        <v>15</v>
      </c>
      <c r="E18" s="2" t="s">
        <v>95</v>
      </c>
      <c r="F18" s="7" t="s">
        <v>14</v>
      </c>
      <c r="G18" s="7" t="s">
        <v>15</v>
      </c>
      <c r="H18" s="9">
        <v>1500</v>
      </c>
      <c r="I18" s="10">
        <f>749+420+180+25+56+103</f>
        <v>1533</v>
      </c>
      <c r="J18" s="9">
        <f t="shared" si="0"/>
        <v>-33</v>
      </c>
    </row>
    <row r="19" spans="1:10" ht="15.6" x14ac:dyDescent="0.3">
      <c r="A19" s="7"/>
      <c r="B19" s="7"/>
      <c r="C19" s="1"/>
      <c r="D19" s="1"/>
      <c r="E19" s="2"/>
      <c r="F19" s="7"/>
      <c r="G19" s="7"/>
      <c r="H19" s="9"/>
      <c r="I19" s="10"/>
      <c r="J19" s="9">
        <f t="shared" si="0"/>
        <v>0</v>
      </c>
    </row>
    <row r="20" spans="1:10" ht="15.6" x14ac:dyDescent="0.3">
      <c r="A20" s="7">
        <v>290925</v>
      </c>
      <c r="B20" s="7">
        <v>304</v>
      </c>
      <c r="C20" s="1">
        <v>0.9</v>
      </c>
      <c r="D20" s="1" t="s">
        <v>17</v>
      </c>
      <c r="E20" s="2" t="s">
        <v>98</v>
      </c>
      <c r="F20" s="7" t="s">
        <v>14</v>
      </c>
      <c r="G20" s="7">
        <v>430</v>
      </c>
      <c r="H20" s="9">
        <v>3000</v>
      </c>
      <c r="I20" s="10">
        <f>80+510+250+490+750+230+243+364</f>
        <v>2917</v>
      </c>
      <c r="J20" s="9">
        <f t="shared" si="0"/>
        <v>83</v>
      </c>
    </row>
    <row r="21" spans="1:10" ht="15.6" x14ac:dyDescent="0.3">
      <c r="A21" s="7">
        <v>290925</v>
      </c>
      <c r="B21" s="7">
        <v>304</v>
      </c>
      <c r="C21" s="1">
        <v>0.9</v>
      </c>
      <c r="D21" s="1" t="s">
        <v>17</v>
      </c>
      <c r="E21" s="2" t="s">
        <v>99</v>
      </c>
      <c r="F21" s="7" t="s">
        <v>14</v>
      </c>
      <c r="G21" s="7" t="s">
        <v>15</v>
      </c>
      <c r="H21" s="9">
        <v>3000</v>
      </c>
      <c r="I21" s="10">
        <f>80+510+250+490+750+230+243+364</f>
        <v>2917</v>
      </c>
      <c r="J21" s="9">
        <f t="shared" si="0"/>
        <v>83</v>
      </c>
    </row>
    <row r="22" spans="1:10" ht="15.6" x14ac:dyDescent="0.3">
      <c r="A22" s="7"/>
      <c r="B22" s="7"/>
      <c r="C22" s="1"/>
      <c r="D22" s="1"/>
      <c r="E22" s="2"/>
      <c r="F22" s="7"/>
      <c r="G22" s="7"/>
      <c r="H22" s="9"/>
      <c r="I22" s="10"/>
      <c r="J22" s="9">
        <f t="shared" si="0"/>
        <v>0</v>
      </c>
    </row>
    <row r="23" spans="1:10" ht="15.6" x14ac:dyDescent="0.3">
      <c r="A23" s="7">
        <v>290925</v>
      </c>
      <c r="B23" s="7">
        <v>304</v>
      </c>
      <c r="C23" s="1">
        <v>0.9</v>
      </c>
      <c r="D23" s="1" t="s">
        <v>17</v>
      </c>
      <c r="E23" s="2" t="s">
        <v>101</v>
      </c>
      <c r="F23" s="7" t="s">
        <v>14</v>
      </c>
      <c r="G23" s="7">
        <v>430</v>
      </c>
      <c r="H23" s="9">
        <v>4000</v>
      </c>
      <c r="I23" s="10">
        <f>1111+169+460+970+654+389+97+17+7</f>
        <v>3874</v>
      </c>
      <c r="J23" s="9">
        <f t="shared" si="0"/>
        <v>126</v>
      </c>
    </row>
    <row r="24" spans="1:10" ht="15.6" x14ac:dyDescent="0.3">
      <c r="A24" s="7">
        <v>290925</v>
      </c>
      <c r="B24" s="7">
        <v>304</v>
      </c>
      <c r="C24" s="1">
        <v>0.9</v>
      </c>
      <c r="D24" s="1" t="s">
        <v>15</v>
      </c>
      <c r="E24" s="2" t="s">
        <v>100</v>
      </c>
      <c r="F24" s="7" t="s">
        <v>14</v>
      </c>
      <c r="G24" s="7" t="s">
        <v>15</v>
      </c>
      <c r="H24" s="9">
        <v>4000</v>
      </c>
      <c r="I24" s="10">
        <f>1111+169+460+970+654+389+97+17+7</f>
        <v>3874</v>
      </c>
      <c r="J24" s="9">
        <f t="shared" si="0"/>
        <v>126</v>
      </c>
    </row>
    <row r="25" spans="1:10" ht="15.6" x14ac:dyDescent="0.3">
      <c r="A25" s="7"/>
      <c r="B25" s="7"/>
      <c r="C25" s="1"/>
      <c r="D25" s="1"/>
      <c r="E25" s="2"/>
      <c r="F25" s="7"/>
      <c r="G25" s="7"/>
      <c r="H25" s="9"/>
      <c r="I25" s="10"/>
      <c r="J25" s="9">
        <f t="shared" si="0"/>
        <v>0</v>
      </c>
    </row>
    <row r="26" spans="1:10" ht="15.6" x14ac:dyDescent="0.3">
      <c r="A26" s="7">
        <v>131025</v>
      </c>
      <c r="B26" s="7">
        <v>304</v>
      </c>
      <c r="C26" s="1">
        <v>0.9</v>
      </c>
      <c r="D26" s="1" t="s">
        <v>15</v>
      </c>
      <c r="E26" s="2" t="s">
        <v>102</v>
      </c>
      <c r="F26" s="7" t="s">
        <v>14</v>
      </c>
      <c r="G26" s="7" t="s">
        <v>15</v>
      </c>
      <c r="H26" s="9">
        <v>2550</v>
      </c>
      <c r="I26" s="10"/>
      <c r="J26" s="9">
        <f t="shared" si="0"/>
        <v>2550</v>
      </c>
    </row>
    <row r="27" spans="1:10" ht="15.6" x14ac:dyDescent="0.3">
      <c r="A27" s="7"/>
      <c r="B27" s="7"/>
      <c r="C27" s="1"/>
      <c r="D27" s="1"/>
      <c r="E27" s="2"/>
      <c r="F27" s="7"/>
      <c r="G27" s="7"/>
      <c r="H27" s="9"/>
      <c r="I27" s="10"/>
      <c r="J27" s="9">
        <f t="shared" si="0"/>
        <v>0</v>
      </c>
    </row>
    <row r="28" spans="1:10" ht="15.6" x14ac:dyDescent="0.3">
      <c r="A28" s="19">
        <v>250057</v>
      </c>
      <c r="B28" s="19">
        <v>304</v>
      </c>
      <c r="C28" s="20">
        <v>0.7</v>
      </c>
      <c r="D28" s="20" t="s">
        <v>12</v>
      </c>
      <c r="E28" s="21" t="s">
        <v>103</v>
      </c>
      <c r="F28" s="19" t="s">
        <v>14</v>
      </c>
      <c r="G28" s="19">
        <v>304</v>
      </c>
      <c r="H28" s="22">
        <v>395</v>
      </c>
      <c r="I28" s="10">
        <f>339+129</f>
        <v>468</v>
      </c>
      <c r="J28" s="9">
        <f t="shared" si="0"/>
        <v>-73</v>
      </c>
    </row>
    <row r="29" spans="1:10" ht="15.6" x14ac:dyDescent="0.3">
      <c r="A29" s="19">
        <v>250057</v>
      </c>
      <c r="B29" s="19">
        <v>304</v>
      </c>
      <c r="C29" s="20">
        <v>0.7</v>
      </c>
      <c r="D29" s="20" t="s">
        <v>12</v>
      </c>
      <c r="E29" s="21" t="s">
        <v>104</v>
      </c>
      <c r="F29" s="19" t="s">
        <v>14</v>
      </c>
      <c r="G29" s="19">
        <v>304</v>
      </c>
      <c r="H29" s="22">
        <v>15</v>
      </c>
      <c r="I29" s="10">
        <v>15</v>
      </c>
      <c r="J29" s="9">
        <f t="shared" si="0"/>
        <v>0</v>
      </c>
    </row>
    <row r="30" spans="1:10" ht="15.6" x14ac:dyDescent="0.3">
      <c r="A30" s="7"/>
      <c r="B30" s="7"/>
      <c r="C30" s="1"/>
      <c r="D30" s="1"/>
      <c r="E30" s="2"/>
      <c r="F30" s="7"/>
      <c r="G30" s="7"/>
      <c r="H30" s="9"/>
      <c r="I30" s="10"/>
      <c r="J30" s="9">
        <f t="shared" si="0"/>
        <v>0</v>
      </c>
    </row>
    <row r="31" spans="1:10" ht="15.6" x14ac:dyDescent="0.3">
      <c r="A31" s="19">
        <v>250061</v>
      </c>
      <c r="B31" s="19">
        <v>304</v>
      </c>
      <c r="C31" s="20">
        <v>0.7</v>
      </c>
      <c r="D31" s="20" t="s">
        <v>12</v>
      </c>
      <c r="E31" s="21" t="s">
        <v>105</v>
      </c>
      <c r="F31" s="19" t="s">
        <v>14</v>
      </c>
      <c r="G31" s="19">
        <v>304</v>
      </c>
      <c r="H31" s="22">
        <v>570</v>
      </c>
      <c r="I31" s="10">
        <f>419+175</f>
        <v>594</v>
      </c>
      <c r="J31" s="9">
        <f t="shared" si="0"/>
        <v>-24</v>
      </c>
    </row>
    <row r="32" spans="1:10" ht="15.6" x14ac:dyDescent="0.3">
      <c r="A32" s="19">
        <v>250061</v>
      </c>
      <c r="B32" s="19">
        <v>304</v>
      </c>
      <c r="C32" s="20">
        <v>0.7</v>
      </c>
      <c r="D32" s="20" t="s">
        <v>12</v>
      </c>
      <c r="E32" s="21" t="s">
        <v>106</v>
      </c>
      <c r="F32" s="19" t="s">
        <v>14</v>
      </c>
      <c r="G32" s="19">
        <v>304</v>
      </c>
      <c r="H32" s="22">
        <v>15</v>
      </c>
      <c r="I32" s="10">
        <v>15</v>
      </c>
      <c r="J32" s="9">
        <f t="shared" si="0"/>
        <v>0</v>
      </c>
    </row>
    <row r="33" spans="1:10" ht="15.6" x14ac:dyDescent="0.3">
      <c r="A33" s="19"/>
      <c r="B33" s="19"/>
      <c r="C33" s="20"/>
      <c r="D33" s="20"/>
      <c r="E33" s="21"/>
      <c r="F33" s="19"/>
      <c r="G33" s="19"/>
      <c r="H33" s="22"/>
      <c r="I33" s="10"/>
      <c r="J33" s="9">
        <f t="shared" si="0"/>
        <v>0</v>
      </c>
    </row>
    <row r="34" spans="1:10" ht="15.6" x14ac:dyDescent="0.3">
      <c r="A34" s="19">
        <v>230925</v>
      </c>
      <c r="B34" s="19">
        <v>430</v>
      </c>
      <c r="C34" s="20" t="s">
        <v>107</v>
      </c>
      <c r="D34" s="20" t="s">
        <v>34</v>
      </c>
      <c r="E34" s="21" t="s">
        <v>108</v>
      </c>
      <c r="F34" s="19" t="s">
        <v>14</v>
      </c>
      <c r="G34" s="19">
        <v>430</v>
      </c>
      <c r="H34" s="22">
        <v>6000</v>
      </c>
      <c r="I34" s="10">
        <v>713</v>
      </c>
      <c r="J34" s="9">
        <f t="shared" si="0"/>
        <v>5287</v>
      </c>
    </row>
    <row r="35" spans="1:10" ht="15.6" x14ac:dyDescent="0.3">
      <c r="A35" s="19">
        <v>230925</v>
      </c>
      <c r="B35" s="19">
        <v>430</v>
      </c>
      <c r="C35" s="20" t="s">
        <v>107</v>
      </c>
      <c r="D35" s="20" t="s">
        <v>34</v>
      </c>
      <c r="E35" s="21" t="s">
        <v>109</v>
      </c>
      <c r="F35" s="19" t="s">
        <v>14</v>
      </c>
      <c r="G35" s="19">
        <v>430</v>
      </c>
      <c r="H35" s="22">
        <v>5300</v>
      </c>
      <c r="I35" s="10">
        <v>13</v>
      </c>
      <c r="J35" s="9">
        <f t="shared" si="0"/>
        <v>5287</v>
      </c>
    </row>
    <row r="36" spans="1:10" ht="15.6" x14ac:dyDescent="0.3">
      <c r="A36" s="7"/>
      <c r="B36" s="7"/>
      <c r="C36" s="1"/>
      <c r="D36" s="1"/>
      <c r="E36" s="2"/>
      <c r="F36" s="7"/>
      <c r="G36" s="7"/>
      <c r="H36" s="9"/>
      <c r="I36" s="10"/>
      <c r="J36" s="9">
        <f t="shared" si="0"/>
        <v>0</v>
      </c>
    </row>
    <row r="37" spans="1:10" ht="15.6" x14ac:dyDescent="0.3">
      <c r="A37" s="11"/>
      <c r="B37" s="11"/>
      <c r="C37" s="12"/>
      <c r="D37" s="12"/>
      <c r="E37" s="13"/>
      <c r="F37" s="11"/>
      <c r="G37" s="14"/>
      <c r="H37" s="9">
        <f>SUM(H4:H36)</f>
        <v>40545</v>
      </c>
      <c r="I37" s="10">
        <f>SUM(I4:I36)</f>
        <v>21974</v>
      </c>
      <c r="J37" s="9">
        <f>SUM(J4:J36)</f>
        <v>18571</v>
      </c>
    </row>
  </sheetData>
  <autoFilter ref="A3:J37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PAKETLEME MONTAJ ANA TASLAK</vt:lpstr>
      <vt:lpstr>26.09.2025</vt:lpstr>
      <vt:lpstr>40.HAFTA 2025</vt:lpstr>
      <vt:lpstr>41.HAFTA 2025</vt:lpstr>
      <vt:lpstr>42. HAFTA 2025 13.10</vt:lpstr>
      <vt:lpstr>42. HAFTA 2025 14.10</vt:lpstr>
      <vt:lpstr>42. HAFTA 2025 15.10</vt:lpstr>
      <vt:lpstr>42. HAFTA 2025 16.10</vt:lpstr>
      <vt:lpstr>43. HAFTA 2025</vt:lpstr>
      <vt:lpstr>44. HAFTA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2025-11-06T05:51:52Z</dcterms:modified>
</cp:coreProperties>
</file>